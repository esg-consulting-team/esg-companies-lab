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ESG통합진단마스터" sheetId="1" state="visible" r:id="rId1"/>
    <sheet name="02_점수산정참고표" sheetId="2" state="visible" r:id="rId2"/>
    <sheet name="03_지배구조세부점검(KRX)" sheetId="3" state="visible" r:id="rId3"/>
    <sheet name="04_KSSB갭분석" sheetId="4" state="visible" r:id="rId4"/>
    <sheet name="05_요약대시보드"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i val="1"/>
      <color rgb="FF666666"/>
      <sz val="9"/>
    </font>
    <font>
      <name val="Arial"/>
      <family val="2"/>
      <b val="1"/>
      <color rgb="FFFFFFFF"/>
      <sz val="9.5"/>
    </font>
    <font>
      <name val="Noto Sans CJK SC"/>
      <charset val="1"/>
      <family val="2"/>
      <b val="1"/>
      <color rgb="FFFFFFFF"/>
      <sz val="9.5"/>
    </font>
    <font>
      <name val="Arial"/>
      <family val="2"/>
      <sz val="9.5"/>
    </font>
    <font>
      <name val="Noto Sans CJK SC"/>
      <charset val="1"/>
      <family val="2"/>
      <sz val="9.5"/>
    </font>
    <font>
      <name val="Noto Sans CJK SC"/>
      <charset val="1"/>
      <family val="2"/>
      <b val="1"/>
      <sz val="9.5"/>
    </font>
    <font>
      <name val="Arial"/>
      <family val="2"/>
      <b val="1"/>
      <color rgb="FF0000FF"/>
      <sz val="9.5"/>
    </font>
    <font>
      <name val="Arial"/>
      <family val="2"/>
      <b val="1"/>
      <color rgb="FF1F4E78"/>
      <sz val="10"/>
    </font>
    <font>
      <b val="1"/>
      <sz val="13"/>
    </font>
    <font>
      <b val="1"/>
      <color rgb="FFFFFFFF"/>
    </font>
    <font>
      <b val="1"/>
    </font>
  </fonts>
  <fills count="8">
    <fill>
      <patternFill/>
    </fill>
    <fill>
      <patternFill patternType="gray125"/>
    </fill>
    <fill>
      <patternFill patternType="solid">
        <fgColor rgb="FF1F4E78"/>
        <bgColor rgb="FF003366"/>
      </patternFill>
    </fill>
    <fill>
      <patternFill patternType="solid">
        <fgColor rgb="FFF5F8FC"/>
        <bgColor rgb="FFFFFFFF"/>
      </patternFill>
    </fill>
    <fill>
      <patternFill patternType="solid">
        <fgColor rgb="FFFFF2CC"/>
        <bgColor rgb="FFFCE4D6"/>
      </patternFill>
    </fill>
    <fill>
      <patternFill patternType="solid">
        <fgColor rgb="FFFFEB9C"/>
        <bgColor rgb="FFFFF2CC"/>
      </patternFill>
    </fill>
    <fill>
      <patternFill patternType="solid">
        <fgColor rgb="FFFFFDE7"/>
        <bgColor rgb="FFFFFFFF"/>
      </patternFill>
    </fill>
    <fill>
      <patternFill patternType="solid">
        <fgColor rgb="FF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2" borderId="1" applyAlignment="1" pivotButton="0" quotePrefix="0" xfId="0">
      <alignment horizontal="center" vertical="top" wrapText="1"/>
    </xf>
    <xf numFmtId="0" fontId="3" fillId="2" borderId="1" applyAlignment="1" pivotButton="0" quotePrefix="0" xfId="0">
      <alignment horizontal="center" vertical="top" wrapText="1"/>
    </xf>
    <xf numFmtId="0" fontId="3" fillId="2" borderId="0" applyAlignment="1" pivotButton="0" quotePrefix="0" xfId="0">
      <alignment horizontal="center" vertical="top" wrapText="1"/>
    </xf>
    <xf numFmtId="0" fontId="4" fillId="3" borderId="1" applyAlignment="1" pivotButton="0" quotePrefix="0" xfId="0">
      <alignment horizontal="center" vertical="center"/>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6" fillId="4" borderId="1" applyAlignment="1" pivotButton="0" quotePrefix="0" xfId="0">
      <alignment horizontal="center" vertical="top" wrapText="1"/>
    </xf>
    <xf numFmtId="0" fontId="5" fillId="3" borderId="1" applyAlignment="1" pivotButton="0" quotePrefix="0" xfId="0">
      <alignment horizontal="center" vertical="top" wrapText="1"/>
    </xf>
    <xf numFmtId="0" fontId="5" fillId="5" borderId="1" applyAlignment="1" pivotButton="0" quotePrefix="0" xfId="0">
      <alignment horizontal="center" vertical="top" wrapText="1"/>
    </xf>
    <xf numFmtId="0" fontId="7" fillId="6" borderId="1" applyAlignment="1" pivotButton="0" quotePrefix="0" xfId="0">
      <alignment horizontal="center" vertical="center"/>
    </xf>
    <xf numFmtId="0" fontId="7" fillId="3" borderId="1" applyAlignment="1" pivotButton="0" quotePrefix="0" xfId="0">
      <alignment horizontal="center" vertical="center"/>
    </xf>
    <xf numFmtId="1" fontId="8" fillId="3" borderId="1" applyAlignment="1" pivotButton="0" quotePrefix="0" xfId="0">
      <alignment horizontal="center" vertical="center"/>
    </xf>
    <xf numFmtId="0" fontId="5" fillId="0" borderId="0" applyAlignment="1" pivotButton="0" quotePrefix="0" xfId="0">
      <alignment horizontal="left" vertical="top" wrapText="1"/>
    </xf>
    <xf numFmtId="0" fontId="4" fillId="3" borderId="1" applyAlignment="1" pivotButton="0" quotePrefix="0" xfId="0">
      <alignment horizontal="center" vertical="top" wrapText="1"/>
    </xf>
    <xf numFmtId="0" fontId="7" fillId="6" borderId="1" applyAlignment="1" pivotButton="0" quotePrefix="0" xfId="0">
      <alignment horizontal="left" vertical="top" wrapText="1"/>
    </xf>
    <xf numFmtId="0" fontId="9" fillId="0" borderId="0" pivotButton="0" quotePrefix="0" xfId="0"/>
    <xf numFmtId="0" fontId="10" fillId="0" borderId="2" applyAlignment="1" pivotButton="0" quotePrefix="0" xfId="0">
      <alignment horizontal="center" vertical="center" wrapText="1"/>
    </xf>
    <xf numFmtId="0" fontId="10" fillId="7" borderId="2" applyAlignment="1" pivotButton="0" quotePrefix="0" xfId="0">
      <alignment horizontal="center" vertical="center" wrapText="1"/>
    </xf>
    <xf numFmtId="0" fontId="0" fillId="0" borderId="2" applyAlignment="1" pivotButton="0" quotePrefix="0" xfId="0">
      <alignment horizontal="center" vertical="center" wrapText="1"/>
    </xf>
    <xf numFmtId="10" fontId="0" fillId="0" borderId="2" applyAlignment="1" pivotButton="0" quotePrefix="0" xfId="0">
      <alignment horizontal="center" vertical="center" wrapText="1"/>
    </xf>
    <xf numFmtId="0" fontId="11" fillId="0" borderId="2" applyAlignment="1" pivotButton="0" quotePrefix="0" xfId="0">
      <alignment horizontal="center" vertical="center" wrapText="1"/>
    </xf>
    <xf numFmtId="10" fontId="11" fillId="0" borderId="2" applyAlignment="1" pivotButton="0" quotePrefix="0" xfId="0">
      <alignment horizontal="center" vertical="center" wrapText="1"/>
    </xf>
    <xf numFmtId="0" fontId="11"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16" customWidth="1" min="3" max="3"/>
    <col width="8" customWidth="1" min="4" max="4"/>
    <col width="16" customWidth="1" min="5" max="5"/>
    <col width="22" customWidth="1" min="6" max="6"/>
    <col width="34" customWidth="1" min="7" max="7"/>
    <col width="26" customWidth="1" min="8" max="8"/>
    <col width="12" customWidth="1" min="9" max="9"/>
    <col width="16" customWidth="1" min="10" max="10"/>
    <col width="26" customWidth="1" min="11" max="11"/>
    <col width="10" customWidth="1" min="12" max="12"/>
    <col width="8" customWidth="1" min="13" max="13"/>
    <col width="26" customWidth="1" min="14" max="14"/>
    <col width="46" customWidth="1" min="15" max="15"/>
    <col width="12" customWidth="1" min="16" max="16"/>
    <col width="30" customWidth="1" min="17" max="17"/>
    <col width="24" customWidth="1" min="18" max="18"/>
    <col width="20" customWidth="1" min="19" max="19"/>
    <col width="12" customWidth="1" min="20" max="20"/>
    <col width="10" customWidth="1" min="21" max="21"/>
    <col width="12" customWidth="1" min="24" max="24"/>
    <col width="34" customWidth="1" min="25" max="25"/>
    <col width="14" customWidth="1" min="26" max="26"/>
    <col width="42" customWidth="1" min="27" max="27"/>
    <col width="18" customWidth="1" min="28" max="28"/>
    <col width="30" customWidth="1" min="29" max="29"/>
  </cols>
  <sheetData>
    <row r="1">
      <c r="A1" s="1" t="inlineStr">
        <is>
          <t>[분리본: G(지배구조)+P(정보공시)+반도체특화] 원본 「ESG_핵심지표_채점기준표_전체」 01시트를 분류코드 기준으로 재분류한 파일입니다.</t>
        </is>
      </c>
    </row>
    <row r="2" ht="45.75" customHeight="1">
      <c r="A2" s="2" t="inlineStr">
        <is>
          <t>No</t>
        </is>
      </c>
      <c r="B2" s="3" t="inlineStr">
        <is>
          <t>분류코드</t>
        </is>
      </c>
      <c r="C2" s="3" t="inlineStr">
        <is>
          <t>적용구분</t>
        </is>
      </c>
      <c r="D2" s="3" t="inlineStr">
        <is>
          <t>영역</t>
        </is>
      </c>
      <c r="E2" s="3" t="inlineStr">
        <is>
          <t>범주</t>
        </is>
      </c>
      <c r="F2" s="3" t="inlineStr">
        <is>
          <t>진단항목명</t>
        </is>
      </c>
      <c r="G2" s="3" t="inlineStr">
        <is>
          <t>항목설명</t>
        </is>
      </c>
      <c r="H2" s="3" t="inlineStr">
        <is>
          <t>데이터원천(수집처)</t>
        </is>
      </c>
      <c r="I2" s="3" t="inlineStr">
        <is>
          <t>데이터기간</t>
        </is>
      </c>
      <c r="J2" s="3" t="inlineStr">
        <is>
          <t>데이터범위</t>
        </is>
      </c>
      <c r="K2" s="3" t="inlineStr">
        <is>
          <t>데이터산식(정량화공식)</t>
        </is>
      </c>
      <c r="L2" s="3" t="inlineStr">
        <is>
          <t>채점유형</t>
        </is>
      </c>
      <c r="M2" s="3" t="inlineStr">
        <is>
          <t>최대단계수</t>
        </is>
      </c>
      <c r="N2" s="3" t="inlineStr">
        <is>
          <t>배점구조 요약</t>
        </is>
      </c>
      <c r="O2" s="3" t="inlineStr">
        <is>
          <t>점검기준 상세(K-ESG v2.0 원문)</t>
        </is>
      </c>
      <c r="P2" s="2" t="inlineStr">
        <is>
          <t>KSSB 대응현황</t>
        </is>
      </c>
      <c r="Q2" s="2" t="inlineStr">
        <is>
          <t>KSSB 참고근거</t>
        </is>
      </c>
      <c r="R2" s="3" t="inlineStr">
        <is>
          <t>기타 참고기준(GRI/SASB/TCFD/KCGS 등)</t>
        </is>
      </c>
      <c r="S2" s="3" t="inlineStr">
        <is>
          <t>원본 출처파일</t>
        </is>
      </c>
      <c r="T2" s="2" t="inlineStr">
        <is>
          <t>[입력]충족단계/요건수</t>
        </is>
      </c>
      <c r="U2" s="2" t="inlineStr">
        <is>
          <t>[입력]위반유형1</t>
        </is>
      </c>
      <c r="V2" s="2" t="inlineStr">
        <is>
          <t>[입력]위반유형2</t>
        </is>
      </c>
      <c r="W2" s="2" t="inlineStr">
        <is>
          <t>[입력]위반유형3</t>
        </is>
      </c>
      <c r="X2" s="3" t="inlineStr">
        <is>
          <t>자사취득점수(0~100)</t>
        </is>
      </c>
      <c r="Y2" s="3" t="inlineStr">
        <is>
          <t>개선 가이드</t>
        </is>
      </c>
      <c r="Z2" s="3" t="inlineStr">
        <is>
          <t>비고</t>
        </is>
      </c>
      <c r="AA2" s="4" t="inlineStr">
        <is>
          <t>실사 진단 질문</t>
        </is>
      </c>
      <c r="AB2" s="4" t="inlineStr">
        <is>
          <t>답변형식</t>
        </is>
      </c>
    </row>
    <row r="3">
      <c r="A3" s="5" t="n">
        <v>1</v>
      </c>
      <c r="B3" s="6" t="inlineStr">
        <is>
          <t>P-1-1</t>
        </is>
      </c>
      <c r="C3" s="7" t="inlineStr">
        <is>
          <t>기본진단항목(v2.0)</t>
        </is>
      </c>
      <c r="D3" s="8" t="inlineStr">
        <is>
          <t>정보공시</t>
        </is>
      </c>
      <c r="E3" s="7" t="inlineStr">
        <is>
          <t>정보공시 형식</t>
        </is>
      </c>
      <c r="F3" s="6" t="inlineStr">
        <is>
          <t>ESG 정보공시 방식</t>
        </is>
      </c>
      <c r="G3" s="7" t="inlineStr">
        <is>
          <t> 조직이 ESG 정보공시 동향에 맞추어 정보 수요자의 접근성을 고려한 ESG 정보공시 방식을 정립하고 있는지 점검  ESG 정보를 종합한 온/오프라인 채널 운영 및 ESG 정보공시 외부 확산/전파 등 정보 접근성 향상 측면의 노력을 확인</t>
        </is>
      </c>
      <c r="H3" s="7" t="inlineStr">
        <is>
          <t>홈페이지, 지속가능경영보고서, 사업보고서, 기타간행물, 전자공시시스템 上 ‘자율공시’</t>
        </is>
      </c>
      <c r="I3" s="7" t="inlineStr">
        <is>
          <t>직전 회계연도</t>
        </is>
      </c>
      <c r="J3" s="6" t="inlineStr">
        <is>
          <t>N/A</t>
        </is>
      </c>
      <c r="K3" s="6" t="inlineStr">
        <is>
          <t>N/A</t>
        </is>
      </c>
      <c r="L3" s="9" t="inlineStr">
        <is>
          <t>단계형</t>
        </is>
      </c>
      <c r="M3" s="5" t="n">
        <v>5</v>
      </c>
      <c r="N3" s="7" t="inlineStr">
        <is>
          <t>단계형: 1단계=0점 / 2단계=25점 / 3단계=50점 / 4단계=75점 / 5단계=100점</t>
        </is>
      </c>
      <c r="O3" s="6" t="inlineStr">
        <is>
          <t>1단계 |  조직이 어떠한 방식으로든 ESG 정보를 공시하지 않는 경우 |  2단계 |  조직의 홈페이지, 지속가능경영보고서, 사업보고서, 기타 간행물 등에 ESG 정보를 분산하여 공시하고 있는 경우 |  3단계 |  조직의 홈페이지, 지속가능경영보고서, 사업보고서, 기타 간행물 등에 ESG 정보를 통합하여 공시하고 있는 경우 |  4단계 |  ESG 정보를 통합한 조직의 홈페이지, 지속가능경영보고서, 사업보고서, 기타 간행물 등을 지정된 장소에 비치하거나, |  특정 URL에 담고 있는 경우 |  5단계 |  ESG 정보를 통합한 조직의 홈페이지, 지속가능경영보고서, 사업보고서, 기타 간행물 등의 발행여부를 ‘전자공시시스템-자율공시’ |  사항으로 알리는 경우</t>
        </is>
      </c>
      <c r="P3" s="10" t="inlineStr">
        <is>
          <t>부분대응</t>
        </is>
      </c>
      <c r="Q3" s="6" t="inlineStr">
        <is>
          <t>KSSB 제1호 문단 64~70(보고시기·장소), 21~24(연계된 정보)</t>
        </is>
      </c>
      <c r="R3" s="6" t="inlineStr">
        <is>
          <t>GRI 2-3</t>
        </is>
      </c>
      <c r="S3" s="6" t="inlineStr">
        <is>
          <t>1_2_0_업종별 K-ESG 가이드라인(v2.0) 진단항목</t>
        </is>
      </c>
      <c r="T3" s="11" t="n"/>
      <c r="U3" s="12" t="n"/>
      <c r="V3" s="12" t="n"/>
      <c r="W3" s="12" t="n"/>
      <c r="X3" s="13" t="n"/>
      <c r="Y3" s="6" t="inlineStr">
        <is>
          <t> ESG 정보공시란 투자자를 비롯한 다양한 이해관계자의 의사결정 및 가치판단에 영향을 미칠 수 있는 환경, 사회, 지배구조와 관련된 정보를 공개적으로 널리 알리는 행위를 의미한다. 조직은 정기적으로 특정한 정보공시 창구(홈페이지, 사업보고서, 지속가능경영보고서, 기타 간행물 등)에 ESG 관련 정보를 종합적으로 수록하고 있으며, 해당 정보공시 창구를 통해 이해관계자 누구나 ESG 정보를 접근/열람할 수 있고, 정보공시 여부를 대내외에 알리는 행위를 한 경우 ESG 정보공시를 하였다고 정의한다.  ESG 정보란 중대성 평가(Materiality Test) 결과에 따른 핵심이슈, 또는 조직의 사업운영 과정에서 지속적 관리가 필요한 ESG 이슈별로 ‘전략’, ‘조직’,…</t>
        </is>
      </c>
      <c r="Z3" s="7" t="n"/>
      <c r="AA3" s="14" t="inlineStr">
        <is>
          <t>정보 수요자의 접근성을 고려하여 홈페이지, 지속가능경영보고서 등을 통해 ESG 정보를 통합 공시하고 있습니까?</t>
        </is>
      </c>
      <c r="AB3" s="14" t="inlineStr">
        <is>
          <t>단계(1~5)</t>
        </is>
      </c>
    </row>
    <row r="4">
      <c r="A4" s="5" t="n">
        <v>2</v>
      </c>
      <c r="B4" s="6" t="inlineStr">
        <is>
          <t>P-1-2</t>
        </is>
      </c>
      <c r="C4" s="7" t="inlineStr">
        <is>
          <t>기본진단항목(v2.0)</t>
        </is>
      </c>
      <c r="D4" s="8" t="inlineStr">
        <is>
          <t>정보공시</t>
        </is>
      </c>
      <c r="E4" s="7" t="inlineStr">
        <is>
          <t>정보공시 형식</t>
        </is>
      </c>
      <c r="F4" s="6" t="inlineStr">
        <is>
          <t>ESG 정보공시 주기</t>
        </is>
      </c>
      <c r="G4" s="7" t="inlineStr">
        <is>
          <t> 투자자, 고객 등 정보 수요자의 의사결정 및 가치판단에 필요한 최신 ESG 정보를 적시에 제공하고 있는지 점검  조직의 ESG 데이터 취합/분석/마감 기간을 고려하여 1년 단위로 ESG 정보공시 주기를 설정하고 있는지 확인</t>
        </is>
      </c>
      <c r="H4" s="7" t="inlineStr">
        <is>
          <t>ESG 정보공시 일자, 지속가능경영보고서 발간 주기</t>
        </is>
      </c>
      <c r="I4" s="7" t="inlineStr">
        <is>
          <t>최근 4개년 회계연도 * 3개년 이하 데이터 보유 시 해당 데이터로 추세 산정</t>
        </is>
      </c>
      <c r="J4" s="6" t="inlineStr">
        <is>
          <t>N/A</t>
        </is>
      </c>
      <c r="K4" s="6" t="inlineStr">
        <is>
          <t>N/A</t>
        </is>
      </c>
      <c r="L4" s="9" t="inlineStr">
        <is>
          <t>단계형</t>
        </is>
      </c>
      <c r="M4" s="5" t="n">
        <v>3</v>
      </c>
      <c r="N4" s="7" t="inlineStr">
        <is>
          <t>단계형: 1단계=0점 / 2단계=50점 / 3단계=100점</t>
        </is>
      </c>
      <c r="O4" s="6" t="inlineStr">
        <is>
          <t>1단계 |  ESG 정보공시 주기를 특정할 수 없거나, 명시하고 있지 않는 경우 |  2단계 |  2년 단위로 보고서 발간 및 ESG 정보를 공시하는 경우 |  3단계 |  1년 단위로 보고서 발간 및 ESG 정보를 공시하는 경우</t>
        </is>
      </c>
      <c r="P4" s="10" t="inlineStr">
        <is>
          <t>부분대응</t>
        </is>
      </c>
      <c r="Q4" s="6" t="inlineStr">
        <is>
          <t>KSSB 제1호 문단 60~63(보고빈도)</t>
        </is>
      </c>
      <c r="R4" s="6" t="inlineStr">
        <is>
          <t>GRI 2-3</t>
        </is>
      </c>
      <c r="S4" s="6" t="inlineStr">
        <is>
          <t>1_2_0_업종별 K-ESG 가이드라인(v2.0) 진단항목</t>
        </is>
      </c>
      <c r="T4" s="11" t="n"/>
      <c r="U4" s="12" t="n"/>
      <c r="V4" s="12" t="n"/>
      <c r="W4" s="12" t="n"/>
      <c r="X4" s="13" t="n"/>
      <c r="Y4" s="6" t="inlineStr">
        <is>
          <t> ESG 정보 수요자가 조직의 ESG 정보를 효과적으로 활용하기 위해서는, 조직이 ESG 정보를 주기적으로 공시하는 것이 중요하다. ESG 정보가 적시성을 확보하기 위해서는 ESG 정보공시 주기를 재무정보 공시주기와 동일하게 하거나, 재무정보 공시 이후 최대한 빠른 시기에 ESG 정보를 공시할 필요가 있다. 또한, ESG 정보 수요자에 상당한 영향력을 미칠 수 있는 정보는 이를 확인한 즉시 대외공시할 것을 권장한다.  조직은 ESG 정보공시 주기를 자율적으로 정할 수 있다. 일부 조직은 주요한 ESG 성과가 창출되는 시점마다 공시하기도 하며, 어떠한 조직은 ESG 정보공시에 따른 업무/비용 부담을 고려하여 격년 주기로 공시하기도 한다. 반면 ESG 정보공시 규제 및…</t>
        </is>
      </c>
      <c r="Z4" s="7" t="n"/>
      <c r="AA4" s="14" t="inlineStr">
        <is>
          <t>최신 ESG 정보를 적시에 제공하기 위해 1년 단위로 정기 공시합니까?</t>
        </is>
      </c>
      <c r="AB4" s="14" t="inlineStr">
        <is>
          <t>단계(1~5)</t>
        </is>
      </c>
    </row>
    <row r="5">
      <c r="A5" s="5" t="n">
        <v>3</v>
      </c>
      <c r="B5" s="6" t="inlineStr">
        <is>
          <t>P-1-3</t>
        </is>
      </c>
      <c r="C5" s="7" t="inlineStr">
        <is>
          <t>기본진단항목(v2.0)</t>
        </is>
      </c>
      <c r="D5" s="8" t="inlineStr">
        <is>
          <t>정보공시</t>
        </is>
      </c>
      <c r="E5" s="7" t="inlineStr">
        <is>
          <t>정보공시 형식</t>
        </is>
      </c>
      <c r="F5" s="6" t="inlineStr">
        <is>
          <t>ESG 정보공시 범위</t>
        </is>
      </c>
      <c r="G5" s="7" t="inlineStr">
        <is>
          <t> ESG 정보공시 제도화 움직임에 따라, 조직의 ESG 활동 및 성과를 충분히 대표하고 나타낼 수 있는 정보가 공시되고 있는지 점검  조직의 영향력과 통제력이 미치는 사업장(자회사 포함)의 ESG 정보가 최대한 공시되고 있는지 확인</t>
        </is>
      </c>
      <c r="H5" s="7" t="inlineStr">
        <is>
          <t>홈페이지, 지속가능경영보고서, 사업보고서, 전자공시시스템 上 ‘자율공시’</t>
        </is>
      </c>
      <c r="I5" s="7" t="inlineStr">
        <is>
          <t>직전 회계연도</t>
        </is>
      </c>
      <c r="J5" s="6" t="inlineStr">
        <is>
          <t>사업적 영향력 및 통제력을 행사하는 사업장 및 기타 연결실체</t>
        </is>
      </c>
      <c r="K5" s="6" t="inlineStr">
        <is>
          <t>ESG 정보공시 범위 = ESG 정보공시에 포함된 사업장 등의 (매출액 등) / 전체 조직의 (매출액 등)</t>
        </is>
      </c>
      <c r="L5" s="9" t="inlineStr">
        <is>
          <t>단계형</t>
        </is>
      </c>
      <c r="M5" s="5" t="n">
        <v>5</v>
      </c>
      <c r="N5" s="7" t="inlineStr">
        <is>
          <t>단계형: 1단계=0점 / 2단계=25점 / 3단계=50점 / 4단계=75점 / 5단계=100점</t>
        </is>
      </c>
      <c r="O5" s="6" t="inlineStr">
        <is>
          <t>1단계 |  ESG 정보공시 범위를 특정할 수 없거나, 명시하고 있지 않는 경우 |  2단계 |  조직이 법적으로 직접 소유하고 있는 사업장(ex. 별도재무제표 기준)의 일부 또는 모든 ESG 정보를 공시하고 있는 경우 |  3단계 |  조직의 영향력과 통제력 범위에 있는 곳(자회사, 종속법인, 연결실체 등)의 일부 ESG 정보를 공시하고 있는 경우 |  4단계 |  조직의 영향력과 통제력 범위에 있는 곳(자회사, 종속법인, 연결실체 등)의 일부 ESG 정보를 공시하고 있는 경우. |  단, 조직의 영향력과 통제력 범위로 ESG 정보공시 범위를 확대한다는 계획을 제시하고 있는 경우 |  5단계 |  조직의 영향력과 통제력 범위에 있는 곳(자회사, 종속법인, 연결실체 등)의 모든 ESG 정보를 공시하고 있는 경우</t>
        </is>
      </c>
      <c r="P5" s="10" t="inlineStr">
        <is>
          <t>부분대응</t>
        </is>
      </c>
      <c r="Q5" s="6" t="inlineStr">
        <is>
          <t>KSSB 제1호 문단 21~24(연계된 정보)</t>
        </is>
      </c>
      <c r="R5" s="6" t="inlineStr">
        <is>
          <t>GRI 2-2</t>
        </is>
      </c>
      <c r="S5" s="6" t="inlineStr">
        <is>
          <t>1_2_0_업종별 K-ESG 가이드라인(v2.0) 진단항목</t>
        </is>
      </c>
      <c r="T5" s="11" t="n"/>
      <c r="U5" s="12" t="n"/>
      <c r="V5" s="12" t="n"/>
      <c r="W5" s="12" t="n"/>
      <c r="X5" s="13" t="n"/>
      <c r="Y5" s="6" t="inlineStr">
        <is>
          <t> 조직은 ESG 정보공시 전 어떠한 범위까지 성과관리를 할 것인지, 또는 성과관리가 가능한지 등 최대 범위를 설정해야 한다. ESG 개념을 조직의 재무적 정보를 기반으로 투자의사결정을 하는 자본시장에서 등장하였기 때문에, 장기적으로 ESG 성과관리 및 정보공시 최대범위는 ‘(연결)재무제표’에 포함되는 ‘재무정보’ 범위와 동일시하려는 논의가 진행될 것으로 예상된다. 따라서 조직은 아래의 ‘영향력’과 ‘통제력’이 행사되는 범위에서 발생하는 환경, 사회, 지배구조 관련 정보를 공시할 필요가 있다. (예를 들어, US GAAP, IFRS 회계지침에는 20% 이상 지분을 보유한 조직을 상당한 영향력이 행사되는 조직으로 간주한다.) 1) ESG 정보를 공시하는 조직이 직접적으로…</t>
        </is>
      </c>
      <c r="Z5" s="7" t="n"/>
      <c r="AA5" s="14" t="inlineStr">
        <is>
          <t>조직 통제력이 미치는 종속/연결실체 등 최대 범위를 공시합니까?</t>
        </is>
      </c>
      <c r="AB5" s="14" t="inlineStr">
        <is>
          <t>단계(1~5)</t>
        </is>
      </c>
    </row>
    <row r="6">
      <c r="A6" s="5" t="n">
        <v>4</v>
      </c>
      <c r="B6" s="6" t="inlineStr">
        <is>
          <t>P-2-1</t>
        </is>
      </c>
      <c r="C6" s="7" t="inlineStr">
        <is>
          <t>기본진단항목(v2.0)</t>
        </is>
      </c>
      <c r="D6" s="8" t="inlineStr">
        <is>
          <t>정보공시</t>
        </is>
      </c>
      <c r="E6" s="7" t="inlineStr">
        <is>
          <t>정보공시 내용</t>
        </is>
      </c>
      <c r="F6" s="6" t="inlineStr">
        <is>
          <t>ESG 핵심이슈 및 KPI</t>
        </is>
      </c>
      <c r="G6" s="7" t="inlineStr">
        <is>
          <t> 조직의 사업성과 및 환경/사회에 상당한 영향력을 미치는 핵심이슈를 명확히 정의하고, 이를 관리하기 위한 시스템 및 절차를 갖추고 있는지 확인  조직이 인식하고 관리하고 있는 핵심 ESG 이슈에 대한 조직의 정보공시 수준을 점검</t>
        </is>
      </c>
      <c r="H6" s="7" t="inlineStr">
        <is>
          <t>홈페이지, 지속가능경영보고서, 사업보고서, 전자공시시스템 上 ‘자율공시’</t>
        </is>
      </c>
      <c r="I6" s="7" t="inlineStr">
        <is>
          <t>직전 회계연도</t>
        </is>
      </c>
      <c r="J6" s="6" t="inlineStr">
        <is>
          <t>N/A</t>
        </is>
      </c>
      <c r="K6" s="6" t="inlineStr">
        <is>
          <t>N/A</t>
        </is>
      </c>
      <c r="L6" s="9" t="inlineStr">
        <is>
          <t>단계형</t>
        </is>
      </c>
      <c r="M6" s="5" t="n">
        <v>5</v>
      </c>
      <c r="N6" s="7" t="inlineStr">
        <is>
          <t>단계형: 1단계=0점 / 2단계=25점 / 3단계=50점 / 4단계=75점 / 5단계=100점</t>
        </is>
      </c>
      <c r="O6" s="6" t="inlineStr">
        <is>
          <t>1단계 |  중대성 평가 결과 또는 ESG 핵심이슈를 공시하고 있지 않은 경우 |  2단계 |  중대성 평가 결과와 핵심이슈를 명확히 정의하고 있는 경우 |  3단계 |  2단계 + 핵심이슈에 대해 조직이 관리하고 있는 성과지표를 설명하고 있는 경우 |  (예를 들어, 기후변화가 핵심이슈일 경우, 온실가스 배출량 데이터 제시) |  4단계 |  3단계 + 핵심이슈가 사업적/사회적 관점에서 중요한 사유를 설명하고 있는 경우 |  (예를 들어, 사업적/사회적 관점의 기회 요인과 리스크 요인 등) |  5단계 |  4단계 + 핵심이슈를 관리하기 위한 시스템 및 절차를 설명하고 있는 경우 |  (조직, 전략 및 계획, 고충처리체계, 활동 및 교육 등)</t>
        </is>
      </c>
      <c r="P6" s="10" t="inlineStr">
        <is>
          <t>부분대응</t>
        </is>
      </c>
      <c r="Q6" s="6" t="inlineStr">
        <is>
          <t>KSSB 제1호 문단 17~19(중요성 판단, 이중중대성 개념 미흡)</t>
        </is>
      </c>
      <c r="R6" s="6" t="inlineStr">
        <is>
          <t>GRI 3(중대성평가)</t>
        </is>
      </c>
      <c r="S6" s="6" t="inlineStr">
        <is>
          <t>1_2_0_업종별 K-ESG 가이드라인(v2.0) 진단항목</t>
        </is>
      </c>
      <c r="T6" s="11" t="n"/>
      <c r="U6" s="12" t="n"/>
      <c r="V6" s="12" t="n"/>
      <c r="W6" s="12" t="n"/>
      <c r="X6" s="13" t="n"/>
      <c r="Y6" s="6" t="inlineStr">
        <is>
          <t> 조직의 중요한 경제적, 환경적, 사회적 영향을 반영하는 측면 또는 이해관계자들의 평가와 의사결정에 실질적으로 영향을 미치는 측면을 모두 고려하여 보고서에서 다룰 가치가 있다고 판단되는 주제를 선정하는 과정을 거쳐야 한다. 이러한 이슈의 중대성을 판별하기 위한 방법으로는 일반적으로 ‘중대성 평가(Materiality Assessment)’ 또는 ‘이중 중대성 평가(Double Materiality Assessment)’가 있으며, 중대 측면을 정의하는 데 있어 조직이 참작해야 할 요인들은 다음과 같다. - 지속가능성에 영향, 위험, 기회 요소가 될 수 있는 항목(ex. 지구 온난화, 에이즈, 빈곤 등) 중 합리적 평가가 가능하고, 전문가나 해당 분야에 자격을 갖춘 전문…</t>
        </is>
      </c>
      <c r="Z6" s="7" t="n"/>
      <c r="AA6" s="14" t="inlineStr">
        <is>
          <t>이중 중대성 평가 기반 핵심이슈, 위기/기회, KPI를 공시합니까?</t>
        </is>
      </c>
      <c r="AB6" s="14" t="inlineStr">
        <is>
          <t>단계(1~5)</t>
        </is>
      </c>
    </row>
    <row r="7">
      <c r="A7" s="5" t="n">
        <v>5</v>
      </c>
      <c r="B7" s="6" t="inlineStr">
        <is>
          <t>P-3-1</t>
        </is>
      </c>
      <c r="C7" s="7" t="inlineStr">
        <is>
          <t>기본진단항목(v2.0)</t>
        </is>
      </c>
      <c r="D7" s="8" t="inlineStr">
        <is>
          <t>정보공시</t>
        </is>
      </c>
      <c r="E7" s="7" t="inlineStr">
        <is>
          <t>정보공시 검증</t>
        </is>
      </c>
      <c r="F7" s="6" t="inlineStr">
        <is>
          <t>ESG 정보공시 검증</t>
        </is>
      </c>
      <c r="G7" s="7" t="inlineStr">
        <is>
          <t> 조직의 ESG 정보를 직접적으로 또는 가공하여 활용하는 이해관계자가 증가함에 따라, 조직이 대외공시하는 ESG 정보가 타당성/신뢰성/투명성을 확보하고 있는지 확인  조직이 대외공시하는 정보에 관해 제3자 기관으로부터 검증을 받는 경우, 해당 검증의견이 갖추어야 할 형식적 요건을 점검</t>
        </is>
      </c>
      <c r="H7" s="7" t="inlineStr">
        <is>
          <t>ESG 정보 검증의견서, 지속가능경영보고서 검증의견서</t>
        </is>
      </c>
      <c r="I7" s="7" t="inlineStr">
        <is>
          <t>직전 회계연도</t>
        </is>
      </c>
      <c r="J7" s="6" t="inlineStr">
        <is>
          <t>N/A</t>
        </is>
      </c>
      <c r="K7" s="6" t="inlineStr">
        <is>
          <t>N/A</t>
        </is>
      </c>
      <c r="L7" s="9" t="inlineStr">
        <is>
          <t>선택형</t>
        </is>
      </c>
      <c r="M7" s="5" t="n">
        <v>5</v>
      </c>
      <c r="N7" s="7" t="inlineStr">
        <is>
          <t>선택형: 요건1=0점 / 요건2=25점 / 요건3=50점 / 요건4=75점 / 요건5=100점</t>
        </is>
      </c>
      <c r="O7" s="6" t="inlineStr">
        <is>
          <t>요건1 |  검증의견서에 검증기관(또는 검증인)이 명시되어 있는 경우 |  (또는, 검증기관이 License Number를 보유하고 있는 경우) |  요건2 |  검증의견서에 검증기관과의 독립성 성명이 포함되어 있는 경우 |  (즉, 검증기관과 검증받는 조직간 이해관계 상충이 없음을 선언한 경우) |  요건3 |  검증의견서에 검증표준(방법론)이 제시되어 있는 경우 |  (AA1000AS, ISAE3000, 또는 제3자 검증기관이 개발한 자체 검증표준 등) |  요건4 |  검증의견서에 ESG 정보 검증수준을 공개하고 있는 경우 |  (Type1/Type2, Moderate/High, 제한적/합리적 등) |  요건5 |  검증의견서에 제3자 검증기관이 검증한 정보공시 지표가 적시되어 있는 경우 |  (즉, 조직의 모든 ESG 정보 중 어떠한 정보를 검증하였는지 명시하는 경우)</t>
        </is>
      </c>
      <c r="P7" s="10" t="inlineStr">
        <is>
          <t>완전대응</t>
        </is>
      </c>
      <c r="Q7" s="6" t="inlineStr">
        <is>
          <t>KSSB 제1호 문단 50(3)(외부검증)</t>
        </is>
      </c>
      <c r="R7" s="6" t="inlineStr">
        <is>
          <t>GRI 2-5, AA1000AS, ISAE3000</t>
        </is>
      </c>
      <c r="S7" s="6" t="inlineStr">
        <is>
          <t>1_2_0_업종별 K-ESG 가이드라인(v2.0) 진단항목</t>
        </is>
      </c>
      <c r="T7" s="11" t="n"/>
      <c r="U7" s="12" t="n"/>
      <c r="V7" s="12" t="n"/>
      <c r="W7" s="12" t="n"/>
      <c r="X7" s="13" t="n"/>
      <c r="Y7" s="6" t="inlineStr">
        <is>
          <t> 조직은 지속가능경영보고서 발간 등 ESG 정보공시 지표 및 기준을 자율적으로 선택할 수 있으며, ESG 정보가 갖추어야 할 신뢰성을 강제할 수 있는 법적/제도적 장치도 마련되어 있지 않은 상황이다. 따라서 ESG 정보 검증은 이러한 문제점을 개선하기 위한 조직의 의지이자 자율적 활동으로 조직이 공시하는 ESG 정보의 신뢰성을 확보하는 수단으로 인정받고 있다.  ESG 정보 검증의 타당성과 신뢰성을 확인하기 위한 기준은 ‘검증기관의 적격성’, ‘검증기관과의 독립성’, ‘검증방법론의 합리성’, ‘검증수준의 명확성’, ‘검증지표의 구체성’으로 구분할 수 있다.  글로벌 시장에서 통용되는 ESG 검증표준에는 1) 지속가능경영 관련 국제표준 제정기관인…</t>
        </is>
      </c>
      <c r="Z7" s="7" t="n"/>
      <c r="AA7" s="14" t="inlineStr">
        <is>
          <t>적격/독립된 제3자 검증기관으로부터 인증을 획득했습니까?</t>
        </is>
      </c>
      <c r="AB7" s="14" t="inlineStr">
        <is>
          <t>단계(1~5)</t>
        </is>
      </c>
    </row>
    <row r="8">
      <c r="A8" s="5" t="n">
        <v>53</v>
      </c>
      <c r="B8" s="6" t="inlineStr">
        <is>
          <t>G-1-1</t>
        </is>
      </c>
      <c r="C8" s="7" t="inlineStr">
        <is>
          <t>기본진단항목(v2.0)</t>
        </is>
      </c>
      <c r="D8" s="8" t="inlineStr">
        <is>
          <t>지배구조</t>
        </is>
      </c>
      <c r="E8" s="7" t="inlineStr">
        <is>
          <t>이사회 구성</t>
        </is>
      </c>
      <c r="F8" s="6" t="inlineStr">
        <is>
          <t>이사회 내 ESG 안건 상정</t>
        </is>
      </c>
      <c r="G8" s="7" t="inlineStr">
        <is>
          <t> 조직의 최고의사결정기구인 이사회 또는 산하 위원회가 ESG 관련 안건을 보고받고 있으며, 특히 중대한 ESG 안건에 대해서는 심의/의결하고 있는지 확인  이사회 또는 산하 위원회를 통해 조직의 ESG 경영이 효율적으로 관리 및 감독되고 있는지 점검하기 위해 1) 활동내역, 2) 운영 규정의 2가지를 점검  조직은 ESG 안건을 다루기 위해 이사회 산하에 ‘지속가능경영위원회(ESG위원회)’를 설립할 수 있으나, 이사회, 또는 기존의 산하 위원회(사회책임위원회, 투명경영위원회, 거버넌스위원회, 경영위원회, 감사위원회 등)를 통해서도 ESG 안건을 다룰 수 있음</t>
        </is>
      </c>
      <c r="H8" s="7" t="inlineStr">
        <is>
          <t>이사회 또는 산하 위원회 개최 내역, 이사회 또는 산하 위원회 운영규정</t>
        </is>
      </c>
      <c r="I8" s="7" t="inlineStr">
        <is>
          <t>직전 회계연도</t>
        </is>
      </c>
      <c r="J8" s="6" t="inlineStr">
        <is>
          <t>N/A</t>
        </is>
      </c>
      <c r="K8" s="6" t="inlineStr">
        <is>
          <t>N/A</t>
        </is>
      </c>
      <c r="L8" s="9" t="inlineStr">
        <is>
          <t>복합가중형</t>
        </is>
      </c>
      <c r="M8" s="5" t="n"/>
      <c r="N8" s="7" t="inlineStr">
        <is>
          <t>복합가중형: 2~3개 세부요소를 균등가중평균(예: 1/2+1/2, 1/3×3) — 세부 배점은 점검기준 상세 참조, 자사취득점수는 수동 산정</t>
        </is>
      </c>
      <c r="O8" s="6" t="inlineStr">
        <is>
          <t>영역1 (1/2) |  1단계 |  이사회 또는 산하 위원회에서 ESG 관련 안건을 다루고 있지 않는 경우 |  2단계 |  최근 1년간 ESG 관련 안건이 모두 '보고' 사항인 경우 |  3단계 |  최근 1년간 ESG 관련 안건 중 '심의/의결' 사항이 있는 경우 |  영역2 (1/2) |  1단계 |  이사회 또는 산하 위원회 운영규정에 ESG 관련 사항을 명시하지 않는 경우 |  2단계 |  이사회 또는 산하 위원회 운영규정에 ‘ESG’라는 단어만 기재하고 있는 경우 |  3단계 |  이사회 또는 산하 위원회 운영규정에 ESG 이외에, 조직과 관련된 중요 ESG 이슈 또는 안건을 명시하고 있는 경우</t>
        </is>
      </c>
      <c r="P8" s="10" t="inlineStr">
        <is>
          <t>완전대응</t>
        </is>
      </c>
      <c r="Q8" s="6" t="inlineStr">
        <is>
          <t>KSSB 제1호 문단 27(1) — 이사회 ESG 안건 감독</t>
        </is>
      </c>
      <c r="R8" s="6" t="inlineStr">
        <is>
          <t>GRI 2-9, KCGS</t>
        </is>
      </c>
      <c r="S8" s="6" t="inlineStr">
        <is>
          <t>1_2_0_업종별 K-ESG 가이드라인(v2.0) 진단항목</t>
        </is>
      </c>
      <c r="T8" s="11" t="inlineStr">
        <is>
          <t>해당없음(복합가중형)</t>
        </is>
      </c>
      <c r="U8" s="12" t="n"/>
      <c r="V8" s="12" t="n"/>
      <c r="W8" s="12" t="n"/>
      <c r="X8" s="13" t="n"/>
      <c r="Y8" s="6" t="inlineStr">
        <is>
          <t> ESG가 사업운영 및 중장기 발전을 위한 중요한 요인으로 등장함에 따라, 조직의 최고의사결정기구인 이사회에서 ESG 안건을 검토/심의/의결하도록 요구받고 있다. 조직은 이사회에서 ESG와 관련한 중요 안건을 보고받거나, 심의/의결할 수도 있으며, 이사회 산하 위원회를 설치하여 ESG 관련 안건을 다루도록 함으로써 이사회 역할 수행의 전문성과 효율성을 제고할 수 있다.  조직은 ESG 안건을 다루기 위해 이사회 산하에 ‘ESG위원회’를 신설할 수 있으나, 이사회, 또는 기존에 설치한 위원회(사회책임위원회, 투명경영위원회, 거번너스위원회, 경영위원회, 감사위원회 등)를 통해서도 ESG 안건을 다룰 수 있다. 즉, ‘ESG위원회’ 설치 여부가 중요한 것이 아니라, 어떠한…</t>
        </is>
      </c>
      <c r="Z8" s="7" t="n"/>
      <c r="AA8" s="14" t="inlineStr">
        <is>
          <t>이사회 및 ESG위원회 운영 규정에 역할을 명시하고 정기 심의합니까?</t>
        </is>
      </c>
      <c r="AB8" s="14" t="inlineStr">
        <is>
          <t>단계(1~5)</t>
        </is>
      </c>
    </row>
    <row r="9">
      <c r="A9" s="5" t="n">
        <v>54</v>
      </c>
      <c r="B9" s="6" t="inlineStr">
        <is>
          <t>G-1-2</t>
        </is>
      </c>
      <c r="C9" s="7" t="inlineStr">
        <is>
          <t>기본진단항목(v2.0)</t>
        </is>
      </c>
      <c r="D9" s="8" t="inlineStr">
        <is>
          <t>지배구조</t>
        </is>
      </c>
      <c r="E9" s="7" t="inlineStr">
        <is>
          <t>이사회 구성</t>
        </is>
      </c>
      <c r="F9" s="6" t="inlineStr">
        <is>
          <t>사외이사 비율</t>
        </is>
      </c>
      <c r="G9" s="7" t="inlineStr">
        <is>
          <t> 조직이 사외이사 제도를 통해 경영진 및 지배주주에 대한 견제, 기업경영 투명성의 제고, 소수주주의 권리보호 등의 목적을 달성하고 있는지 확인  경영진의 의사결정 행위를 견제할 수 있으며, 독립적인 시각에서 기업 발전에 관한 제언을 할 수 있는 사외이사 비율이 충분한지 점검</t>
        </is>
      </c>
      <c r="H9" s="7" t="inlineStr">
        <is>
          <t>이사회 구성현황, 전자공시시스템 [사업보고서-이사회에 관한 사항]</t>
        </is>
      </c>
      <c r="I9" s="7" t="inlineStr">
        <is>
          <t>지난 1개 회계연도 기준</t>
        </is>
      </c>
      <c r="J9" s="6" t="inlineStr">
        <is>
          <t>N/A</t>
        </is>
      </c>
      <c r="K9" s="6" t="inlineStr">
        <is>
          <t>N/A</t>
        </is>
      </c>
      <c r="L9" s="9" t="inlineStr">
        <is>
          <t>단계형</t>
        </is>
      </c>
      <c r="M9" s="5" t="n">
        <v>5</v>
      </c>
      <c r="N9" s="7" t="inlineStr">
        <is>
          <t>단계형: 1단계=0점 / 2단계=25점 / 3단계=50점 / 4단계=75점 / 5단계=100점</t>
        </is>
      </c>
      <c r="O9" s="6" t="inlineStr">
        <is>
          <t>1단계 |  총원의 과반수로 구성되었으나, 사외이사가 3인인 경우 |  2단계 |  3인 이상, 이사 총원의 과반수를 차지하고 있으나, 전체 이사 중 60% 미만인 경우 |  3단계 |  3인 이상, 이사 총원의 과반수를 차지, 전체 이사 중 60% 이상 ~ 70% 미만인 경우 |  4단계 |  3인 이상, 이사 총원의 과반수를 차지, 전체 이사 중 70% 이상 ~ 80% 미만인 경우 |  5단계 |  3인 이상, 이사 총원의 과반수를 차지, 전체 이사 중 80% 이상인 경우</t>
        </is>
      </c>
      <c r="P9" s="10" t="inlineStr">
        <is>
          <t>부분대응</t>
        </is>
      </c>
      <c r="Q9" s="6" t="inlineStr">
        <is>
          <t>KSSB 제1호 문단 27(1) 취지상 이사회 역량 요구와 연관</t>
        </is>
      </c>
      <c r="R9" s="6" t="inlineStr">
        <is>
          <t>지배구조보고서 가이드라인, GRI 2-9</t>
        </is>
      </c>
      <c r="S9" s="6" t="inlineStr">
        <is>
          <t>1_2_0_업종별 K-ESG 가이드라인(v2.0) 진단항목</t>
        </is>
      </c>
      <c r="T9" s="11" t="n"/>
      <c r="U9" s="12" t="n"/>
      <c r="V9" s="12" t="n"/>
      <c r="W9" s="12" t="n"/>
      <c r="X9" s="13" t="n"/>
      <c r="Y9" s="6" t="inlineStr">
        <is>
          <t> 이사회가 조직의 경영활동에 대한 감독과 견제의 기능을 효과적으로 수행하며, 경영진이 합리적이고 객관적인 의사결정을 내릴 수 있도록 제언하기 위해서는 사외이사의 독립성이 확보되어야 한다. 사외이사의 독립성 요건(또는 사외이사 결격사유)은 ｢상법｣ 제382조 및 제542조, 금융회사의 지배구조에 관한 법률｣ 제12조를 통해 확인할 수 있다.  사외이사가 경영진의 의사결정에 중요한 영향력을 행사하거나, 이사회 의결사항에 상당한 의사결정권한을 갖추기 위해서는 충분한 수의 사외이사가 확보되어야 한다. 따라서 사외이사 비율은 이사회가 경영진 등을 충분히 견제할 수 있는 수준에서 결정되어야 한다. ｢상법｣ 및 ｢금융회사의 지배구조에 관한 법률｣에서 제시하는 사외이사 비율…</t>
        </is>
      </c>
      <c r="Z9" s="7" t="n"/>
      <c r="AA9" s="14" t="inlineStr">
        <is>
          <t>경영진 견제를 위해 사외이사의 비율을 과반수 이상 확보하고 있습니까?</t>
        </is>
      </c>
      <c r="AB9" s="14" t="inlineStr">
        <is>
          <t>단계(1~5)</t>
        </is>
      </c>
    </row>
    <row r="10">
      <c r="A10" s="5" t="n">
        <v>55</v>
      </c>
      <c r="B10" s="6" t="inlineStr">
        <is>
          <t>G-1-3</t>
        </is>
      </c>
      <c r="C10" s="7" t="inlineStr">
        <is>
          <t>기본진단항목(v2.0)</t>
        </is>
      </c>
      <c r="D10" s="8" t="inlineStr">
        <is>
          <t>지배구조</t>
        </is>
      </c>
      <c r="E10" s="7" t="inlineStr">
        <is>
          <t>이사회 구성</t>
        </is>
      </c>
      <c r="F10" s="6" t="inlineStr">
        <is>
          <t>대표이사와 이사회 의장 분리</t>
        </is>
      </c>
      <c r="G10" s="7" t="inlineStr">
        <is>
          <t> 경영진의 경영활동을 감독하고 견제하는 이사회의 역할을 제대로 수행하기 위한 독립성 확보 여부를 확인  이사회의 의장과 경영진의 대표인 대표이사와의 분리 여부 및 선임사외이사 임명 등을 점검</t>
        </is>
      </c>
      <c r="H10" s="7" t="inlineStr">
        <is>
          <t>이사회 구성 현황, 전자공시시스템[사업보고서-이사회에 관한 사항]</t>
        </is>
      </c>
      <c r="I10" s="7" t="inlineStr">
        <is>
          <t>지난 1개 회계연도 기준</t>
        </is>
      </c>
      <c r="J10" s="6" t="inlineStr">
        <is>
          <t>N/A</t>
        </is>
      </c>
      <c r="K10" s="6" t="inlineStr">
        <is>
          <t>N/A</t>
        </is>
      </c>
      <c r="L10" s="9" t="inlineStr">
        <is>
          <t>단계형</t>
        </is>
      </c>
      <c r="M10" s="5" t="n">
        <v>5</v>
      </c>
      <c r="N10" s="7" t="inlineStr">
        <is>
          <t>단계형: 1단계=0점 / 2단계=25점 / 3단계=50점 / 4단계=75점 / 5단계=100점</t>
        </is>
      </c>
      <c r="O10" s="6" t="inlineStr">
        <is>
          <t>1단계 |  현재 대표이사와 이사회 의장이 동일한 경우 |  2단계 |  과거 대표이사 또는 이사회 의장을 역임했던 자가 현재 이사회 의장인 경우 |  3단계 |  현재 이사회 의장이 과거 또는 현재의 대표이사나 이사회 의장을 역임하지 않았으나, 모회사 또는 자회사의 임원 등 독립성이 |  결여된 자가 이사회 의장인 경우 |  4단계 |  과거 또는 현재 대표이사이거나, 이사회 의장을 역임하였거나, 독립성이 결여된 자가 현재 이사회 의장인 경우. |  단, 이사회 의장과 이해관계 상충하는 안건 등에 있어, 이사회 의장 역할을 대신하는 ‘선임사외이사’를 임명하고 있는 경우 |  5단계 |  과거 또는 현재 대표이사이거나, 이사회 의장을 역임한 적이 없으며, 회사로부터 독립성이 확보된 이사가 현재 이사회의 |  의장인 경우</t>
        </is>
      </c>
      <c r="P10" s="10" t="inlineStr">
        <is>
          <t>GAP(대응지표 없음)</t>
        </is>
      </c>
      <c r="Q10" s="6" t="inlineStr">
        <is>
          <t>KSSB 별도 규정 없음</t>
        </is>
      </c>
      <c r="R10" s="6" t="inlineStr">
        <is>
          <t>지배구조보고서 가이드라인</t>
        </is>
      </c>
      <c r="S10" s="6" t="inlineStr">
        <is>
          <t>1_2_0_업종별 K-ESG 가이드라인(v2.0) 진단항목</t>
        </is>
      </c>
      <c r="T10" s="11" t="n"/>
      <c r="U10" s="12" t="n"/>
      <c r="V10" s="12" t="n"/>
      <c r="W10" s="12" t="n"/>
      <c r="X10" s="13" t="n"/>
      <c r="Y10" s="6" t="inlineStr">
        <is>
          <t> 경영진을 대표하는 대표이사와 이사회를 대표하는 이사회 의장이 동일하다면 경영진의 경영활동을 감독하고 견제하는 이사회의 역할을 제대로 수행할 수 없다. 다만, 대표이사와 이사회 의장이 분리되지 않은 경우에도 독립성을 갖춘 선임사외이사를 두어 이사회의 기능과 역할을 주도적으로 수행하도록 할 수 있다. 선임사외이사는 이사회(대표이사 또는 특수관계인이 이사회 의장으로 선임된)에서 대표이사의 이해와 관계된 의사결정 사안에 대해 이사회 의장을 대리하며, 사외이사들의 의견을 대표로 사내이사 및 경영진에게 전달하는 역할을 수행한다.  국내외 법/규제, ESG 평가기관 등은 대표이사의 이사회 의장 분리 및 선임사외이사 임명 관련 사항을 아래와 같이 명시하고 있으므로, 해당 지표…</t>
        </is>
      </c>
      <c r="Z10" s="7" t="n"/>
      <c r="AA10" s="14" t="inlineStr">
        <is>
          <t>대표이사와 이사회 의장 분리에 대한 현황을 관리·공시하고 있습니까?</t>
        </is>
      </c>
      <c r="AB10" s="14" t="inlineStr">
        <is>
          <t>단계(1~5)</t>
        </is>
      </c>
    </row>
    <row r="11">
      <c r="A11" s="5" t="n">
        <v>56</v>
      </c>
      <c r="B11" s="6" t="inlineStr">
        <is>
          <t>G-1-4</t>
        </is>
      </c>
      <c r="C11" s="7" t="inlineStr">
        <is>
          <t>기본진단항목(v2.0)</t>
        </is>
      </c>
      <c r="D11" s="8" t="inlineStr">
        <is>
          <t>지배구조</t>
        </is>
      </c>
      <c r="E11" s="7" t="inlineStr">
        <is>
          <t>이사회 구성</t>
        </is>
      </c>
      <c r="F11" s="6" t="inlineStr">
        <is>
          <t>이사회 성별 다양성</t>
        </is>
      </c>
      <c r="G11" s="7" t="inlineStr">
        <is>
          <t> 이사회가 다양한 이해관계자들의 요구사항을 두루 고려하여 폭넓은 시각과 경험을 바탕으로 중요한 의사결정에 임할 수 있도록 이사회 구성원이 다양한 배경을 가지고 있는지 확인  다양성과 포용성의 대표적인 분류인 남성 대비 여성 비율(혹은 여성 대비 남성 비율)을 점검</t>
        </is>
      </c>
      <c r="H11" s="7" t="inlineStr">
        <is>
          <t>이사회 구성 현황, 전자공시시스템[사업보고서-이사회에 관한 사항]</t>
        </is>
      </c>
      <c r="I11" s="7" t="inlineStr">
        <is>
          <t>지난 1개 회계연도 기준</t>
        </is>
      </c>
      <c r="J11" s="6" t="inlineStr">
        <is>
          <t>N/A</t>
        </is>
      </c>
      <c r="K11" s="6" t="inlineStr">
        <is>
          <t>이사회 여성 비율 = (여성 이사 수 / 전체 이사회 구성원 수)</t>
        </is>
      </c>
      <c r="L11" s="9" t="inlineStr">
        <is>
          <t>단계형</t>
        </is>
      </c>
      <c r="M11" s="5" t="n">
        <v>5</v>
      </c>
      <c r="N11" s="7" t="inlineStr">
        <is>
          <t>단계형: 1단계=0점 / 2단계=25점 / 3단계=50점 / 4단계=75점 / 5단계=100점</t>
        </is>
      </c>
      <c r="O11" s="6" t="inlineStr">
        <is>
          <t>1단계 |  이사회 내 여성 이사가 선임되어 있지 않는 경우 |  2단계 |  이사회 내 여성 이사가 1명만 선임되어 있는 경우 |  3단계 |  이사회 내 여성 이사가 2명 이상이며, 그 비율이 10% 이상 ~ 20% 미만인 경우 |  4단계 |  이사회 내 여성 이사가 2명 이상이며, 그 비율이 20% 이상 ~ 30% 미만인 경우 |  5단계 |  이사회 내 여성 이사가 2명 이상이며, 그 비율이 30% 이상인 경우 |  * 이사회 내 다수 성(性)이 여성일 경우에는 반대로 적용</t>
        </is>
      </c>
      <c r="P11" s="10" t="inlineStr">
        <is>
          <t>부분대응</t>
        </is>
      </c>
      <c r="Q11" s="6" t="inlineStr">
        <is>
          <t>KSSB 제1호 문단 27(1) 이사회 역량·다양성 취지 준용</t>
        </is>
      </c>
      <c r="R11" s="6" t="inlineStr">
        <is>
          <t>GRI 405-1</t>
        </is>
      </c>
      <c r="S11" s="6" t="inlineStr">
        <is>
          <t>1_2_0_업종별 K-ESG 가이드라인(v2.0) 진단항목</t>
        </is>
      </c>
      <c r="T11" s="11" t="n"/>
      <c r="U11" s="12" t="n"/>
      <c r="V11" s="12" t="n"/>
      <c r="W11" s="12" t="n"/>
      <c r="X11" s="13" t="n"/>
      <c r="Y11" s="6" t="inlineStr">
        <is>
          <t> 조직이 대내외 환경 변화에 유연하게 대처하고 장기적인 지속가능성을 확보하기 위해서는 다양한 시각과 관점에서 당면한 문제를 바라보고 해결할 수 있는 다양한 배경과 경험을 가진 이사를 선임해야 할 필요가 있다. 본 지표는 이러한 다양성을 확인할 수 있는 대표적 기준 중 하나인 성(性) 비율을 통해 이사회 내 성별 다양성을 점검하도록 요구하고 있다.  이사회를 구성하는 이사가 특정 성(性)에 치우치지 않는다는 것은 성별에서 기인하는 특정한 관점, 이해관계 등에서 벗어난 다양한 의견이 이사회의 의사결정에 반영될 수 있다는 것을 의미한다. 특히, 국내의 경우 독립적이고 다양한 전문성을 가지는 사외이사를 선임하는 등의 노력은 지속되고 있으나 이사회의 성별 다양성은 부족한…</t>
        </is>
      </c>
      <c r="Z11" s="7" t="n"/>
      <c r="AA11" s="14" t="inlineStr">
        <is>
          <t>여성 이사를 1명 이상 혹은 30% 이상 일정 비율 확보했습니까?</t>
        </is>
      </c>
      <c r="AB11" s="14" t="inlineStr">
        <is>
          <t>단계(1~5)</t>
        </is>
      </c>
    </row>
    <row r="12">
      <c r="A12" s="5" t="n">
        <v>57</v>
      </c>
      <c r="B12" s="6" t="inlineStr">
        <is>
          <t>G-1-5</t>
        </is>
      </c>
      <c r="C12" s="7" t="inlineStr">
        <is>
          <t>기본진단항목(v2.0)</t>
        </is>
      </c>
      <c r="D12" s="8" t="inlineStr">
        <is>
          <t>지배구조</t>
        </is>
      </c>
      <c r="E12" s="7" t="inlineStr">
        <is>
          <t>이사회 구성</t>
        </is>
      </c>
      <c r="F12" s="6" t="inlineStr">
        <is>
          <t>사외이사 전문성</t>
        </is>
      </c>
      <c r="G12" s="7" t="inlineStr">
        <is>
          <t> 사내이사와 사외이사의 정보 비대칭이 존재하는 상황에서 사외이사가 조직의 중장기 발전에 관한 충분한 의견을 제공하거나, 경영진의 의사결정을 견제할 수 있는 전문성을 갖추고 있는지 확인  사외이사가 조직의 사업 방향에 대해 전문적인 의견을 제시할 수 있는지 점검 (사외이사가 동종산업의 업무경력을 보유하고 있는지 확인)</t>
        </is>
      </c>
      <c r="H12" s="7" t="inlineStr">
        <is>
          <t>사외이사 경력사항</t>
        </is>
      </c>
      <c r="I12" s="7" t="inlineStr">
        <is>
          <t>직전 회계연도</t>
        </is>
      </c>
      <c r="J12" s="6" t="inlineStr">
        <is>
          <t>N/A</t>
        </is>
      </c>
      <c r="K12" s="6" t="inlineStr">
        <is>
          <t>N/A</t>
        </is>
      </c>
      <c r="L12" s="9" t="inlineStr">
        <is>
          <t>단계형</t>
        </is>
      </c>
      <c r="M12" s="5" t="n">
        <v>3</v>
      </c>
      <c r="N12" s="7" t="inlineStr">
        <is>
          <t>단계형: 1단계=0점 / 2단계=50점 / 3단계=100점</t>
        </is>
      </c>
      <c r="O12" s="6" t="inlineStr">
        <is>
          <t>1단계 |  동종산업 경력을 보유한 사외이사가 없는 경우 |  2단계 |  동종산업 경력을 보유한 사외이사가 1명 이상인 경우 |  3단계 |  동종산업 경력을 보유한 사외이사가 50% 이상인 경우</t>
        </is>
      </c>
      <c r="P12" s="10" t="inlineStr">
        <is>
          <t>완전대응</t>
        </is>
      </c>
      <c r="Q12" s="6" t="inlineStr">
        <is>
          <t>KSSB 제1호 문단 27(1)ㄏ — 이사회 전문성 판단·개발계획</t>
        </is>
      </c>
      <c r="R12" s="6" t="inlineStr">
        <is>
          <t>지배구조보고서 가이드라인, KCGS</t>
        </is>
      </c>
      <c r="S12" s="6" t="inlineStr">
        <is>
          <t>1_2_0_업종별 K-ESG 가이드라인(v2.0) 진단항목</t>
        </is>
      </c>
      <c r="T12" s="11" t="n"/>
      <c r="U12" s="12" t="n"/>
      <c r="V12" s="12" t="n"/>
      <c r="W12" s="12" t="n"/>
      <c r="X12" s="13" t="n"/>
      <c r="Y12" s="6" t="inlineStr">
        <is>
          <t> 전문성 있는 사외이사란 사내이사(경영진 등)의 경영의사결정에 대한 제언과 감독 기능을 충실히 이행할 수 있도록 해당 산업 전문지식과 경력을 보유하고 있는 자를 말하다. 이때, 해당 산업 전문지식과 경력이란 한국표준산업분류의 대분류(2자리 코드) 기준 동종산업에서 실무자 또는 경영진으로써 재직하였거나, 관련 연구기관 및 서비스기관에서 종사한 경험이 있는 것을 의미하며, 대학을 포함한 고등교육기관 및 학술기관 경력은 제외한다.  글로벌 ESG 평가기관은 ‘산업 전문성을 갖춘 사외이사 비율’을 평가지표로 운용하고 있으며, 조직은 사외이사 선임 시 평가기관 등이 제시하는 ‘산업 전문성’ 요건을 참고할 수 있다. - (S&amp;P Global) 국제산업분류표준(GICS)…</t>
        </is>
      </c>
      <c r="Z12" s="7" t="n"/>
      <c r="AA12" s="14" t="inlineStr">
        <is>
          <t>동종 산업(반도체/전자) 실무 경험을 보유한 사외이사가 포함되어 있습니까?</t>
        </is>
      </c>
      <c r="AB12" s="14" t="inlineStr">
        <is>
          <t>단계(1~3)</t>
        </is>
      </c>
    </row>
    <row r="13">
      <c r="A13" s="5" t="n">
        <v>58</v>
      </c>
      <c r="B13" s="6" t="inlineStr">
        <is>
          <t>G-2-1</t>
        </is>
      </c>
      <c r="C13" s="7" t="inlineStr">
        <is>
          <t>기본진단항목(v2.0)</t>
        </is>
      </c>
      <c r="D13" s="8" t="inlineStr">
        <is>
          <t>지배구조</t>
        </is>
      </c>
      <c r="E13" s="7" t="inlineStr">
        <is>
          <t>이사회 활동</t>
        </is>
      </c>
      <c r="F13" s="6" t="inlineStr">
        <is>
          <t>전체 이사 출석률</t>
        </is>
      </c>
      <c r="G13" s="7" t="inlineStr">
        <is>
          <t> 조직의 최고의사결정기구인 이사회가 검토/심의/의결 기능을 효과적으로 수행하기 위해서는 이사회 구성원의 적극적인 참여가 중요함. 이사회 구성원이 이사회에 참여하여 조직의 성장 및 발전에 관한 제언, 주요안건에 대한 의사결정 행위를 하고 있는지 확인  이사회 구성원별 출석률을 평균하여, 전체 이사 출석률이 일정 수준 이상인지 점검</t>
        </is>
      </c>
      <c r="H13" s="7" t="inlineStr">
        <is>
          <t>이사회 구성 현황, 이사회 회의록 등</t>
        </is>
      </c>
      <c r="I13" s="7" t="inlineStr">
        <is>
          <t>직전 회계연도</t>
        </is>
      </c>
      <c r="J13" s="6" t="inlineStr">
        <is>
          <t>N/A</t>
        </is>
      </c>
      <c r="K13" s="6" t="inlineStr">
        <is>
          <t>이사회 구성원 평균 출석률 = ∑(출석한 전체 이사 인원 수 / 전체 이사 정원) / 이사회 개최 횟수</t>
        </is>
      </c>
      <c r="L13" s="9" t="inlineStr">
        <is>
          <t>단계형</t>
        </is>
      </c>
      <c r="M13" s="5" t="n">
        <v>5</v>
      </c>
      <c r="N13" s="7" t="inlineStr">
        <is>
          <t>단계형: 1단계=0점 / 2단계=25점 / 3단계=50점 / 4단계=75점 / 5단계=100점</t>
        </is>
      </c>
      <c r="O13" s="6" t="inlineStr">
        <is>
          <t>1단계 |  이사회 구성원 평균 출석률이 75% 미만인 경우 |  2단계 |  이사회 구성원 평균 출석률이 75% 이상 85% 미만인 경우 |  3단계 |  이사회 구성원 평균 출석률이 85% 이상 90% 미만인 경우 |  4단계 |  이사회 구성원 평균 출석률이 90% 이상 95% 미만인 경우 |  5단계 |  이사회 구성원 평균 출석률이 95% 이상인 경우</t>
        </is>
      </c>
      <c r="P13" s="10" t="inlineStr">
        <is>
          <t>부분대응</t>
        </is>
      </c>
      <c r="Q13" s="6" t="inlineStr">
        <is>
          <t>KSSB 제1호 문단 27(1)ㄒ — 보고주기 준용</t>
        </is>
      </c>
      <c r="R13" s="6" t="inlineStr">
        <is>
          <t>GRI 2-9</t>
        </is>
      </c>
      <c r="S13" s="6" t="inlineStr">
        <is>
          <t>1_2_0_업종별 K-ESG 가이드라인(v2.0) 진단항목</t>
        </is>
      </c>
      <c r="T13" s="11" t="n"/>
      <c r="U13" s="12" t="n"/>
      <c r="V13" s="12" t="n"/>
      <c r="W13" s="12" t="n"/>
      <c r="X13" s="13" t="n"/>
      <c r="Y13" s="6"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개별 이사에 대해 이사회 참여를 강제할 수 없으나, 이사회 구성원의 참여가 저조하거나 소극적인 경우, 이를 강제하기 위한 방식에는 다음과 같은…</t>
        </is>
      </c>
      <c r="Z13" s="7" t="n"/>
      <c r="AA13" s="14" t="inlineStr">
        <is>
          <t>이사회 전체 이사 평균 출석률이 75% 이상 유지됩니까?</t>
        </is>
      </c>
      <c r="AB13" s="14" t="inlineStr">
        <is>
          <t>단계(1~5)</t>
        </is>
      </c>
    </row>
    <row r="14">
      <c r="A14" s="5" t="n">
        <v>59</v>
      </c>
      <c r="B14" s="6" t="inlineStr">
        <is>
          <t>G-2-2</t>
        </is>
      </c>
      <c r="C14" s="7" t="inlineStr">
        <is>
          <t>기본진단항목(v2.0)</t>
        </is>
      </c>
      <c r="D14" s="8" t="inlineStr">
        <is>
          <t>지배구조</t>
        </is>
      </c>
      <c r="E14" s="7" t="inlineStr">
        <is>
          <t>이사회 활동</t>
        </is>
      </c>
      <c r="F14" s="6" t="inlineStr">
        <is>
          <t>사내이사 출석률</t>
        </is>
      </c>
      <c r="G14" s="7" t="inlineStr">
        <is>
          <t> 조직의 최고의사결정기구인 이사회가 검토/심의/의결 기능을 효과적으로 수행하기 위해서는 이사회 구성원의 적극적인 참여가 중요함. 특히, 조직의 사업운영을 총괄하는 사내이사가 적극적으로 이사회에 참여하고 있는지 확인  이사회 구성원 중 전체 사내이사 출석률이 일정 수준 이상인지 점검</t>
        </is>
      </c>
      <c r="H14" s="7" t="inlineStr">
        <is>
          <t>이사회 구성 현황, 이사회 회의록 등</t>
        </is>
      </c>
      <c r="I14" s="7" t="inlineStr">
        <is>
          <t>직전 회계연도</t>
        </is>
      </c>
      <c r="J14" s="6" t="inlineStr">
        <is>
          <t>N/A</t>
        </is>
      </c>
      <c r="K14" s="6" t="inlineStr">
        <is>
          <t>사내이사 평균 출석률 = ∑(출석한 사내 이사 인원 수 / 전체 이사 정원) / 이사회 개최 횟수</t>
        </is>
      </c>
      <c r="L14" s="9" t="inlineStr">
        <is>
          <t>단계형</t>
        </is>
      </c>
      <c r="M14" s="5" t="n">
        <v>5</v>
      </c>
      <c r="N14" s="7" t="inlineStr">
        <is>
          <t>단계형: 1단계=0점 / 2단계=25점 / 3단계=50점 / 4단계=75점 / 5단계=100점</t>
        </is>
      </c>
      <c r="O14" s="6" t="inlineStr">
        <is>
          <t>1단계 |  사내이사 평균 출석률이 75% 미만인 경우 |  2단계 |  사내이사 평균 출석률이 75% 이상 85% 미만인 경우 |  3단계 |  사내이사 평균 출석률이 85% 이상 90% 미만인 경우 |  4단계 |  사내이사 평균 출석률이 90% 이상 95% 미만인 경우 |  5단계 |  사내이사 평균 출석률이 95% 이상인 경우</t>
        </is>
      </c>
      <c r="P14" s="10" t="inlineStr">
        <is>
          <t>GAP(대응지표 없음)</t>
        </is>
      </c>
      <c r="Q14" s="6" t="inlineStr">
        <is>
          <t>KSSB 별도 규정 없음</t>
        </is>
      </c>
      <c r="R14" s="6" t="inlineStr">
        <is>
          <t>지배구조보고서 가이드라인</t>
        </is>
      </c>
      <c r="S14" s="6" t="inlineStr">
        <is>
          <t>1_2_0_업종별 K-ESG 가이드라인(v2.0) 진단항목</t>
        </is>
      </c>
      <c r="T14" s="11" t="n"/>
      <c r="U14" s="12" t="n"/>
      <c r="V14" s="12" t="n"/>
      <c r="W14" s="12" t="n"/>
      <c r="X14" s="13" t="n"/>
      <c r="Y14" s="6"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사내이사에 대해 이사회 참여를 강제할 수 없으나, 사내이사의 참여가 저조하거나 소극적인 경우 이를 강제하기 위한 방식에는 다음과 같은 것들이 있다.…</t>
        </is>
      </c>
      <c r="Z14" s="7" t="n"/>
      <c r="AA14" s="14" t="inlineStr">
        <is>
          <t>경영진 책임 강화를 위해 사내이사 이사회 평균 출석률이 높게 유지됩니까?</t>
        </is>
      </c>
      <c r="AB14" s="14" t="inlineStr">
        <is>
          <t>단계(1~5)</t>
        </is>
      </c>
    </row>
    <row r="15">
      <c r="A15" s="5" t="n">
        <v>60</v>
      </c>
      <c r="B15" s="6" t="inlineStr">
        <is>
          <t>G-2-3</t>
        </is>
      </c>
      <c r="C15" s="7" t="inlineStr">
        <is>
          <t>기본진단항목(v2.0)</t>
        </is>
      </c>
      <c r="D15" s="8" t="inlineStr">
        <is>
          <t>지배구조</t>
        </is>
      </c>
      <c r="E15" s="7" t="inlineStr">
        <is>
          <t>이사회 활동</t>
        </is>
      </c>
      <c r="F15" s="6" t="inlineStr">
        <is>
          <t>이사회 산하 위원회</t>
        </is>
      </c>
      <c r="G15" s="7" t="inlineStr">
        <is>
          <t> 이사회가 효율적으로 운영될 수 있도록 이사회 권한 및 역할의 일부를 산하 위원회에 위임하고 있는지, 각 소위원회는 위임받은 권한 및 역할에 대해 전문적인 시각으로 검토하는지를 확인  조직마다 이사회 산하 위원회 수와 종류는 다양하며, 각 조직의 경영방식 및 사업환경에 따라 위원회 수를 달리할 수 있음. 따라서 이사회 산하 위원회 수가 많고 적음을 떠나, 위원회가 체계적이고 효과적으로 운영되고 있는지 점검</t>
        </is>
      </c>
      <c r="H15" s="7" t="inlineStr">
        <is>
          <t>이사회 산하 위원회 운영규정, 구성현황, 활동내역</t>
        </is>
      </c>
      <c r="I15" s="7" t="inlineStr">
        <is>
          <t>직전 회계연도</t>
        </is>
      </c>
      <c r="J15" s="6" t="inlineStr">
        <is>
          <t>N/A</t>
        </is>
      </c>
      <c r="K15" s="6" t="inlineStr">
        <is>
          <t>N/A</t>
        </is>
      </c>
      <c r="L15" s="9" t="inlineStr">
        <is>
          <t>선택형</t>
        </is>
      </c>
      <c r="M15" s="5" t="n">
        <v>5</v>
      </c>
      <c r="N15" s="7" t="inlineStr">
        <is>
          <t>선택형: 요건1=0점 / 요건2=25점 / 요건3=50점 / 요건4=75점 / 요건5=100점</t>
        </is>
      </c>
      <c r="O15" s="6" t="inlineStr">
        <is>
          <t>요건1 |  이사회 산하 모든 위원회 설치는 정관에 근거하고 있으며, 모든 위원회에 대해 ‘운영규정’을 제정하고 있는 경우 |  요건2 |  특정 이사(사내이사, 사외이사, 기타비상임이사)가 이사회 산하 모든 위원회의 구성원으로 선임되어 있지 않은 경우 |  요건3 |  이사회 산하 모든 위원회가 구성원의 과반수 이상을 사외이사로 선임하고 있는 경우 |  요건4 |  직전 회계연도 중 이사회 산하 위원회 개최 횟수가 평균적으로 3회 이상인 경우 |  요건5 |  직전 회계연도 중 이사회 산하 모든 위원회가 심의/의결 안건을 다룬 경우</t>
        </is>
      </c>
      <c r="P15" s="10" t="inlineStr">
        <is>
          <t>부분대응</t>
        </is>
      </c>
      <c r="Q15" s="6" t="inlineStr">
        <is>
          <t>KSSB 제1호 문단 27(1)① 위임기구 지정 준용</t>
        </is>
      </c>
      <c r="R15" s="6" t="inlineStr">
        <is>
          <t>지배구조보고서 가이드라인</t>
        </is>
      </c>
      <c r="S15" s="6" t="inlineStr">
        <is>
          <t>1_2_0_업종별 K-ESG 가이드라인(v2.0) 진단항목</t>
        </is>
      </c>
      <c r="T15" s="11" t="n"/>
      <c r="U15" s="12" t="n"/>
      <c r="V15" s="12" t="n"/>
      <c r="W15" s="12" t="n"/>
      <c r="X15" s="13" t="n"/>
      <c r="Y15" s="6" t="inlineStr">
        <is>
          <t> 조직의 모든 중요 안건을 이사회에서 검토하고 의사결정을 내리는 것은 비효율적이다. 따라서 전문성을 요구하는 특정 사안이나, 안건 심의에 있어 독립성이 필요한 사안에 대해서는 이사회 산하 위원회를 통해 검토하게 함으로써, 이사회 운영의 효율성을 제고할 수 있다.  ｢상법｣ 제393조의2에서는 이사회가 위원회에 위임할 수 있는 사항을 폭넓게 인정하고 있다. 법에서 제한하고 있는 사항 이외에는 위임이 가능하다. 즉 이사회는 주주총회의 승인을 요하는 사항의 제안, 대표이사의 선임 및 해임, 위원회의 설치와 그 위원의 선임 및 해임, 정관에서 정하는 사항을 제외하고는 그 권한을 위원회에 위임할 수 있다. - ｢상법｣에서는 이사회 내 위원회를 설치할 경우, 해당 위원회에는…</t>
        </is>
      </c>
      <c r="Z15" s="7" t="n"/>
      <c r="AA15" s="14" t="inlineStr">
        <is>
          <t>감사위, 사추위, 보상위, ESG위 등 전문성 있는 산하 위원회를 설치했습니까?</t>
        </is>
      </c>
      <c r="AB15" s="14" t="inlineStr">
        <is>
          <t>단계(1~5)</t>
        </is>
      </c>
    </row>
    <row r="16">
      <c r="A16" s="5" t="n">
        <v>61</v>
      </c>
      <c r="B16" s="6" t="inlineStr">
        <is>
          <t>G-2-4</t>
        </is>
      </c>
      <c r="C16" s="7" t="inlineStr">
        <is>
          <t>기본진단항목(v2.0)</t>
        </is>
      </c>
      <c r="D16" s="8" t="inlineStr">
        <is>
          <t>지배구조</t>
        </is>
      </c>
      <c r="E16" s="7" t="inlineStr">
        <is>
          <t>이사회 활동</t>
        </is>
      </c>
      <c r="F16" s="6" t="inlineStr">
        <is>
          <t>이사회 안건 처리</t>
        </is>
      </c>
      <c r="G16" s="7" t="inlineStr">
        <is>
          <t> 이사회 구성원이 상정된 안건에 대해 독립적/전문적/다양한 시각으로 수정 및 보완 의견을 제시하고 있거나, 특히 조직에 리스크가 될 수 있는 안건에 대해서는 적극적인 반대 의견을 제시하는지 확인  이사회 심의/의결 안건 중 원안대로 가결되지 않은 안건이나 원안에 반대한 이사, 그리고 가결되지 않거나 안건에 반대한 사유를 점검</t>
        </is>
      </c>
      <c r="H16" s="7" t="inlineStr">
        <is>
          <t>이사회 구성 현황, 이사회 회의록 등</t>
        </is>
      </c>
      <c r="I16" s="7" t="inlineStr">
        <is>
          <t>지난 1개 회계연도 기준</t>
        </is>
      </c>
      <c r="J16" s="6" t="inlineStr">
        <is>
          <t>N/A</t>
        </is>
      </c>
      <c r="K16" s="6" t="inlineStr">
        <is>
          <t>수정, 보완 및 반대 의견이 나타난 안건 수 / 전체 이사회 상정 안건 수</t>
        </is>
      </c>
      <c r="L16" s="9" t="inlineStr">
        <is>
          <t>단계형</t>
        </is>
      </c>
      <c r="M16" s="5" t="n">
        <v>3</v>
      </c>
      <c r="N16" s="7" t="inlineStr">
        <is>
          <t>단계형: 1단계=0점 / 2단계=50점 / 3단계=100점</t>
        </is>
      </c>
      <c r="O16" s="6" t="inlineStr">
        <is>
          <t>1단계 |  안건에 대한 수정, 보완, 반대하는 의견이 한 건도 없는 경우 |  2단계 |  안건에 대한 수정, 보완, 반대하는 의견이 한 건 이상 존재하는 경우 |  3단계 |  안건에 대한 수정, 보완, 반대하는 의견이 5% 이상 존재하는 경우</t>
        </is>
      </c>
      <c r="P16" s="10" t="inlineStr">
        <is>
          <t>GAP(대응지표 없음)</t>
        </is>
      </c>
      <c r="Q16" s="6" t="inlineStr">
        <is>
          <t>KSSB 별도 규정 없음</t>
        </is>
      </c>
      <c r="R16" s="6" t="inlineStr">
        <is>
          <t>지배구조보고서 가이드라인</t>
        </is>
      </c>
      <c r="S16" s="6" t="inlineStr">
        <is>
          <t>1_2_0_업종별 K-ESG 가이드라인(v2.0) 진단항목</t>
        </is>
      </c>
      <c r="T16" s="11" t="n"/>
      <c r="U16" s="12" t="n"/>
      <c r="V16" s="12" t="n"/>
      <c r="W16" s="12" t="n"/>
      <c r="X16" s="13" t="n"/>
      <c r="Y16" s="6" t="inlineStr">
        <is>
          <t> 본 항목은 ‘이사회 구성원이 자유로운 의견을 개진하고 있는지’를 확인하기 위해 설계한 항목으로써, 전체 이사회 안건 처리 중 수정/부결 비율을 측정하는 방법 外 1) 이사회 의사진행에 관한 경과와 결과를 기재하고 있는 의사록 上 논의사항을 확인하는 방법, 2) 이사회 구성원의 안건 검토를 위한 개별 자료제공 요청사항을 확인하는 방법 등으로 ‘이사회 구성원의 자유로운 의견 개진 현황’을 확인할 수 있다.  이사회가 합리적인 의사결정과 경영감독을 수행하기 위해서는 각 이사들이 충분하고 올바른 정보를 가지고 있어야 한다. 이러한 정보는 경영진들 및 실무진의 보고, 개인적인 조사, 실적조사 등 다양한 방식으로 수집될 수 있으며, 이사회 구성원들은 이러한 자료를 사전에…</t>
        </is>
      </c>
      <c r="Z16" s="7" t="n"/>
      <c r="AA16" s="14" t="inlineStr">
        <is>
          <t>안건 사전 검토를 위해 개최 최소 3~7일 전 배포 기간을 엄수합니까?</t>
        </is>
      </c>
      <c r="AB16" s="14" t="inlineStr">
        <is>
          <t>단계(1~5)</t>
        </is>
      </c>
    </row>
    <row r="17">
      <c r="A17" s="5" t="n">
        <v>62</v>
      </c>
      <c r="B17" s="6" t="inlineStr">
        <is>
          <t>G-3-1</t>
        </is>
      </c>
      <c r="C17" s="7" t="inlineStr">
        <is>
          <t>기본진단항목(v2.0)</t>
        </is>
      </c>
      <c r="D17" s="8" t="inlineStr">
        <is>
          <t>지배구조</t>
        </is>
      </c>
      <c r="E17" s="7" t="inlineStr">
        <is>
          <t>주주권리</t>
        </is>
      </c>
      <c r="F17" s="6" t="inlineStr">
        <is>
          <t>주주총회 소집 공고</t>
        </is>
      </c>
      <c r="G17" s="7" t="inlineStr">
        <is>
          <t> 주주가 주주총회 참석 전 충분하고 합리적인 판단을 내릴 수 있도록, 주주에게 주주총회 개최 일자, 장소, 안건, 기타 재무사항 등의 정보를 담은 주주총회 소집 공고를 다양한 채널로 전달하는지 확인  조직이 주주총회 소집을 공고하는 방법을 점검</t>
        </is>
      </c>
      <c r="H17" s="7" t="inlineStr">
        <is>
          <t>주주총회 소집 통지서 外 다음의 방식에 따른 공고 1) 조직의 사업장 게시판, 2) 조직의 온라인 홈페이지, 3) 명의개서대행사, 4) 일간지(신문), 5) 전자공시시스템, 6) 기타</t>
        </is>
      </c>
      <c r="I17" s="7" t="inlineStr">
        <is>
          <t>직전 회계연도</t>
        </is>
      </c>
      <c r="J17" s="6" t="inlineStr">
        <is>
          <t>N/A</t>
        </is>
      </c>
      <c r="K17" s="6" t="inlineStr">
        <is>
          <t>N/A</t>
        </is>
      </c>
      <c r="L17" s="9" t="inlineStr">
        <is>
          <t>단계형</t>
        </is>
      </c>
      <c r="M17" s="5" t="n">
        <v>5</v>
      </c>
      <c r="N17" s="7" t="inlineStr">
        <is>
          <t>단계형: 1단계=0점 / 2단계=25점 / 3단계=50점 / 4단계=75점 / 5단계=100점</t>
        </is>
      </c>
      <c r="O17" s="6" t="inlineStr">
        <is>
          <t>1단계 |  주주총회 소집 공고를 서면으로만 통지하거나, 주주의 동의를 받아 전자문서로만 하는 경우 |  2단계 |  서면 또는 전자문서로 통지하는 방식 外 1개의 추가 방식을 이용하는 경우 |  3단계 |  서면 또는 전자문서로 통지하는 방식 外 2개의 추가 방식을 이용하는 경우 |  4단계 |  서면 또는 전자문서로 통지하는 방식 外 3개의 추가 방식을 이용하는 경우 |  5단계 |  서면 또는 전자문서로 통지하는 방식 外 4개 이상의 추가 방식을 이용하는 경우</t>
        </is>
      </c>
      <c r="P17" s="10" t="inlineStr">
        <is>
          <t>GAP(대응지표 없음)</t>
        </is>
      </c>
      <c r="Q17" s="6" t="inlineStr">
        <is>
          <t>KSSB 주주총회 절차 별도 규정 없음</t>
        </is>
      </c>
      <c r="R17" s="6" t="inlineStr">
        <is>
          <t>지배구조보고서 가이드라인</t>
        </is>
      </c>
      <c r="S17" s="6" t="inlineStr">
        <is>
          <t>1_2_0_업종별 K-ESG 가이드라인(v2.0) 진단항목</t>
        </is>
      </c>
      <c r="T17" s="11" t="n"/>
      <c r="U17" s="12" t="n"/>
      <c r="V17" s="12" t="n"/>
      <c r="W17" s="12" t="n"/>
      <c r="X17" s="13" t="n"/>
      <c r="Y17" s="6"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 소집 통지와 관련하여 아래의 사항들을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계속 3년간 도달하지 아니한 경우에는…</t>
        </is>
      </c>
      <c r="Z17" s="7" t="n"/>
      <c r="AA17" s="14" t="inlineStr">
        <is>
          <t>주총 소집 공고를 법정기일보다 빠른 3주/4주 전에 이행합니까?</t>
        </is>
      </c>
      <c r="AB17" s="14" t="inlineStr">
        <is>
          <t>단계(1~5)</t>
        </is>
      </c>
    </row>
    <row r="18">
      <c r="A18" s="5" t="n">
        <v>63</v>
      </c>
      <c r="B18" s="6" t="inlineStr">
        <is>
          <t>G-3-2</t>
        </is>
      </c>
      <c r="C18" s="7" t="inlineStr">
        <is>
          <t>기본진단항목(v2.0)</t>
        </is>
      </c>
      <c r="D18" s="8" t="inlineStr">
        <is>
          <t>지배구조</t>
        </is>
      </c>
      <c r="E18" s="7" t="inlineStr">
        <is>
          <t>주주권리</t>
        </is>
      </c>
      <c r="F18" s="6" t="inlineStr">
        <is>
          <t>주주총회 집중일 이외 개최</t>
        </is>
      </c>
      <c r="G18" s="7" t="inlineStr">
        <is>
          <t> 주주가 주주총회의 안건을 검토하고 분석하기 위한 충분한 시간과 여건이 확보될 수 있도록 주주총회가 개최되고 있는지 확인  조직이 주주총회 개최일을 지정하는데 있어, 주주를 포함한 주주총회 관련 내/외부 이해관계자의 의견수렴 과정을 진행하고 있는지를 점검</t>
        </is>
      </c>
      <c r="H18" s="7" t="inlineStr">
        <is>
          <t>주주총회 개최일, 주주총회 개최 계획</t>
        </is>
      </c>
      <c r="I18" s="7" t="inlineStr">
        <is>
          <t>직전 회계연도</t>
        </is>
      </c>
      <c r="J18" s="6" t="inlineStr">
        <is>
          <t>N/A</t>
        </is>
      </c>
      <c r="K18" s="6" t="inlineStr">
        <is>
          <t>N/A</t>
        </is>
      </c>
      <c r="L18" s="9" t="inlineStr">
        <is>
          <t>선택형</t>
        </is>
      </c>
      <c r="M18" s="5" t="n">
        <v>5</v>
      </c>
      <c r="N18" s="7" t="inlineStr">
        <is>
          <t>선택형: 요건1=0점 / 요건2=25점 / 요건3=50점 / 요건4=75점 / 요건5=100점</t>
        </is>
      </c>
      <c r="O18" s="6" t="inlineStr">
        <is>
          <t>요건1 |  주주총회 개최일을 지정하는데 있어, 재무결산 및 감사보고서 발행일을 고려함 |  요건2 |  주주총회 개최일을 지정하는데 있어, 조직의 연간 업무계획 및 경영진 등의 업무일정을 고려함 |  요건3 |  주주총회 개최일을 지정하는데 있어, 연기금, 기관투자자, 의결권자문사 등의 주요 시장 참여자 의견을 수렴함 |  요건4 |  주주총회 개최일을 지정하는데 있어, 소액주주 및 기타 이해관계자 등의 의견을 수렴함 |  요건5 |  주주총회 개최일을 지정하는데 있어, 주주총회 예상 집중일을 고려함</t>
        </is>
      </c>
      <c r="P18" s="10" t="inlineStr">
        <is>
          <t>GAP(대응지표 없음)</t>
        </is>
      </c>
      <c r="Q18" s="6" t="inlineStr">
        <is>
          <t>KSSB 별도 규정 없음</t>
        </is>
      </c>
      <c r="R18" s="6" t="inlineStr">
        <is>
          <t>지배구조보고서 가이드라인</t>
        </is>
      </c>
      <c r="S18" s="6" t="inlineStr">
        <is>
          <t>1_2_0_업종별 K-ESG 가이드라인(v2.0) 진단항목</t>
        </is>
      </c>
      <c r="T18" s="11" t="n"/>
      <c r="U18" s="12" t="n"/>
      <c r="V18" s="12" t="n"/>
      <c r="W18" s="12" t="n"/>
      <c r="X18" s="13" t="n"/>
      <c r="Y18" s="6"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주주총회를 소집하기 위해 아래의 사항을 통지할 것을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3년간 지속적으로 도달하지 아니한…</t>
        </is>
      </c>
      <c r="Z18" s="7" t="n"/>
      <c r="AA18" s="14" t="inlineStr">
        <is>
          <t>지배구조 보고서 내 '주주총회 집중일 이외 개최' 지표를 준수하고 있습니까?</t>
        </is>
      </c>
      <c r="AB18" s="14" t="inlineStr">
        <is>
          <t>단계(1~5)</t>
        </is>
      </c>
    </row>
    <row r="19">
      <c r="A19" s="5" t="n">
        <v>64</v>
      </c>
      <c r="B19" s="6" t="inlineStr">
        <is>
          <t>G-3-3</t>
        </is>
      </c>
      <c r="C19" s="7" t="inlineStr">
        <is>
          <t>기본진단항목(v2.0)</t>
        </is>
      </c>
      <c r="D19" s="8" t="inlineStr">
        <is>
          <t>지배구조</t>
        </is>
      </c>
      <c r="E19" s="7" t="inlineStr">
        <is>
          <t>주주권리</t>
        </is>
      </c>
      <c r="F19" s="6" t="inlineStr">
        <is>
          <t>집중/전자/서면 투표제</t>
        </is>
      </c>
      <c r="G19" s="7" t="inlineStr">
        <is>
          <t> 조직의 모든 주주가 의결권을 용이하게 행사할 수 있으며, 소수주주에게 이해관계를 대변할 수 있는 이사 선임 기회를 제공하고 있는지 확인  국내 ｢상법｣ 上 조직의 자율적 의사결정에 따라 선택할 수 있는 소수주주 보호장치인 ‘서면투표제’, ‘전자투표제’, ‘집중투표제’ 도입 여부를 점검</t>
        </is>
      </c>
      <c r="H19" s="7" t="inlineStr">
        <is>
          <t>조직의 정관, 이사회 결의사항</t>
        </is>
      </c>
      <c r="I19" s="7" t="inlineStr">
        <is>
          <t>직전 회계연도</t>
        </is>
      </c>
      <c r="J19" s="6" t="inlineStr">
        <is>
          <t>N/A</t>
        </is>
      </c>
      <c r="K19" s="6" t="inlineStr">
        <is>
          <t>N/A</t>
        </is>
      </c>
      <c r="L19" s="9" t="inlineStr">
        <is>
          <t>복합가중형</t>
        </is>
      </c>
      <c r="M19" s="5" t="n"/>
      <c r="N19" s="7" t="inlineStr">
        <is>
          <t>복합가중형: 2~3개 세부요소를 균등가중평균(예: 1/2+1/2, 1/3×3) — 세부 배점은 점검기준 상세 참조, 자사취득점수는 수동 산정</t>
        </is>
      </c>
      <c r="O19" s="6" t="inlineStr">
        <is>
          <t>집중투표제 도입 서면투표제 도입 전자투표제 도입 |  (1/5) (2/5) (2/5) |  1단계 정관에서 집중투표제를 배제 정관에서 서면투표제를 배제 정관에서 전자투표제를 배제하고 |  하고 있다. 하고 있다. 있다. |  2단계 정관에서 집중투표제를 명시 정관에서 서면투표제를 명시 정관에서 전자투표제를 명시하거나, |  하고 있다. 하고 있다. 이사회 결의로 도입하고 있다.</t>
        </is>
      </c>
      <c r="P19" s="10" t="inlineStr">
        <is>
          <t>GAP(대응지표 없음)</t>
        </is>
      </c>
      <c r="Q19" s="6" t="inlineStr">
        <is>
          <t>KSSB 별도 규정 없음</t>
        </is>
      </c>
      <c r="R19" s="6" t="inlineStr">
        <is>
          <t>지배구조보고서 가이드라인</t>
        </is>
      </c>
      <c r="S19" s="6" t="inlineStr">
        <is>
          <t>1_2_0_업종별 K-ESG 가이드라인(v2.0) 진단항목</t>
        </is>
      </c>
      <c r="T19" s="11" t="inlineStr">
        <is>
          <t>해당없음(복합가중형)</t>
        </is>
      </c>
      <c r="U19" s="12" t="n"/>
      <c r="V19" s="12" t="n"/>
      <c r="W19" s="12" t="n"/>
      <c r="X19" s="13" t="n"/>
      <c r="Y19" s="6" t="inlineStr">
        <is>
          <t> 조직은 주주가 보유하고 있는 기본적인 권리 행사, 재산 보호, 이해관계 대변 등을 용이하게 할 수 있도록 직접적 또는 간접적인 방법을 의결권을 행사할 수 있는 기회를 보장해야 한다. 주주의 의결권 행사 용이성을 높일 수 있는 장치로는 ‘서면투표제’와 ‘전자투표제’가 있다. 주주가 직접 출석하지 않더라도 의결권을 행사할 수 있는 장치를 마련한다면, 조직의 중요한 의사결정에 주주의 의사를 결집하여 반영할 수 있고, 조직에 대한 견제/감독도 수월해지게 된다. 또한, 조직은 주주총회에 소요되는 경비를 절감할 수 있으며, 더 나아가 조직이 필요로 하는 안건에 대해 의결권을 확보하는 데에 도움이 될 수 있다. - 국제기업지배구조네트워크인 ICGN이 2014년 발표한 ｢적극적…</t>
        </is>
      </c>
      <c r="Z19" s="7" t="n"/>
      <c r="AA19" s="14" t="inlineStr">
        <is>
          <t>집중/전자/서면 투표제에 대한 현황을 관리·공시하고 있습니까?</t>
        </is>
      </c>
      <c r="AB19" s="14" t="inlineStr">
        <is>
          <t>단계(1~5)</t>
        </is>
      </c>
    </row>
    <row r="20">
      <c r="A20" s="5" t="n">
        <v>65</v>
      </c>
      <c r="B20" s="6" t="inlineStr">
        <is>
          <t>G-3-4</t>
        </is>
      </c>
      <c r="C20" s="7" t="inlineStr">
        <is>
          <t>기본진단항목(v2.0)</t>
        </is>
      </c>
      <c r="D20" s="8" t="inlineStr">
        <is>
          <t>지배구조</t>
        </is>
      </c>
      <c r="E20" s="7" t="inlineStr">
        <is>
          <t>주주권리</t>
        </is>
      </c>
      <c r="F20" s="6" t="inlineStr">
        <is>
          <t>배당정책 및 이행</t>
        </is>
      </c>
      <c r="G20" s="7" t="inlineStr">
        <is>
          <t> 조직이 주주가치 증진 및 투자의사결정에 필요한 배당 관련 정보를 적시에 충분하게 안내하고, 적절하게 배당을 실시했는지 확인  주주에게 배당정책 및 배당계획을 충실히 통지함과 동시에, 배당정책 및 배당계획에 따라 실제 배당을 진행하였는지 점검</t>
        </is>
      </c>
      <c r="H20" s="7" t="inlineStr">
        <is>
          <t>배정정책, 현금현물배당결정</t>
        </is>
      </c>
      <c r="I20" s="7" t="inlineStr">
        <is>
          <t>직전 회계연도</t>
        </is>
      </c>
      <c r="J20" s="6" t="inlineStr">
        <is>
          <t>N/A</t>
        </is>
      </c>
      <c r="K20" s="6" t="inlineStr">
        <is>
          <t>N/A</t>
        </is>
      </c>
      <c r="L20" s="9" t="inlineStr">
        <is>
          <t>단계형</t>
        </is>
      </c>
      <c r="M20" s="5" t="n">
        <v>3</v>
      </c>
      <c r="N20" s="7" t="inlineStr">
        <is>
          <t>단계형: 1단계=0점 / 2단계=50점 / 3단계=100점</t>
        </is>
      </c>
      <c r="O20" s="6" t="inlineStr">
        <is>
          <t>1단계 |  주주에게 배당정책 및 배당계획을 통지하지 아니한 경우 |  2단계 |  주주에게 배당정책 및 배당계획을 연 1회 이상 통지한 경우 |  3단계 |  주주에게 배당정책 및 배당계획을 연 1회 인상 통지하였으며, 배당정책 및 배당계획대로 배당을 집행한 경우</t>
        </is>
      </c>
      <c r="P20" s="10" t="inlineStr">
        <is>
          <t>GAP(대응지표 없음)</t>
        </is>
      </c>
      <c r="Q20" s="6" t="inlineStr">
        <is>
          <t>KSSB 별도 규정 없음</t>
        </is>
      </c>
      <c r="R20" s="6" t="inlineStr">
        <is>
          <t>지배구조보고서 가이드라인, 한국거래소 지침</t>
        </is>
      </c>
      <c r="S20" s="6" t="inlineStr">
        <is>
          <t>1_2_0_업종별 K-ESG 가이드라인(v2.0) 진단항목</t>
        </is>
      </c>
      <c r="T20" s="11" t="n"/>
      <c r="U20" s="12" t="n"/>
      <c r="V20" s="12" t="n"/>
      <c r="W20" s="12" t="n"/>
      <c r="X20" s="13" t="n"/>
      <c r="Y20" s="6" t="inlineStr">
        <is>
          <t> 배당정책이란 조직의 향후 배당목표에 대해 주주에게 제공하는 설명으로서, 배당수준의 유지, 확대, 축소에 관한 방향성, 배당목표 결정 시 사용된 재무지표와 이를 산출한 방법, 기타 자사주 매입 및 소각 계획 등을 포함해야 한다. 또한, 조직의 당해연도 배당계획에는 아래의 정보들이 포함되어야 한다. - 배당규모 : 주당배당금, 배당수익률 - 배당성향 : 배당수준 유지, 확대, 축소 - 배당형태 : 현금배당, 주식배당, 기타 현물배당 - 배당시기 : 분기배당, 중간배당, 결산배당  조직의 단순한 배당성향 및 배당수익률 증가는 주주가치 증진과 직접 연계되어 있지 않다. 해당 항목은 주주가치 증진을 위해 배당성향 및 배당수익률 증가를 요구하는 것이 아니라, 주주가…</t>
        </is>
      </c>
      <c r="Z20" s="7" t="n"/>
      <c r="AA20" s="14" t="inlineStr">
        <is>
          <t>중장기 배당 정책 수립/공시 및 선 배당액 확정 밸류업 정책을 이행합니까?</t>
        </is>
      </c>
      <c r="AB20" s="14" t="inlineStr">
        <is>
          <t>단계(1~5)</t>
        </is>
      </c>
    </row>
    <row r="21">
      <c r="A21" s="5" t="n">
        <v>66</v>
      </c>
      <c r="B21" s="6" t="inlineStr">
        <is>
          <t>G-4-1</t>
        </is>
      </c>
      <c r="C21" s="7" t="inlineStr">
        <is>
          <t>기본진단항목(v2.0)</t>
        </is>
      </c>
      <c r="D21" s="8" t="inlineStr">
        <is>
          <t>지배구조</t>
        </is>
      </c>
      <c r="E21" s="7" t="inlineStr">
        <is>
          <t>윤리경영</t>
        </is>
      </c>
      <c r="F21" s="6" t="inlineStr">
        <is>
          <t>윤리규범 위반사항 공시</t>
        </is>
      </c>
      <c r="G21" s="7" t="inlineStr">
        <is>
          <t> 조직이 구성원의 윤리규범 위반 행위(부당한 이익이나 뇌물의 수수, 불공정 경쟁 및 거래, 제품/서비스 책임 소홀, 구성원 상호 간 모독 및 비하, 기타 사회적 책임 등)를 관리·감독함과 동시에, 구성원의 윤리규범 위반행위가 재발하지 않도록 내부개선이 이루어지고 있는지 확인  이해관계자와의 신뢰성 및 투명성 관점을 고려하여, 조직이 윤리규범 위반 행위와 개선활동을 대외공시하고 있는지 점검</t>
        </is>
      </c>
      <c r="H21" s="7" t="inlineStr">
        <is>
          <t>윤리규범 위반 내역 및 조치경과</t>
        </is>
      </c>
      <c r="I21" s="7" t="inlineStr">
        <is>
          <t>직전 회계연도</t>
        </is>
      </c>
      <c r="J21" s="6" t="inlineStr">
        <is>
          <t>N/A</t>
        </is>
      </c>
      <c r="K21" s="6" t="inlineStr">
        <is>
          <t>N/A</t>
        </is>
      </c>
      <c r="L21" s="9" t="inlineStr">
        <is>
          <t>선택형</t>
        </is>
      </c>
      <c r="M21" s="5" t="n">
        <v>5</v>
      </c>
      <c r="N21" s="7" t="inlineStr">
        <is>
          <t>선택형: 요건1=0점 / 요건2=25점 / 요건3=50점 / 요건4=75점 / 요건5=100점</t>
        </is>
      </c>
      <c r="O21" s="6" t="inlineStr">
        <is>
          <t>요건1 |  윤리규범 위반 건수를 공시하고 있는 경우 |  요건2 |  윤리규범 위반한 구성원 수를 공시하고 있는 경우 |  요건3 |  윤리규범 위반 건과 관련한 처벌내역(사법상, 행정상)을 공시하고 있는 경우 |  요건4 |  윤리규범 위반 건과 관련된 구성원 처분내역(인사상)을 공시하고 있는 경우 |  요건5 |  윤리규범 위반 사건 재발방지를 위한 개선활동 및 계획을 공시하고 있는 경우 |  * 선택 항목의 합산값으로 평가</t>
        </is>
      </c>
      <c r="P21" s="10" t="inlineStr">
        <is>
          <t>부분대응</t>
        </is>
      </c>
      <c r="Q21" s="6" t="inlineStr">
        <is>
          <t>KSSB 제1호 위험관리 원칙 준용</t>
        </is>
      </c>
      <c r="R21" s="6" t="inlineStr">
        <is>
          <t>GRI 205, 2-26</t>
        </is>
      </c>
      <c r="S21" s="6" t="inlineStr">
        <is>
          <t>1_2_0_업종별 K-ESG 가이드라인(v2.0) 진단항목</t>
        </is>
      </c>
      <c r="T21" s="11" t="n"/>
      <c r="U21" s="12" t="n"/>
      <c r="V21" s="12" t="n"/>
      <c r="W21" s="12" t="n"/>
      <c r="X21" s="13" t="n"/>
      <c r="Y21" s="6" t="inlineStr">
        <is>
          <t> 윤리규범이란 윤리경영을 실천하기 위한 올바른 의사결정과 윤리적 판단 기준을 구성원에게 제공하는 것으로서, 조직에 속한 구성원 및 해당 조직과 거래관계에 있는 자들이 업무수행 과정에서 준수해야 하는 행동방식이 담겨 있는 문서를 지칭한다. 조직마다 윤리규범을 일컫는 용어는 다양하며, 윤리헌장, 윤리강령, 행동강령, 행동규범, 청렴규범 등의 용어가 존재한다.  윤리규범 위반이란 조직이 제정한 윤리규범에서 다루는 행동방식을 위반한 행위를 하는 경우 및 이에 준하는 사회통념적 윤리기준을 위반한 행위를 통칭한다. 이러한 윤리규범 위반 행위에 포함되는 사례는 다음과 같다. 이해관계 상충 행위 금품 및 향응 수수 직무권한 및 지위 남용 공정거래 미준수 행위 부정경쟁 행위…</t>
        </is>
      </c>
      <c r="Z21" s="7" t="n"/>
      <c r="AA21" s="14" t="inlineStr">
        <is>
          <t>최근 4개년 간 횡령, 배임, 뇌물 등 부패 위반 제재 내역이 있습니까?</t>
        </is>
      </c>
      <c r="AB21" s="14" t="inlineStr">
        <is>
          <t>단계(1~5)</t>
        </is>
      </c>
    </row>
    <row r="22">
      <c r="A22" s="5" t="n">
        <v>67</v>
      </c>
      <c r="B22" s="6" t="inlineStr">
        <is>
          <t>G-5-1</t>
        </is>
      </c>
      <c r="C22" s="7" t="inlineStr">
        <is>
          <t>기본진단항목(v2.0)</t>
        </is>
      </c>
      <c r="D22" s="8" t="inlineStr">
        <is>
          <t>지배구조</t>
        </is>
      </c>
      <c r="E22" s="7" t="inlineStr">
        <is>
          <t>감사기구</t>
        </is>
      </c>
      <c r="F22" s="6" t="inlineStr">
        <is>
          <t>내부감사부서 설치</t>
        </is>
      </c>
      <c r="G22" s="7" t="inlineStr">
        <is>
          <t> 조직의 재무, 회계, 감사 관련 부정사안, 기타 내부통제 관련 현안 등을 상시적으로 점검하고, 중요한 의사결정사항 및 관련 정보를 감사위원회에 보고하는 거버넌스 체계가 구축되어 있는지 확인  조직이 내부감사부서를 두고 있는지, 내부감사부서의 책임과 역할을 명확히 규정하고 있는지 점검</t>
        </is>
      </c>
      <c r="H22" s="7" t="inlineStr">
        <is>
          <t>내부감사부서 등 조직도 및 업무분장</t>
        </is>
      </c>
      <c r="I22" s="7" t="inlineStr">
        <is>
          <t>직전 회계연도</t>
        </is>
      </c>
      <c r="J22" s="6" t="inlineStr">
        <is>
          <t>N/A</t>
        </is>
      </c>
      <c r="K22" s="6" t="inlineStr">
        <is>
          <t>N/A</t>
        </is>
      </c>
      <c r="L22" s="9" t="inlineStr">
        <is>
          <t>단계형</t>
        </is>
      </c>
      <c r="M22" s="5" t="n">
        <v>5</v>
      </c>
      <c r="N22" s="7" t="inlineStr">
        <is>
          <t>단계형: 1단계=0점 / 2단계=25점 / 3단계=50점 / 4단계=75점 / 5단계=100점</t>
        </is>
      </c>
      <c r="O22" s="6" t="inlineStr">
        <is>
          <t>1단계 |  내부감사부서를 두고 있지 않거나, 감사 관련 업무를 수행하는 부서 또는 업무분장을 두고 있지 않은 경우 |  2단계 |  내부감사부서를 두고 있지 않으나, 감사 관련 업무를 수행하는 기타 부서 및 업무분장이 있는 경우 |  3단계 |  내부감사부서를 두고 있으나, 내부감사부서의 업무분장 등에 감사위원회 업무지원과 관련한 내용을 명시하지 않은 경우 |  4단계 |  내부감사부서를 두고 있으며, 내부감사부서의 업무분장 등에 감사위원회 업무지원과 관련한 내용을 명시한 경우 |  5단계 |  감사위원회 지원 역할만을 수행하는 별도 전담부서 또는 업무분장이 규정되어 있는 경우</t>
        </is>
      </c>
      <c r="P22" s="10" t="inlineStr">
        <is>
          <t>부분대응</t>
        </is>
      </c>
      <c r="Q22" s="6" t="inlineStr">
        <is>
          <t>KSSB 제1호 문단 27(1) 내부통제 취지 준용</t>
        </is>
      </c>
      <c r="R22" s="6" t="inlineStr">
        <is>
          <t>외감법, KCGS</t>
        </is>
      </c>
      <c r="S22" s="6" t="inlineStr">
        <is>
          <t>1_2_0_업종별 K-ESG 가이드라인(v2.0) 진단항목</t>
        </is>
      </c>
      <c r="T22" s="11" t="n"/>
      <c r="U22" s="12" t="n"/>
      <c r="V22" s="12" t="n"/>
      <c r="W22" s="12" t="n"/>
      <c r="X22" s="13" t="n"/>
      <c r="Y22" s="6" t="inlineStr">
        <is>
          <t> 감사위원회의 회계감사 및 내부통제 업무를 보조하거나, 지원할 수 있는 내부감사부서 설치가 필요하다. 감사위원회는 조직의 회계, 재무, 감사에 관한 감독 등 내부통제제도에 관한 사항을 심의하는 역할에 집중하고 있어, 일상적인 감사 관련 업무를 수행하는데 한계가 있기 때문이다. 특히, 감사위원회가 전원 사외이사로만 구성되어 있을 경우, 조직의 회계, 재무, 감사에 관한 정보 접근성에 제약이 발생하기 때문에, 이를 보완할 수 있는 조직으로서 내부감사부서 설치는 필요하다.  국내 ｢상법｣에서는 상장회사 등에 내부감사부서 설치를 강제하는 규정이 없으나, ｢금융회사의 지배구조에 관한 법률｣ 제20조 및 ｢공공기관 운영에 관한 법률｣ 제32조에는 ‘감사위원회 또는 감사’의…</t>
        </is>
      </c>
      <c r="Z22" s="7" t="n"/>
      <c r="AA22" s="14" t="inlineStr">
        <is>
          <t>감사위 직속 독립 내부감사 부서 및 인사권이 보장되어 있습니까?</t>
        </is>
      </c>
      <c r="AB22" s="14" t="inlineStr">
        <is>
          <t>단계(1~5)</t>
        </is>
      </c>
    </row>
    <row r="23">
      <c r="A23" s="5" t="n">
        <v>68</v>
      </c>
      <c r="B23" s="6" t="inlineStr">
        <is>
          <t>G-5-2</t>
        </is>
      </c>
      <c r="C23" s="7" t="inlineStr">
        <is>
          <t>기본진단항목(v2.0)</t>
        </is>
      </c>
      <c r="D23" s="8" t="inlineStr">
        <is>
          <t>지배구조</t>
        </is>
      </c>
      <c r="E23" s="7" t="inlineStr">
        <is>
          <t>감사기구</t>
        </is>
      </c>
      <c r="F23" s="6" t="inlineStr">
        <is>
          <t>감사기구 전문성 (감사기구 내 회계/재무 전문가)</t>
        </is>
      </c>
      <c r="G23" s="7" t="inlineStr">
        <is>
          <t> 조직의 감사위원회(또는 감사)가 거시경제 흐름 및 업종동향에 대한 직관, 상법 등 관련 법률 소양, 회계/재무/감사에 관한 전문적 지식을 보유하고 있는지 확인  국내 법률상 규정되어 있는 감사위원회 전문성 조건을 상회하여, 회계 및 재무 전문가를 감사위원으로 선임하고 있는지 점검</t>
        </is>
      </c>
      <c r="H23" s="7" t="inlineStr">
        <is>
          <t>감사위원회(또는 감사) 구성</t>
        </is>
      </c>
      <c r="I23" s="7" t="inlineStr">
        <is>
          <t>직전 회계연도</t>
        </is>
      </c>
      <c r="J23" s="6" t="inlineStr">
        <is>
          <t>N/A</t>
        </is>
      </c>
      <c r="K23" s="6" t="inlineStr">
        <is>
          <t>N/A</t>
        </is>
      </c>
      <c r="L23" s="9" t="inlineStr">
        <is>
          <t>단계형</t>
        </is>
      </c>
      <c r="M23" s="5" t="n">
        <v>3</v>
      </c>
      <c r="N23" s="7" t="inlineStr">
        <is>
          <t>단계형: 1단계=0점 / 2단계=50점 / 3단계=100점</t>
        </is>
      </c>
      <c r="O23" s="6" t="inlineStr">
        <is>
          <t>1단계 |  감사위원회 내 회계 및 재무 분야 전문성을 보유한 감사위원이 1명 선임되어 있는 경우 |  2단계 |  감사위원회 내 회계 및 재무 전문가가 1명 이상 선임되어 있으나, 전체 감사위원 중 50% 이하인 경우 |  3단계 |  감사위원회 내 회계 및 재무 전문가가 1명 이상 선임되어 있으며, 전체 감사위원 중 50% 초과한 경우</t>
        </is>
      </c>
      <c r="P23" s="10" t="inlineStr">
        <is>
          <t>부분대응</t>
        </is>
      </c>
      <c r="Q23" s="6" t="inlineStr">
        <is>
          <t>KSSB 제1호 문단 27(1)ㄏ 전문성 취지 준용</t>
        </is>
      </c>
      <c r="R23" s="6" t="inlineStr">
        <is>
          <t>KCGS</t>
        </is>
      </c>
      <c r="S23" s="6" t="inlineStr">
        <is>
          <t>1_2_0_업종별 K-ESG 가이드라인(v2.0) 진단항목</t>
        </is>
      </c>
      <c r="T23" s="11" t="n"/>
      <c r="U23" s="12" t="n"/>
      <c r="V23" s="12" t="n"/>
      <c r="W23" s="12" t="n"/>
      <c r="X23" s="13" t="n"/>
      <c r="Y23" s="6" t="inlineStr">
        <is>
          <t> 감사위원회의 기본적 업무는 회계감사이며, 감사위원회가 효과적으로 기능하기 위해서는 감사위원이 조직과 이해관계 상충이 없다는 ‘독립성’ 요건을 충족하는 것 이외에 회계, 재무, 감사 분야의 ‘전문성’이 확보되어야 한다. 특히, 감사위원회의 핵심 역할은 재무제표 작성 및 회계감사를 감독하는 업무이므로, 회계 및 감사 업무의 전문성은 꼭 필요하다.  국내 상장회사 및 금융회사의 감사위원회 내 회계 및 재무 분야 전문성을 보유한 감사위원을 선임해야 한다는 규정은 ｢상법｣ 제542조의11 및 ｢금융회사의 지배구조에 관한 법률｣ 제19조에 명시되어 있다. - ｢상법｣ 제542조의11 : 자산규모 2조 원 이상 상장회사 및 자산규모 1천억 원 이상 상장회사 중 감사위원회를…</t>
        </is>
      </c>
      <c r="Z23" s="7" t="n"/>
      <c r="AA23" s="14" t="inlineStr">
        <is>
          <t>감사위원회 내 재무/회계 전문가(공인회계사 등)를 확보하고 있습니까?</t>
        </is>
      </c>
      <c r="AB23" s="14" t="inlineStr">
        <is>
          <t>단계(1~5)</t>
        </is>
      </c>
    </row>
    <row r="24">
      <c r="A24" s="5" t="n">
        <v>69</v>
      </c>
      <c r="B24" s="6" t="inlineStr">
        <is>
          <t>G-6-1</t>
        </is>
      </c>
      <c r="C24" s="7" t="inlineStr">
        <is>
          <t>기본진단항목(v2.0)</t>
        </is>
      </c>
      <c r="D24" s="8" t="inlineStr">
        <is>
          <t>지배구조</t>
        </is>
      </c>
      <c r="E24" s="7" t="inlineStr">
        <is>
          <t>지배구조 법/규제 위반</t>
        </is>
      </c>
      <c r="F24" s="6" t="inlineStr">
        <is>
          <t>지배구조 법/규제 위반</t>
        </is>
      </c>
      <c r="G24" s="7" t="inlineStr">
        <is>
          <t> 조직이 주주권리 보호, 이사회 및 경영진 등 최고 거버넌스 운영, 상호출자 등 소유구조, 특수관계인 거래 등과 관련한 법/규제를 명확하게 인식하고, 지배구조 리스크 해결을 위한 제도 및 활동을 도입하고 있는지 확인  지배구조 관련 법/규제 위반 건 중 조직의 재무구조 및 명성 관리에 상당한 영향력을 미치는 사법상 형벌, 행정상 처분(금전적, 비금전적)에 대해 가중치를 달리 적용해 점검</t>
        </is>
      </c>
      <c r="H24" s="7" t="inlineStr">
        <is>
          <t>‘전자공시시스템’ 上 사업보고서, ‘조직별 홈페이지’ 上 지속가능경영보고서</t>
        </is>
      </c>
      <c r="I24" s="7" t="inlineStr">
        <is>
          <t>최근 4개 회계연도</t>
        </is>
      </c>
      <c r="J24" s="6" t="inlineStr">
        <is>
          <t>N/A</t>
        </is>
      </c>
      <c r="K24" s="6" t="inlineStr">
        <is>
          <t>∑(지배구조 법/규제 위반 건 * 처벌수위별 감점 기준)</t>
        </is>
      </c>
      <c r="L24" s="9" t="inlineStr">
        <is>
          <t>감점형</t>
        </is>
      </c>
      <c r="M24" s="5" t="n">
        <v>3</v>
      </c>
      <c r="N24" s="7" t="inlineStr">
        <is>
          <t>감점형: 기준 100점에서 위반유형별(-50/-30/-10점) 차감(중복 적용 가능), 최저 0점</t>
        </is>
      </c>
      <c r="O24" s="6" t="inlineStr">
        <is>
          <t>유형 1 |  지난 4개년 간 지배구조 법/규제 위반내역 중 처분이 확정된 건수에 대해, 처벌수위가 사법상 형벌, 벌금, 과료인 경우, 또는 지배 |  구조 법/규제 위반으로 인해 국가나 지방자치단체를 당사자로 하는 계약에서 입찰참가자격을 제한당한 경우 |  유형 2 |  지난 4개년 간 지배구조 법/규제 위반내역 중 처분이 확정된 건수에 대해, 지배구조 법/규제 위반의 처벌수위가 행정상 처분 중 |  금전적 처분에 해당하는 과태료, 과징금, 이행강제금 등인 경우 |  유형 3 |  지난 4개년 간 지배구조 법/규제 위반내역 중 처분이 확정된 건수에 대해, 지배구조 법/규제 위반의 처벌수위가 행정상 처분 중 |  비금전적 처분에 해당하는 시정명령, 시정권고, 경고 등인 경우 |  * 감점 사항이 없을 경우, 본 항목의 점수는 100점으로 산정. 최저점은 0점으로 제한</t>
        </is>
      </c>
      <c r="P24" s="10" t="inlineStr">
        <is>
          <t>부분대응</t>
        </is>
      </c>
      <c r="Q24" s="6" t="inlineStr">
        <is>
          <t>KSSB 제1호 위험관리 원칙 준용</t>
        </is>
      </c>
      <c r="R24" s="6" t="inlineStr">
        <is>
          <t>GRI 2-27</t>
        </is>
      </c>
      <c r="S24" s="6" t="inlineStr">
        <is>
          <t>1_2_0_업종별 K-ESG 가이드라인(v2.0) 진단항목</t>
        </is>
      </c>
      <c r="T24" s="11" t="inlineStr">
        <is>
          <t>해당없음(감점형)</t>
        </is>
      </c>
      <c r="U24" s="12" t="n">
        <v>0</v>
      </c>
      <c r="V24" s="12" t="n">
        <v>0</v>
      </c>
      <c r="W24" s="12" t="n">
        <v>0</v>
      </c>
      <c r="X24" s="13" t="n">
        <v>100</v>
      </c>
      <c r="Y24" s="6" t="inlineStr">
        <is>
          <t> 지배구조 법/규제 위반은 ｢상법｣, ｢자본시장과 금융투자업에 관한 법률｣, ｢금융회사의 지배구조에 관한 법률｣ 및 이에 준하는 기타 법률 등에서 규정한 ‘주주권리 보호’, ‘상호출자 등 소유구조’, ‘계열회사 등 특수관계인과의 거래’, ‘이사회 구성 및 운영’, ‘감사기구 구성 및 운영’, ‘경영정보 공시’ 요건을 위반한 경우로 볼 수 있으며, 이에 대한 예시는 아래와 같다. - 주주권리 보호 : 집중투표제, 전자투표제, 주주제안, 주주대표소송 등 - 상호출자 등 소유구조 : 5% 이상 지분율 공시, 상호출자제한기업집단 간 주식 취득 및 소유 등 - 특수관계인과의 거래 : 계열회사 출자총액/지급보증/담보제공 등 - 이사회 구성 및 운영 : 사외이사 선임, 여성(남성)…</t>
        </is>
      </c>
      <c r="Z24" s="7" t="n"/>
      <c r="AA24" s="14" t="inlineStr">
        <is>
          <t>최근 3개년 간 지배구조 법/규제 위반 관련 사례가 있었습니까? (있다면 유형·건수 기재)</t>
        </is>
      </c>
      <c r="AB24" s="14" t="inlineStr">
        <is>
          <t>단계(1~5)</t>
        </is>
      </c>
    </row>
    <row r="25">
      <c r="A25" s="5" t="n">
        <v>84</v>
      </c>
      <c r="B25" s="6" t="inlineStr">
        <is>
          <t>G-경영진-추가1</t>
        </is>
      </c>
      <c r="C25" s="7" t="inlineStr">
        <is>
          <t>추가진단항목(v2.0)</t>
        </is>
      </c>
      <c r="D25" s="8" t="inlineStr">
        <is>
          <t>지배구조</t>
        </is>
      </c>
      <c r="E25" s="7" t="inlineStr">
        <is>
          <t>경영진</t>
        </is>
      </c>
      <c r="F25" s="6" t="inlineStr">
        <is>
          <t>경영진 성과평가 및 보상</t>
        </is>
      </c>
      <c r="G25" s="7" t="inlineStr">
        <is>
          <t> 경영진의 성과를 체계적으로 평가하고 이를 근거로 보상을 지급함으로써, 경영진의 의사결정행위를 직/간접적으로 감독 및 통제하고 있는지 확인  경영진의 성과평가 지표(KPIs)는 조직의 장기적 가치 향상과 연계되어 있으며, 성과평가 행위가 구체적, 연속적, 실효적으로 이루어지고 있는지 점검</t>
        </is>
      </c>
      <c r="H25" s="7" t="inlineStr">
        <is>
          <t>‘전자공시시스템’ 上 사업보고서, ‘조직별 홈페이지’ 上 지속가능경영보고서</t>
        </is>
      </c>
      <c r="I25" s="7" t="inlineStr">
        <is>
          <t>최근 1개 회계연도</t>
        </is>
      </c>
      <c r="J25" s="6" t="inlineStr">
        <is>
          <t>N/A</t>
        </is>
      </c>
      <c r="K25" s="6" t="inlineStr">
        <is>
          <t>N/A</t>
        </is>
      </c>
      <c r="L25" s="9" t="inlineStr">
        <is>
          <t>선택형</t>
        </is>
      </c>
      <c r="M25" s="5" t="n">
        <v>5</v>
      </c>
      <c r="N25" s="7" t="inlineStr">
        <is>
          <t>선택형: 요건1=0점 / 요건2=25점 / 요건3=50점 / 요건4=75점 / 요건5=100점</t>
        </is>
      </c>
      <c r="O25" s="6" t="inlineStr">
        <is>
          <t>요건1 |  조직의 재무적 성과와 연계하여 정량적 ‘성과평가 지표’가 설정되어 있는 경우 |  (매출액, 영업이익, 현금흐름, EBIT, 시가총액, 주주수익률 등) |  요건2 |  조직의 비재무적 성과와 연계하여 정량적 ‘성과평가 지표’가 설정되어 있는 경우 |  (온실가스 배출량, 친환경 제품 비율, 산업재해율, 인권 리스크 개선율 등) |  요건3 |  조직의 재무적/비재무적 성과와 연계하여 3년 이상의 중장기 ‘성과평가 지표’가 설정되어 있는 경우 |  요건4 |  성과평가 결과에 따라 보상(성과급)을 지급하고 있으며, 성과보상 지급을 1년 이상 초과하여 이연지급하고 있는 경우 |  요건5 |  성과평가 종료 후, 지급(예정) 보상을 회수할 수 있는 요건을 두고 있는 경우 |  (경영진 행위가 불법적이거나, 조직에 심각한 피해를 초래한 사유 등)</t>
        </is>
      </c>
      <c r="P25" s="10" t="inlineStr">
        <is>
          <t>부분대응</t>
        </is>
      </c>
      <c r="Q25" s="6" t="inlineStr">
        <is>
          <t>KSSB 제2호 문단 29(7) 경영진 보상-기후지표 연계 취지 준용(ESG 전반 KPI 연계는 KSSB가 더 포괄적)</t>
        </is>
      </c>
      <c r="R25" s="6" t="inlineStr">
        <is>
          <t>GRI 2-19, KCGS</t>
        </is>
      </c>
      <c r="S25" s="6" t="inlineStr">
        <is>
          <t>K-ESG 가이드라인 v2.0 (추가 진단항목, 3장)</t>
        </is>
      </c>
      <c r="T25" s="11" t="n"/>
      <c r="U25" s="12" t="n"/>
      <c r="V25" s="12" t="n"/>
      <c r="W25" s="12" t="n"/>
      <c r="X25" s="13" t="n"/>
      <c r="Y25" s="6" t="inlineStr">
        <is>
          <t>요건1
 조직의 재무적 성과와 연계하여 정량적 ‘성과평가 지표’가 설정되어 있는 경우
 (매출액, 영업이익, 현금흐름, EBIT, 시가총액, 주주수익률 등)
 요건2
 조직의 비재무적 성과와 연계하여 정량적 ‘성과평가 지표’가 설정되어 있는 경우
 (온실가스 배출량, 친환경 제품 비율, 산업재해율, 인권 리스크 개선율 등)
 요건3
 조직의 재무적/비재무적 성과와 연계하여 3년 이상의 중장기 ‘성과평가 지표’가 설정되어 있는 경우
 요건4
 성과평가 결과에 따라 보상(성과급)을 지급하고 있으며, 성과보상 지급을 1년 이상 초과하여…</t>
        </is>
      </c>
      <c r="Z25" s="7" t="n"/>
      <c r="AA25" s="14" t="inlineStr">
        <is>
          <t>경영진 성과평가 및 보상을 수립하여 운영하고 있습니까?</t>
        </is>
      </c>
      <c r="AB25" s="14" t="inlineStr">
        <is>
          <t>선택형(요건 충족 수)</t>
        </is>
      </c>
    </row>
    <row r="26">
      <c r="A26" s="5" t="n">
        <v>85</v>
      </c>
      <c r="B26" s="6" t="inlineStr">
        <is>
          <t>G-윤리경영-추가1</t>
        </is>
      </c>
      <c r="C26" s="7" t="inlineStr">
        <is>
          <t>추가진단항목(v2.0)</t>
        </is>
      </c>
      <c r="D26" s="8" t="inlineStr">
        <is>
          <t>지배구조</t>
        </is>
      </c>
      <c r="E26" s="7" t="inlineStr">
        <is>
          <t>윤리경영</t>
        </is>
      </c>
      <c r="F26" s="6" t="inlineStr">
        <is>
          <t>윤리경영/반부패 관련 법규/행동강령 등 준수</t>
        </is>
      </c>
      <c r="G26" s="7" t="inlineStr">
        <is>
          <t> 조직이 윤리경영 및 부패방지 관련 법규, 행동강령 및 실천규범 등을 준수하고 있는지 확인</t>
        </is>
      </c>
      <c r="H26" s="7" t="inlineStr">
        <is>
          <t>회사(계열사 제외), 임직원(계열사 제외)의 법규 위반 사항 중 사회 관련 법규 위반 사실 (사업보고서, 지속가능성보고서, 법규위반 정보 관련 웹사이트)</t>
        </is>
      </c>
      <c r="I26" s="7" t="inlineStr">
        <is>
          <t>최근 회계연도 기준</t>
        </is>
      </c>
      <c r="J26" s="6" t="inlineStr">
        <is>
          <t>국내, 해외 지점 포함</t>
        </is>
      </c>
      <c r="K26" s="6" t="inlineStr">
        <is>
          <t>N/A</t>
        </is>
      </c>
      <c r="L26" s="9" t="inlineStr">
        <is>
          <t>감점형</t>
        </is>
      </c>
      <c r="M26" s="5" t="n">
        <v>4</v>
      </c>
      <c r="N26" s="7" t="inlineStr">
        <is>
          <t>감점형: 유형1=-50점 / 유형2=-30점 / 유형3=-10점 (기준 100점에서 위반유형별 차감, 최저 0점, 중복 합산 가능)</t>
        </is>
      </c>
      <c r="O26" s="6" t="inlineStr">
        <is>
          <t>유형1(1단계): 처벌 및 조치내용 중 「과징금·벌금·징역·금고·구류」가 포함된 처벌이 있는 경우 | 유형2(2단계): 처벌 및 조치내용 중 「과태료·범칙금·이행강제금」이 포함된 처벌이 있는 경우 | 유형3(3단계): 상기 조치 이외의 처벌(금전적 처벌 없이 시정명령·영업정지 등 제재만 있는 경우) | 처벌·조치내역이 없는 경우 감점 없음(=100점), 사회 분야 총 평가 최저점은 0점으로 하한 설정. 전년도 회사(계열사 제외)·임직원(계열사 제외)의 윤리경영/반부패 관련 법규·행동강령 위반 사실을 기준으로 평가하며, 항소 중인 건은 전년도 현재 판결 기준으로 평가(금융지주회사는 계열사 및 자회사 포함)</t>
        </is>
      </c>
      <c r="P26" s="10" t="inlineStr">
        <is>
          <t>부분대응</t>
        </is>
      </c>
      <c r="Q26" s="6" t="inlineStr">
        <is>
          <t>KSSB 제1호 위험관리 원칙 준용</t>
        </is>
      </c>
      <c r="R26" s="6" t="inlineStr">
        <is>
          <t>GRI 205</t>
        </is>
      </c>
      <c r="S26" s="6" t="inlineStr">
        <is>
          <t>K-ESG 가이드라인 v2.0 (추가 진단항목, 3장)</t>
        </is>
      </c>
      <c r="T26" s="11" t="inlineStr">
        <is>
          <t>해당없음(감점형)</t>
        </is>
      </c>
      <c r="U26" s="12" t="n">
        <v>0</v>
      </c>
      <c r="V26" s="12" t="n">
        <v>0</v>
      </c>
      <c r="W26" s="12" t="n">
        <v>0</v>
      </c>
      <c r="X26" s="13" t="n">
        <v>100</v>
      </c>
      <c r="Y26" s="6" t="inlineStr">
        <is>
          <t>윤리경영/반부패 관련 법규 및 행동강령 위반 이력이 없도록 사전 예방 체계(내부신고 채널, 정기 준법교육, 반부패 정책)를 구축·운영하고, 처벌·조치내역 발생 시에도 재발방지 개선활동을 공시해 위반 유형별 감점을 최소화해야 함. 동일 위반유형이 반복되지 않도록 내부통제 프로세스를 개선하는 것이 핵심 개선 방향.</t>
        </is>
      </c>
      <c r="Z26" s="7" t="n"/>
      <c r="AA26" s="14" t="inlineStr">
        <is>
          <t>윤리경영/반부패 관련 법규/행동강령 등 준수를 수립하여 운영하고 있습니까?</t>
        </is>
      </c>
      <c r="AB26" s="14" t="inlineStr">
        <is>
          <t>OX(위반유형별 감점)</t>
        </is>
      </c>
    </row>
    <row r="27">
      <c r="A27" s="5" t="n">
        <v>86</v>
      </c>
      <c r="B27" s="6" t="inlineStr">
        <is>
          <t>반도체-E-1</t>
        </is>
      </c>
      <c r="C27" s="7" t="inlineStr">
        <is>
          <t>업종특화(반도체 v1.0)</t>
        </is>
      </c>
      <c r="D27" s="8" t="inlineStr">
        <is>
          <t>환경</t>
        </is>
      </c>
      <c r="E27" s="7" t="inlineStr">
        <is>
          <t>온실가스 및 에너지</t>
        </is>
      </c>
      <c r="F27" s="6" t="inlineStr">
        <is>
          <t>에너지 효율적 제품</t>
        </is>
      </c>
      <c r="G27" s="7" t="inlineStr">
        <is>
          <t>조직이 개발·생산하는 제품 중 에너지 효율적 제품의 비중을 점검하고, 사용단계 에너지 절감 노력을 확인</t>
        </is>
      </c>
      <c r="H27" s="7" t="inlineStr">
        <is>
          <t>'조직별 홈페이지' 上 지속가능경영보고서</t>
        </is>
      </c>
      <c r="I27" s="7" t="inlineStr">
        <is>
          <t>최근 4개 회계연도</t>
        </is>
      </c>
      <c r="J27" s="6" t="inlineStr">
        <is>
          <t>국내외 사업장 및 기타 연결실체</t>
        </is>
      </c>
      <c r="K27" s="6" t="inlineStr">
        <is>
          <t>(에너지 효율적 제품의 수 / 조직이 생산하고 있는 전체 제품의 수) X 100</t>
        </is>
      </c>
      <c r="L27" s="9" t="inlineStr">
        <is>
          <t>단계형</t>
        </is>
      </c>
      <c r="M27" s="5" t="n">
        <v>3</v>
      </c>
      <c r="N27" s="7" t="inlineStr">
        <is>
          <t>단계형: 1단계=0점 / 2단계=50점 / 3단계=100점</t>
        </is>
      </c>
      <c r="O27" s="6" t="inlineStr">
        <is>
          <t>1단계: 지난 4개년간 에너지 효율적 제품의 비중 감소 추세 | 2단계: 지난 4개년간 에너지 효율적 제품의 비중 변동 없음 | 3단계: 지난 4개년간 에너지 효율적 제품의 비중 증가 추세</t>
        </is>
      </c>
      <c r="P27" s="10" t="inlineStr">
        <is>
          <t>GAP(대응지표 없음)</t>
        </is>
      </c>
      <c r="Q27" s="6" t="inlineStr">
        <is>
          <t>KSSB 업종기반지표(반도체 S2 부속지침)로 별도 개발 예정</t>
        </is>
      </c>
      <c r="R27" s="6" t="inlineStr">
        <is>
          <t>SASB Semiconductors</t>
        </is>
      </c>
      <c r="S27" s="6" t="inlineStr">
        <is>
          <t>2_업종별 K-ESG 가이드라인(반도체) 진단항목</t>
        </is>
      </c>
      <c r="T27" s="11" t="n"/>
      <c r="U27" s="12" t="n"/>
      <c r="V27" s="12" t="n"/>
      <c r="W27" s="12" t="n"/>
      <c r="X27" s="13" t="n"/>
      <c r="Y27" s="6" t="inlineStr">
        <is>
          <t>Energy Star, EU Energy Label, 국내 에너지소비효율등급표시제도 등 공인 인증 또는 자체평가로 입증 가능한 에너지 효율 제품 비중을 측정. 설비(장비) 생산기업은 판매 장비의 에너지효율 비중으로 대체 측정 가능.</t>
        </is>
      </c>
      <c r="Z27" s="7" t="n"/>
      <c r="AA27" s="14" t="inlineStr">
        <is>
          <t>사용 단계 전력 소모를 절감한 에너지 효율 반도체/장비 비중이 증가 추세입니까?</t>
        </is>
      </c>
      <c r="AB27" s="14" t="inlineStr">
        <is>
          <t>단계(1~3)/감점형</t>
        </is>
      </c>
    </row>
    <row r="28">
      <c r="A28" s="5" t="n">
        <v>87</v>
      </c>
      <c r="B28" s="6" t="inlineStr">
        <is>
          <t>반도체-E-2</t>
        </is>
      </c>
      <c r="C28" s="7" t="inlineStr">
        <is>
          <t>업종특화(반도체 v1.0)</t>
        </is>
      </c>
      <c r="D28" s="8" t="inlineStr">
        <is>
          <t>환경</t>
        </is>
      </c>
      <c r="E28" s="7" t="inlineStr">
        <is>
          <t>용수</t>
        </is>
      </c>
      <c r="F28" s="6" t="inlineStr">
        <is>
          <t>초순수 사용량</t>
        </is>
      </c>
      <c r="G28" s="7" t="inlineStr">
        <is>
          <t>반도체 생산에 필요한 초순수(Ultra-pure Water) 사용량을 효과적으로 측정·모니터링·관리하고 있는지 점검</t>
        </is>
      </c>
      <c r="H28" s="7" t="inlineStr">
        <is>
          <t>'조직별 홈페이지' 上 지속가능경영보고서</t>
        </is>
      </c>
      <c r="I28" s="7" t="inlineStr">
        <is>
          <t>최근 4개 회계연도</t>
        </is>
      </c>
      <c r="J28" s="6" t="inlineStr">
        <is>
          <t>국내외 사업장 및 기타 연결실체</t>
        </is>
      </c>
      <c r="K28" s="6" t="inlineStr">
        <is>
          <t>원단위 초순수 사용량 = 전체 초순수 사용량 / 원단위 활용 분모(매출액·생산량 등)</t>
        </is>
      </c>
      <c r="L28" s="9" t="inlineStr">
        <is>
          <t>단계형</t>
        </is>
      </c>
      <c r="M28" s="5" t="n">
        <v>3</v>
      </c>
      <c r="N28" s="7" t="inlineStr">
        <is>
          <t>단계형: 1단계=0점 / 2단계=50점 / 3단계=100점</t>
        </is>
      </c>
      <c r="O28" s="6" t="inlineStr">
        <is>
          <t>1단계: 지난 4개년간 원단위 초순수 사용량 증가 추세 | 2단계: 지난 4개년간 원단위 초순수 사용량 변동 없음 | 3단계: 지난 4개년간 원단위 초순수 사용량 감소 추세 (미산정 시 0점)</t>
        </is>
      </c>
      <c r="P28" s="10" t="inlineStr">
        <is>
          <t>GAP(대응지표 없음)</t>
        </is>
      </c>
      <c r="Q28" s="6" t="inlineStr">
        <is>
          <t>KSSB 업종기반지표로 별도 개발 예정</t>
        </is>
      </c>
      <c r="R28" s="6" t="inlineStr">
        <is>
          <t>GRI 303, SASB Semiconductors</t>
        </is>
      </c>
      <c r="S28" s="6" t="inlineStr">
        <is>
          <t>2_업종별 K-ESG 가이드라인(반도체) 진단항목</t>
        </is>
      </c>
      <c r="T28" s="11" t="n"/>
      <c r="U28" s="12" t="n"/>
      <c r="V28" s="12" t="n"/>
      <c r="W28" s="12" t="n"/>
      <c r="X28" s="13" t="n"/>
      <c r="Y28" s="6" t="inlineStr">
        <is>
          <t>초순수는 반도체 웨이퍼·마스크 세정에 필수적인 자원으로, 물부족·기후변화에 따른 공급비용 증가 리스크 관리 지표. 연평균성장률(CAGR)로 4개년 추세 판정.</t>
        </is>
      </c>
      <c r="Z28" s="7" t="n"/>
      <c r="AA28" s="14" t="inlineStr">
        <is>
          <t>웨이퍼 세정에 필수적인 초순수(UPW) 원단위 사용량이 감소 추세입니까?</t>
        </is>
      </c>
      <c r="AB28" s="14" t="inlineStr">
        <is>
          <t>단계(1~3)/감점형</t>
        </is>
      </c>
    </row>
    <row r="29">
      <c r="A29" s="5" t="n">
        <v>88</v>
      </c>
      <c r="B29" s="6" t="inlineStr">
        <is>
          <t>반도체-E-3</t>
        </is>
      </c>
      <c r="C29" s="7" t="inlineStr">
        <is>
          <t>업종특화(반도체 v1.0)</t>
        </is>
      </c>
      <c r="D29" s="8" t="inlineStr">
        <is>
          <t>환경</t>
        </is>
      </c>
      <c r="E29" s="7" t="inlineStr">
        <is>
          <t>용수</t>
        </is>
      </c>
      <c r="F29" s="6" t="inlineStr">
        <is>
          <t>물 부족 지역에서의 용수 사용량</t>
        </is>
      </c>
      <c r="G29" s="7" t="inlineStr">
        <is>
          <t>조직의 사업장 중 물부족지역(Water-stressed areas)에 노출된 사업장의 원단위 용수 사용량을 점검</t>
        </is>
      </c>
      <c r="H29" s="7" t="inlineStr">
        <is>
          <t>'조직별 홈페이지' 上 지속가능경영보고서</t>
        </is>
      </c>
      <c r="I29" s="7" t="inlineStr">
        <is>
          <t>최근 4개 회계연도</t>
        </is>
      </c>
      <c r="J29" s="6" t="inlineStr">
        <is>
          <t>국내외 사업장 및 기타 연결실체</t>
        </is>
      </c>
      <c r="K29" s="6" t="inlineStr">
        <is>
          <t>물부족지역 사업장 원단위 용수사용량 = 물부족지역 사업장 용수사용량 / 원단위 활용 분모</t>
        </is>
      </c>
      <c r="L29" s="9" t="inlineStr">
        <is>
          <t>단계형</t>
        </is>
      </c>
      <c r="M29" s="5" t="n">
        <v>3</v>
      </c>
      <c r="N29" s="7" t="inlineStr">
        <is>
          <t>단계형: 1단계=0점 / 2단계=50점 / 3단계=100점</t>
        </is>
      </c>
      <c r="O29" s="6" t="inlineStr">
        <is>
          <t>1단계: 지난 4개년간 물부족지역 사업장 원단위 용수사용량 증가 추세 | 2단계: 변동 없음 | 3단계: 감소 추세 (미식별·미측정 시 0점)</t>
        </is>
      </c>
      <c r="P29" s="10" t="inlineStr">
        <is>
          <t>GAP(대응지표 없음)</t>
        </is>
      </c>
      <c r="Q29" s="6" t="inlineStr">
        <is>
          <t>KSSB 업종기반지표로 별도 개발 예정</t>
        </is>
      </c>
      <c r="R29" s="6" t="inlineStr">
        <is>
          <t>CDP Water Security, SASB Semiconductors</t>
        </is>
      </c>
      <c r="S29" s="6" t="inlineStr">
        <is>
          <t>2_업종별 K-ESG 가이드라인(반도체) 진단항목</t>
        </is>
      </c>
      <c r="T29" s="11" t="n"/>
      <c r="U29" s="12" t="n"/>
      <c r="V29" s="12" t="n"/>
      <c r="W29" s="12" t="n"/>
      <c r="X29" s="13" t="n"/>
      <c r="Y29" s="6" t="inlineStr">
        <is>
          <t>물부족지역 식별은 세계자원연구소(WRI Aqueduct), 세계자연기금(WWF Water Risk Filter) 등에서 확인 가능.</t>
        </is>
      </c>
      <c r="Z29" s="7" t="n"/>
      <c r="AA29" s="14" t="inlineStr">
        <is>
          <t>수자원 취수 원단위 총 용수 사용량이 감소 추세입니까?</t>
        </is>
      </c>
      <c r="AB29" s="14" t="inlineStr">
        <is>
          <t>단계(1~3)/감점형</t>
        </is>
      </c>
    </row>
    <row r="30">
      <c r="A30" s="5" t="n">
        <v>89</v>
      </c>
      <c r="B30" s="6" t="inlineStr">
        <is>
          <t>반도체-E-4</t>
        </is>
      </c>
      <c r="C30" s="7" t="inlineStr">
        <is>
          <t>업종특화(반도체 v1.0)</t>
        </is>
      </c>
      <c r="D30" s="8" t="inlineStr">
        <is>
          <t>환경</t>
        </is>
      </c>
      <c r="E30" s="7" t="inlineStr">
        <is>
          <t>오염물질</t>
        </is>
      </c>
      <c r="F30" s="6" t="inlineStr">
        <is>
          <t>과불화탄소 배출량</t>
        </is>
      </c>
      <c r="G30" s="7" t="inlineStr">
        <is>
          <t>반도체 식각·챔버세정 공정에서 발생하는 과불화탄소(PFCs, GWP 7,000) 배출을 관리하는지 확인</t>
        </is>
      </c>
      <c r="H30" s="7" t="inlineStr">
        <is>
          <t>'조직별 홈페이지' 上 지속가능경영보고서, TCFD 보고서, CDP 보고서 등</t>
        </is>
      </c>
      <c r="I30" s="7" t="inlineStr">
        <is>
          <t>최근 4개 회계연도</t>
        </is>
      </c>
      <c r="J30" s="6" t="inlineStr">
        <is>
          <t>국내외 사업장 및 기타 연결실체</t>
        </is>
      </c>
      <c r="K30" s="6" t="inlineStr">
        <is>
          <t>원단위 대비 PFC 배출량 = 총 PFC 배출량(tCO2eq) / 원단위 활용 분모</t>
        </is>
      </c>
      <c r="L30" s="9" t="inlineStr">
        <is>
          <t>단계형</t>
        </is>
      </c>
      <c r="M30" s="5" t="n">
        <v>3</v>
      </c>
      <c r="N30" s="7" t="inlineStr">
        <is>
          <t>단계형: 1단계=0점 / 2단계=50점 / 3단계=100점</t>
        </is>
      </c>
      <c r="O30" s="6" t="inlineStr">
        <is>
          <t>1단계: 지난 4개년간 원단위 PFC 배출량 증가 추세 | 2단계: 변동 없음 | 3단계: 감소 추세 (미관리 시 0점)</t>
        </is>
      </c>
      <c r="P30" s="10" t="inlineStr">
        <is>
          <t>GAP(대응지표 없음)</t>
        </is>
      </c>
      <c r="Q30" s="6" t="inlineStr">
        <is>
          <t>KSSB 업종기반지표로 별도 개발 예정(GHG Scope1 총량에는 포함)</t>
        </is>
      </c>
      <c r="R30" s="6" t="inlineStr">
        <is>
          <t>SASB Semiconductors</t>
        </is>
      </c>
      <c r="S30" s="6" t="inlineStr">
        <is>
          <t>2_업종별 K-ESG 가이드라인(반도체) 진단항목</t>
        </is>
      </c>
      <c r="T30" s="11" t="n"/>
      <c r="U30" s="12" t="n"/>
      <c r="V30" s="12" t="n"/>
      <c r="W30" s="12" t="n"/>
      <c r="X30" s="13" t="n"/>
      <c r="Y30" s="6" t="inlineStr">
        <is>
          <t>EU 불화온실가스 저감 규정(Regulation (EU) No 517/2014), 교토의정서 7대 온실가스에 해당.</t>
        </is>
      </c>
      <c r="Z30" s="7" t="n"/>
      <c r="AA30" s="14" t="inlineStr">
        <is>
          <t>과불화탄소 배출량에 대한 현황을 관리·공시하고 있습니까?</t>
        </is>
      </c>
      <c r="AB30" s="14" t="inlineStr">
        <is>
          <t>단계(1~3)/감점형</t>
        </is>
      </c>
    </row>
    <row r="31">
      <c r="A31" s="5" t="n">
        <v>90</v>
      </c>
      <c r="B31" s="6" t="inlineStr">
        <is>
          <t>반도체-E-5</t>
        </is>
      </c>
      <c r="C31" s="7" t="inlineStr">
        <is>
          <t>업종특화(반도체 v1.0)</t>
        </is>
      </c>
      <c r="D31" s="8" t="inlineStr">
        <is>
          <t>환경</t>
        </is>
      </c>
      <c r="E31" s="7" t="inlineStr">
        <is>
          <t>오염물질</t>
        </is>
      </c>
      <c r="F31" s="6" t="inlineStr">
        <is>
          <t>휘발성 유기화합물 배출량</t>
        </is>
      </c>
      <c r="G31" s="7" t="inlineStr">
        <is>
          <t>제품 생산과정에서 발생하는 휘발성유기화합물(VOC) 배출을 관리하는지 확인</t>
        </is>
      </c>
      <c r="H31" s="7" t="inlineStr">
        <is>
          <t>'조직별 홈페이지' 上 지속가능경영보고서, TCFD·CDP 보고서 등</t>
        </is>
      </c>
      <c r="I31" s="7" t="inlineStr">
        <is>
          <t>최근 4개 회계연도</t>
        </is>
      </c>
      <c r="J31" s="6" t="inlineStr">
        <is>
          <t>국내외 사업장 및 기타 연결실체</t>
        </is>
      </c>
      <c r="K31" s="6" t="inlineStr">
        <is>
          <t>원단위 대비 VOC 배출량 = 총 VOC 배출량(Metric ton) / 원단위 활용 분모</t>
        </is>
      </c>
      <c r="L31" s="9" t="inlineStr">
        <is>
          <t>단계형</t>
        </is>
      </c>
      <c r="M31" s="5" t="n">
        <v>3</v>
      </c>
      <c r="N31" s="7" t="inlineStr">
        <is>
          <t>단계형: 1단계=0점 / 2단계=50점 / 3단계=100점</t>
        </is>
      </c>
      <c r="O31" s="6" t="inlineStr">
        <is>
          <t>1단계: 지난 4개년간 원단위 VOC 배출량 증가 추세 | 2단계: 변동 없음 | 3단계: 감소 추세 (미관리 시 0점)</t>
        </is>
      </c>
      <c r="P31" s="10" t="inlineStr">
        <is>
          <t>GAP(대응지표 없음)</t>
        </is>
      </c>
      <c r="Q31" s="6" t="inlineStr">
        <is>
          <t>KSSB 업종기반지표로 별도 개발 예정</t>
        </is>
      </c>
      <c r="R31" s="6" t="inlineStr">
        <is>
          <t>SASB Semiconductors</t>
        </is>
      </c>
      <c r="S31" s="6" t="inlineStr">
        <is>
          <t>2_업종별 K-ESG 가이드라인(반도체) 진단항목</t>
        </is>
      </c>
      <c r="T31" s="11" t="n"/>
      <c r="U31" s="12" t="n"/>
      <c r="V31" s="12" t="n"/>
      <c r="W31" s="12" t="n"/>
      <c r="X31" s="13" t="n"/>
      <c r="Y31" s="6" t="inlineStr">
        <is>
          <t>국내 대기환경보전법 휘발성유기화합물 지정고시(37개 물질), 미국 EPA 40 CFR Part 51.100, RBA 행동규범 배출관리 요구사항 참고.</t>
        </is>
      </c>
      <c r="Z31" s="7" t="n"/>
      <c r="AA31" s="14" t="inlineStr">
        <is>
          <t>휘발성 유기화합물 배출량에 대한 현황을 관리·공시하고 있습니까?</t>
        </is>
      </c>
      <c r="AB31" s="14" t="inlineStr">
        <is>
          <t>단계(1~3)/감점형</t>
        </is>
      </c>
    </row>
    <row r="32">
      <c r="A32" s="5" t="n">
        <v>91</v>
      </c>
      <c r="B32" s="6" t="inlineStr">
        <is>
          <t>반도체-G-1</t>
        </is>
      </c>
      <c r="C32" s="7" t="inlineStr">
        <is>
          <t>업종특화(반도체 v1.0)</t>
        </is>
      </c>
      <c r="D32" s="8" t="inlineStr">
        <is>
          <t>지배구조</t>
        </is>
      </c>
      <c r="E32" s="7" t="inlineStr">
        <is>
          <t>윤리경영</t>
        </is>
      </c>
      <c r="F32" s="6" t="inlineStr">
        <is>
          <t>반경쟁행위 위반사항 공시</t>
        </is>
      </c>
      <c r="G32" s="7" t="inlineStr">
        <is>
          <t>조직이 반경쟁행위(가격담합·시장지배력남용 등) 관련 법/규제를 준수하는지, 위반시 처벌수위별 감점으로 점검</t>
        </is>
      </c>
      <c r="H32" s="7" t="inlineStr">
        <is>
          <t>'전자공시시스템' 上 사업보고서, '조직별 홈페이지' 上 지속가능경영보고서</t>
        </is>
      </c>
      <c r="I32" s="7" t="inlineStr">
        <is>
          <t>최근 4개 회계연도</t>
        </is>
      </c>
      <c r="J32" s="6" t="inlineStr">
        <is>
          <t>국내외 사업장 및 기타 연결실체</t>
        </is>
      </c>
      <c r="K32" s="6" t="inlineStr">
        <is>
          <t>∑(반경쟁행위 위반 건 × 처벌수위별 감점기준)</t>
        </is>
      </c>
      <c r="L32" s="9" t="inlineStr">
        <is>
          <t>감점형</t>
        </is>
      </c>
      <c r="M32" s="5" t="n">
        <v>3</v>
      </c>
      <c r="N32" s="7" t="inlineStr">
        <is>
          <t>감점형: 유형1=-50점 / 유형2=-30점 / 유형3=-10점 (감점형: 100점 기준 위반유형별 차감, 최저 0점)</t>
        </is>
      </c>
      <c r="O32" s="6" t="inlineStr">
        <is>
          <t>유형1: 확정판결 中 사법상 형벌·벌금·과료 또는 입찰참가자격 제한 | 유형2: 확정판결 中 금전적 행정처분(과태료·과징금·이행강제금) | 유형3: 확정판결 中 비금전적 행정처분(시정명령·시정권고·경고) — 감점 없을 시 100점, 최저점 0점 하한</t>
        </is>
      </c>
      <c r="P32" s="10" t="inlineStr">
        <is>
          <t>GAP(대응지표 없음)</t>
        </is>
      </c>
      <c r="Q32" s="6" t="inlineStr">
        <is>
          <t>KSSB 규정 없음</t>
        </is>
      </c>
      <c r="R32" s="6" t="inlineStr">
        <is>
          <t>SASB Semiconductors, 공정거래법</t>
        </is>
      </c>
      <c r="S32" s="6" t="inlineStr">
        <is>
          <t>2_업종별 K-ESG 가이드라인(반도체) 진단항목</t>
        </is>
      </c>
      <c r="T32" s="11" t="inlineStr">
        <is>
          <t>해당없음(감점형)</t>
        </is>
      </c>
      <c r="U32" s="12" t="n">
        <v>0</v>
      </c>
      <c r="V32" s="12" t="n">
        <v>0</v>
      </c>
      <c r="W32" s="12" t="n">
        <v>0</v>
      </c>
      <c r="X32" s="13" t="n">
        <v>100</v>
      </c>
      <c r="Y32" s="6" t="inlineStr">
        <is>
          <t>반도체 산업표준 제정 과정의 상호라이선스·특허풀 활용 등으로 가격담합 등 반독점 리스크가 상대적으로 높은 업종 특성 반영.</t>
        </is>
      </c>
      <c r="Z32" s="7" t="n"/>
      <c r="AA32" s="14" t="inlineStr">
        <is>
          <t>반경쟁행위 위반사항 공시를 충실히 이행하고 있습니까?</t>
        </is>
      </c>
      <c r="AB32" s="14" t="inlineStr">
        <is>
          <t>단계(1~3)/감점형</t>
        </is>
      </c>
    </row>
  </sheetData>
  <mergeCells count="1">
    <mergeCell ref="A1:A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7"/>
  <sheetViews>
    <sheetView workbookViewId="0">
      <pane ySplit="267" topLeftCell="A268" activePane="bottomLeft" state="frozen"/>
      <selection pane="bottomLeft" activeCell="A1" sqref="A1"/>
    </sheetView>
  </sheetViews>
  <sheetFormatPr baseColWidth="8" defaultRowHeight="15"/>
  <cols>
    <col width="16" customWidth="1" min="1" max="1"/>
    <col width="28" customWidth="1" min="2" max="2"/>
    <col width="9" customWidth="1" min="3" max="3"/>
    <col width="10" customWidth="1" min="4" max="4"/>
    <col width="8" customWidth="1" min="5" max="5"/>
    <col width="80" customWidth="1" min="6" max="6"/>
  </cols>
  <sheetData>
    <row r="1">
      <c r="A1" s="1" t="inlineStr">
        <is>
          <t>[분리본: G(지배구조)+P(정보공시)+반도체특화] 원본 02시트를 분류코드 기준으로 재분류한 파일입니다.</t>
        </is>
      </c>
    </row>
    <row r="2" ht="21.75" customHeight="1">
      <c r="A2" s="3" t="inlineStr">
        <is>
          <t>분류코드</t>
        </is>
      </c>
      <c r="B2" s="3" t="inlineStr">
        <is>
          <t>진단항목명</t>
        </is>
      </c>
      <c r="C2" s="3" t="inlineStr">
        <is>
          <t>단계번호</t>
        </is>
      </c>
      <c r="D2" s="3" t="inlineStr">
        <is>
          <t>단계라벨</t>
        </is>
      </c>
      <c r="E2" s="3" t="inlineStr">
        <is>
          <t>배점</t>
        </is>
      </c>
      <c r="F2" s="3" t="inlineStr">
        <is>
          <t>단계별 판단기준(K-ESG v2.0 원문)</t>
        </is>
      </c>
    </row>
    <row r="3">
      <c r="A3" s="6" t="inlineStr">
        <is>
          <t>P-1-1</t>
        </is>
      </c>
      <c r="B3" s="6" t="inlineStr">
        <is>
          <t>ESG 정보공시 방식</t>
        </is>
      </c>
      <c r="C3" s="5" t="n">
        <v>1</v>
      </c>
      <c r="D3" s="6" t="inlineStr">
        <is>
          <t>1단계</t>
        </is>
      </c>
      <c r="E3" s="5" t="n">
        <v>0</v>
      </c>
      <c r="F3" s="7" t="inlineStr">
        <is>
          <t>조직이 어떠한 방식으로든 ESG 정보를 공시하지 않는 경우</t>
        </is>
      </c>
    </row>
    <row r="4">
      <c r="A4" s="6" t="inlineStr">
        <is>
          <t>P-1-1</t>
        </is>
      </c>
      <c r="B4" s="6" t="inlineStr">
        <is>
          <t>ESG 정보공시 방식</t>
        </is>
      </c>
      <c r="C4" s="5" t="n">
        <v>2</v>
      </c>
      <c r="D4" s="6" t="inlineStr">
        <is>
          <t>2단계</t>
        </is>
      </c>
      <c r="E4" s="5" t="n">
        <v>25</v>
      </c>
      <c r="F4" s="7" t="inlineStr">
        <is>
          <t>조직의 홈페이지, 지속가능경영보고서, 사업보고서, 기타 간행물 등에 ESG 정보를 분산하여 공시하고 있는 경우</t>
        </is>
      </c>
    </row>
    <row r="5">
      <c r="A5" s="6" t="inlineStr">
        <is>
          <t>P-1-1</t>
        </is>
      </c>
      <c r="B5" s="6" t="inlineStr">
        <is>
          <t>ESG 정보공시 방식</t>
        </is>
      </c>
      <c r="C5" s="5" t="n">
        <v>3</v>
      </c>
      <c r="D5" s="6" t="inlineStr">
        <is>
          <t>3단계</t>
        </is>
      </c>
      <c r="E5" s="5" t="n">
        <v>50</v>
      </c>
      <c r="F5" s="7" t="inlineStr">
        <is>
          <t>조직의 홈페이지, 지속가능경영보고서, 사업보고서, 기타 간행물 등에 ESG 정보를 통합하여 공시하고 있는 경우</t>
        </is>
      </c>
    </row>
    <row r="6">
      <c r="A6" s="6" t="inlineStr">
        <is>
          <t>P-1-1</t>
        </is>
      </c>
      <c r="B6" s="6" t="inlineStr">
        <is>
          <t>ESG 정보공시 방식</t>
        </is>
      </c>
      <c r="C6" s="5" t="n">
        <v>4</v>
      </c>
      <c r="D6" s="6" t="inlineStr">
        <is>
          <t>4단계</t>
        </is>
      </c>
      <c r="E6" s="5" t="n">
        <v>75</v>
      </c>
      <c r="F6" s="7" t="inlineStr">
        <is>
          <t>ESG 정보를 통합한 조직의 홈페이지, 지속가능경영보고서, 사업보고서, 기타 간행물 등을 지정된 장소에 비치하거나, 특정 URL에 담고 있는 경우</t>
        </is>
      </c>
    </row>
    <row r="7">
      <c r="A7" s="6" t="inlineStr">
        <is>
          <t>P-1-1</t>
        </is>
      </c>
      <c r="B7" s="6" t="inlineStr">
        <is>
          <t>ESG 정보공시 방식</t>
        </is>
      </c>
      <c r="C7" s="5" t="n">
        <v>5</v>
      </c>
      <c r="D7" s="6" t="inlineStr">
        <is>
          <t>5단계</t>
        </is>
      </c>
      <c r="E7" s="5" t="n">
        <v>100</v>
      </c>
      <c r="F7" s="7" t="inlineStr">
        <is>
          <t>ESG 정보를 통합한 조직의 홈페이지, 지속가능경영보고서, 사업보고서, 기타 간행물 등의 발행여부를 ‘전자공시시스템-자율공시’ 사항으로 알리는 경우</t>
        </is>
      </c>
    </row>
    <row r="8">
      <c r="A8" s="6" t="inlineStr">
        <is>
          <t>P-1-2</t>
        </is>
      </c>
      <c r="B8" s="6" t="inlineStr">
        <is>
          <t>ESG 정보공시 주기</t>
        </is>
      </c>
      <c r="C8" s="5" t="n">
        <v>1</v>
      </c>
      <c r="D8" s="6" t="inlineStr">
        <is>
          <t>1단계</t>
        </is>
      </c>
      <c r="E8" s="5" t="n">
        <v>0</v>
      </c>
      <c r="F8" s="7" t="inlineStr">
        <is>
          <t>ESG 정보공시 주기를 특정할 수 없거나, 명시하고 있지 않는 경우</t>
        </is>
      </c>
    </row>
    <row r="9">
      <c r="A9" s="6" t="inlineStr">
        <is>
          <t>P-1-2</t>
        </is>
      </c>
      <c r="B9" s="6" t="inlineStr">
        <is>
          <t>ESG 정보공시 주기</t>
        </is>
      </c>
      <c r="C9" s="5" t="n">
        <v>2</v>
      </c>
      <c r="D9" s="6" t="inlineStr">
        <is>
          <t>2단계</t>
        </is>
      </c>
      <c r="E9" s="5" t="n">
        <v>50</v>
      </c>
      <c r="F9" s="7" t="inlineStr">
        <is>
          <t>2년 단위로 보고서 발간 및 ESG 정보를 공시하는 경우</t>
        </is>
      </c>
    </row>
    <row r="10">
      <c r="A10" s="6" t="inlineStr">
        <is>
          <t>P-1-2</t>
        </is>
      </c>
      <c r="B10" s="6" t="inlineStr">
        <is>
          <t>ESG 정보공시 주기</t>
        </is>
      </c>
      <c r="C10" s="5" t="n">
        <v>3</v>
      </c>
      <c r="D10" s="6" t="inlineStr">
        <is>
          <t>3단계</t>
        </is>
      </c>
      <c r="E10" s="5" t="n">
        <v>100</v>
      </c>
      <c r="F10" s="7" t="inlineStr">
        <is>
          <t>1년 단위로 보고서 발간 및 ESG 정보를 공시하는 경우</t>
        </is>
      </c>
    </row>
    <row r="11">
      <c r="A11" s="6" t="inlineStr">
        <is>
          <t>P-1-3</t>
        </is>
      </c>
      <c r="B11" s="6" t="inlineStr">
        <is>
          <t>ESG 정보공시 범위</t>
        </is>
      </c>
      <c r="C11" s="5" t="n">
        <v>1</v>
      </c>
      <c r="D11" s="6" t="inlineStr">
        <is>
          <t>1단계</t>
        </is>
      </c>
      <c r="E11" s="5" t="n">
        <v>0</v>
      </c>
      <c r="F11" s="7" t="inlineStr">
        <is>
          <t>ESG 정보공시 범위를 특정할 수 없거나, 명시하고 있지 않는 경우</t>
        </is>
      </c>
    </row>
    <row r="12">
      <c r="A12" s="6" t="inlineStr">
        <is>
          <t>P-1-3</t>
        </is>
      </c>
      <c r="B12" s="6" t="inlineStr">
        <is>
          <t>ESG 정보공시 범위</t>
        </is>
      </c>
      <c r="C12" s="5" t="n">
        <v>2</v>
      </c>
      <c r="D12" s="6" t="inlineStr">
        <is>
          <t>2단계</t>
        </is>
      </c>
      <c r="E12" s="5" t="n">
        <v>25</v>
      </c>
      <c r="F12" s="7" t="inlineStr">
        <is>
          <t>조직이 법적으로 직접 소유하고 있는 사업장(ex. 별도재무제표 기준)의 일부 또는 모든 ESG 정보를 공시하고 있는 경우</t>
        </is>
      </c>
    </row>
    <row r="13">
      <c r="A13" s="6" t="inlineStr">
        <is>
          <t>P-1-3</t>
        </is>
      </c>
      <c r="B13" s="6" t="inlineStr">
        <is>
          <t>ESG 정보공시 범위</t>
        </is>
      </c>
      <c r="C13" s="5" t="n">
        <v>3</v>
      </c>
      <c r="D13" s="6" t="inlineStr">
        <is>
          <t>3단계</t>
        </is>
      </c>
      <c r="E13" s="5" t="n">
        <v>50</v>
      </c>
      <c r="F13" s="7" t="inlineStr">
        <is>
          <t>조직의 영향력과 통제력 범위에 있는 곳(자회사, 종속법인, 연결실체 등)의 일부 ESG 정보를 공시하고 있는 경우</t>
        </is>
      </c>
    </row>
    <row r="14">
      <c r="A14" s="6" t="inlineStr">
        <is>
          <t>P-1-3</t>
        </is>
      </c>
      <c r="B14" s="6" t="inlineStr">
        <is>
          <t>ESG 정보공시 범위</t>
        </is>
      </c>
      <c r="C14" s="5" t="n">
        <v>4</v>
      </c>
      <c r="D14" s="6" t="inlineStr">
        <is>
          <t>4단계</t>
        </is>
      </c>
      <c r="E14" s="5" t="n">
        <v>75</v>
      </c>
      <c r="F14" s="7" t="inlineStr">
        <is>
          <t>조직의 영향력과 통제력 범위에 있는 곳(자회사, 종속법인, 연결실체 등)의 일부 ESG 정보를 공시하고 있는 경우. 단, 조직의 영향력과 통제력 범위로 ESG 정보공시 범위를 확대한다는 계획을 제시하고 있는 경우</t>
        </is>
      </c>
    </row>
    <row r="15">
      <c r="A15" s="6" t="inlineStr">
        <is>
          <t>P-1-3</t>
        </is>
      </c>
      <c r="B15" s="6" t="inlineStr">
        <is>
          <t>ESG 정보공시 범위</t>
        </is>
      </c>
      <c r="C15" s="5" t="n">
        <v>5</v>
      </c>
      <c r="D15" s="6" t="inlineStr">
        <is>
          <t>5단계</t>
        </is>
      </c>
      <c r="E15" s="5" t="n">
        <v>100</v>
      </c>
      <c r="F15" s="7" t="inlineStr">
        <is>
          <t>조직의 영향력과 통제력 범위에 있는 곳(자회사, 종속법인, 연결실체 등)의 모든 ESG 정보를 공시하고 있는 경우</t>
        </is>
      </c>
    </row>
    <row r="16">
      <c r="A16" s="6" t="inlineStr">
        <is>
          <t>P-2-1</t>
        </is>
      </c>
      <c r="B16" s="6" t="inlineStr">
        <is>
          <t>ESG 핵심이슈 및 KPI</t>
        </is>
      </c>
      <c r="C16" s="5" t="n">
        <v>1</v>
      </c>
      <c r="D16" s="6" t="inlineStr">
        <is>
          <t>1단계</t>
        </is>
      </c>
      <c r="E16" s="5" t="n">
        <v>0</v>
      </c>
      <c r="F16" s="7" t="inlineStr">
        <is>
          <t>중대성 평가 결과 또는 ESG 핵심이슈를 공시하고 있지 않은 경우</t>
        </is>
      </c>
    </row>
    <row r="17">
      <c r="A17" s="6" t="inlineStr">
        <is>
          <t>P-2-1</t>
        </is>
      </c>
      <c r="B17" s="6" t="inlineStr">
        <is>
          <t>ESG 핵심이슈 및 KPI</t>
        </is>
      </c>
      <c r="C17" s="5" t="n">
        <v>2</v>
      </c>
      <c r="D17" s="6" t="inlineStr">
        <is>
          <t>2단계</t>
        </is>
      </c>
      <c r="E17" s="5" t="n">
        <v>25</v>
      </c>
      <c r="F17" s="7" t="inlineStr">
        <is>
          <t>중대성 평가 결과와 핵심이슈를 명확히 정의하고 있는 경우</t>
        </is>
      </c>
    </row>
    <row r="18">
      <c r="A18" s="6" t="inlineStr">
        <is>
          <t>P-2-1</t>
        </is>
      </c>
      <c r="B18" s="6" t="inlineStr">
        <is>
          <t>ESG 핵심이슈 및 KPI</t>
        </is>
      </c>
      <c r="C18" s="5" t="n">
        <v>3</v>
      </c>
      <c r="D18" s="6" t="inlineStr">
        <is>
          <t>3단계</t>
        </is>
      </c>
      <c r="E18" s="5" t="n">
        <v>50</v>
      </c>
      <c r="F18" s="7" t="inlineStr">
        <is>
          <t>2단계 + 핵심이슈에 대해 조직이 관리하고 있는 성과지표를 설명하고 있는 경우 (예를 들어, 기후변화가 핵심이슈일 경우, 온실가스 배출량 데이터 제시)</t>
        </is>
      </c>
    </row>
    <row r="19">
      <c r="A19" s="6" t="inlineStr">
        <is>
          <t>P-2-1</t>
        </is>
      </c>
      <c r="B19" s="6" t="inlineStr">
        <is>
          <t>ESG 핵심이슈 및 KPI</t>
        </is>
      </c>
      <c r="C19" s="5" t="n">
        <v>4</v>
      </c>
      <c r="D19" s="6" t="inlineStr">
        <is>
          <t>4단계</t>
        </is>
      </c>
      <c r="E19" s="5" t="n">
        <v>75</v>
      </c>
      <c r="F19" s="7" t="inlineStr">
        <is>
          <t>3단계 + 핵심이슈가 사업적/사회적 관점에서 중요한 사유를 설명하고 있는 경우 (예를 들어, 사업적/사회적 관점의 기회 요인과 리스크 요인 등)</t>
        </is>
      </c>
    </row>
    <row r="20">
      <c r="A20" s="6" t="inlineStr">
        <is>
          <t>P-2-1</t>
        </is>
      </c>
      <c r="B20" s="6" t="inlineStr">
        <is>
          <t>ESG 핵심이슈 및 KPI</t>
        </is>
      </c>
      <c r="C20" s="5" t="n">
        <v>5</v>
      </c>
      <c r="D20" s="6" t="inlineStr">
        <is>
          <t>5단계</t>
        </is>
      </c>
      <c r="E20" s="5" t="n">
        <v>100</v>
      </c>
      <c r="F20" s="7" t="inlineStr">
        <is>
          <t>4단계 + 핵심이슈를 관리하기 위한 시스템 및 절차를 설명하고 있는 경우 (조직, 전략 및 계획, 고충처리체계, 활동 및 교육 등)</t>
        </is>
      </c>
    </row>
    <row r="21">
      <c r="A21" s="6" t="inlineStr">
        <is>
          <t>P-3-1</t>
        </is>
      </c>
      <c r="B21" s="6" t="inlineStr">
        <is>
          <t>ESG 정보공시 검증</t>
        </is>
      </c>
      <c r="C21" s="5" t="n">
        <v>1</v>
      </c>
      <c r="D21" s="6" t="inlineStr">
        <is>
          <t>요건1</t>
        </is>
      </c>
      <c r="E21" s="5" t="n">
        <v>0</v>
      </c>
      <c r="F21" s="7" t="inlineStr">
        <is>
          <t>검증의견서에 검증기관(또는 검증인)이 명시되어 있는 경우 (또는, 검증기관이 License Number를 보유하고 있는 경우)</t>
        </is>
      </c>
    </row>
    <row r="22">
      <c r="A22" s="6" t="inlineStr">
        <is>
          <t>P-3-1</t>
        </is>
      </c>
      <c r="B22" s="6" t="inlineStr">
        <is>
          <t>ESG 정보공시 검증</t>
        </is>
      </c>
      <c r="C22" s="5" t="n">
        <v>2</v>
      </c>
      <c r="D22" s="6" t="inlineStr">
        <is>
          <t>요건2</t>
        </is>
      </c>
      <c r="E22" s="5" t="n">
        <v>25</v>
      </c>
      <c r="F22" s="7" t="inlineStr">
        <is>
          <t>검증의견서에 검증기관과의 독립성 성명이 포함되어 있는 경우 (즉, 검증기관과 검증받는 조직간 이해관계 상충이 없음을 선언한 경우)</t>
        </is>
      </c>
    </row>
    <row r="23">
      <c r="A23" s="6" t="inlineStr">
        <is>
          <t>P-3-1</t>
        </is>
      </c>
      <c r="B23" s="6" t="inlineStr">
        <is>
          <t>ESG 정보공시 검증</t>
        </is>
      </c>
      <c r="C23" s="5" t="n">
        <v>3</v>
      </c>
      <c r="D23" s="6" t="inlineStr">
        <is>
          <t>요건3</t>
        </is>
      </c>
      <c r="E23" s="5" t="n">
        <v>50</v>
      </c>
      <c r="F23" s="7" t="inlineStr">
        <is>
          <t>검증의견서에 검증표준(방법론)이 제시되어 있는 경우 (AA1000AS, ISAE3000, 또는 제3자 검증기관이 개발한 자체 검증표준 등)</t>
        </is>
      </c>
    </row>
    <row r="24">
      <c r="A24" s="6" t="inlineStr">
        <is>
          <t>P-3-1</t>
        </is>
      </c>
      <c r="B24" s="6" t="inlineStr">
        <is>
          <t>ESG 정보공시 검증</t>
        </is>
      </c>
      <c r="C24" s="5" t="n">
        <v>4</v>
      </c>
      <c r="D24" s="6" t="inlineStr">
        <is>
          <t>요건4</t>
        </is>
      </c>
      <c r="E24" s="5" t="n">
        <v>75</v>
      </c>
      <c r="F24" s="7" t="inlineStr">
        <is>
          <t>검증의견서에 ESG 정보 검증수준을 공개하고 있는 경우 (Type1/Type2, Moderate/High, 제한적/합리적 등)</t>
        </is>
      </c>
    </row>
    <row r="25">
      <c r="A25" s="6" t="inlineStr">
        <is>
          <t>P-3-1</t>
        </is>
      </c>
      <c r="B25" s="6" t="inlineStr">
        <is>
          <t>ESG 정보공시 검증</t>
        </is>
      </c>
      <c r="C25" s="5" t="n">
        <v>5</v>
      </c>
      <c r="D25" s="6" t="inlineStr">
        <is>
          <t>요건5</t>
        </is>
      </c>
      <c r="E25" s="5" t="n">
        <v>100</v>
      </c>
      <c r="F25" s="7" t="inlineStr">
        <is>
          <t>검증의견서에 제3자 검증기관이 검증한 정보공시 지표가 적시되어 있는 경우 (즉, 조직의 모든 ESG 정보 중 어떠한 정보를 검증하였는지 명시하는 경우)</t>
        </is>
      </c>
    </row>
    <row r="26">
      <c r="A26" s="6" t="inlineStr">
        <is>
          <t>G-1-2</t>
        </is>
      </c>
      <c r="B26" s="6" t="inlineStr">
        <is>
          <t>사외이사 비율</t>
        </is>
      </c>
      <c r="C26" s="5" t="n">
        <v>1</v>
      </c>
      <c r="D26" s="6" t="inlineStr">
        <is>
          <t>1단계</t>
        </is>
      </c>
      <c r="E26" s="5" t="n">
        <v>0</v>
      </c>
      <c r="F26" s="7" t="inlineStr">
        <is>
          <t>총원의 과반수로 구성되었으나, 사외이사가 3인인 경우</t>
        </is>
      </c>
    </row>
    <row r="27">
      <c r="A27" s="6" t="inlineStr">
        <is>
          <t>G-1-2</t>
        </is>
      </c>
      <c r="B27" s="6" t="inlineStr">
        <is>
          <t>사외이사 비율</t>
        </is>
      </c>
      <c r="C27" s="5" t="n">
        <v>2</v>
      </c>
      <c r="D27" s="6" t="inlineStr">
        <is>
          <t>2단계</t>
        </is>
      </c>
      <c r="E27" s="5" t="n">
        <v>25</v>
      </c>
      <c r="F27" s="7" t="inlineStr">
        <is>
          <t>3인 이상, 이사 총원의 과반수를 차지하고 있으나, 전체 이사 중 60% 미만인 경우</t>
        </is>
      </c>
    </row>
    <row r="28">
      <c r="A28" s="6" t="inlineStr">
        <is>
          <t>G-1-2</t>
        </is>
      </c>
      <c r="B28" s="6" t="inlineStr">
        <is>
          <t>사외이사 비율</t>
        </is>
      </c>
      <c r="C28" s="5" t="n">
        <v>3</v>
      </c>
      <c r="D28" s="6" t="inlineStr">
        <is>
          <t>3단계</t>
        </is>
      </c>
      <c r="E28" s="5" t="n">
        <v>50</v>
      </c>
      <c r="F28" s="7" t="inlineStr">
        <is>
          <t>3인 이상, 이사 총원의 과반수를 차지, 전체 이사 중 60% 이상 ~ 70% 미만인 경우</t>
        </is>
      </c>
    </row>
    <row r="29">
      <c r="A29" s="6" t="inlineStr">
        <is>
          <t>G-1-2</t>
        </is>
      </c>
      <c r="B29" s="6" t="inlineStr">
        <is>
          <t>사외이사 비율</t>
        </is>
      </c>
      <c r="C29" s="5" t="n">
        <v>4</v>
      </c>
      <c r="D29" s="6" t="inlineStr">
        <is>
          <t>4단계</t>
        </is>
      </c>
      <c r="E29" s="5" t="n">
        <v>75</v>
      </c>
      <c r="F29" s="7" t="inlineStr">
        <is>
          <t>3인 이상, 이사 총원의 과반수를 차지, 전체 이사 중 70% 이상 ~ 80% 미만인 경우</t>
        </is>
      </c>
    </row>
    <row r="30">
      <c r="A30" s="6" t="inlineStr">
        <is>
          <t>G-1-2</t>
        </is>
      </c>
      <c r="B30" s="6" t="inlineStr">
        <is>
          <t>사외이사 비율</t>
        </is>
      </c>
      <c r="C30" s="5" t="n">
        <v>5</v>
      </c>
      <c r="D30" s="6" t="inlineStr">
        <is>
          <t>5단계</t>
        </is>
      </c>
      <c r="E30" s="5" t="n">
        <v>100</v>
      </c>
      <c r="F30" s="7" t="inlineStr">
        <is>
          <t>3인 이상, 이사 총원의 과반수를 차지, 전체 이사 중 80% 이상인 경우</t>
        </is>
      </c>
    </row>
    <row r="31">
      <c r="A31" s="6" t="inlineStr">
        <is>
          <t>G-1-3</t>
        </is>
      </c>
      <c r="B31" s="6" t="inlineStr">
        <is>
          <t>대표이사와 이사회 의장 분리</t>
        </is>
      </c>
      <c r="C31" s="5" t="n">
        <v>1</v>
      </c>
      <c r="D31" s="6" t="inlineStr">
        <is>
          <t>1단계</t>
        </is>
      </c>
      <c r="E31" s="5" t="n">
        <v>0</v>
      </c>
      <c r="F31" s="7" t="inlineStr">
        <is>
          <t>현재 대표이사와 이사회 의장이 동일한 경우</t>
        </is>
      </c>
    </row>
    <row r="32">
      <c r="A32" s="6" t="inlineStr">
        <is>
          <t>G-1-3</t>
        </is>
      </c>
      <c r="B32" s="6" t="inlineStr">
        <is>
          <t>대표이사와 이사회 의장 분리</t>
        </is>
      </c>
      <c r="C32" s="5" t="n">
        <v>2</v>
      </c>
      <c r="D32" s="6" t="inlineStr">
        <is>
          <t>2단계</t>
        </is>
      </c>
      <c r="E32" s="5" t="n">
        <v>25</v>
      </c>
      <c r="F32" s="7" t="inlineStr">
        <is>
          <t>과거 대표이사 또는 이사회 의장을 역임했던 자가 현재 이사회 의장인 경우</t>
        </is>
      </c>
    </row>
    <row r="33">
      <c r="A33" s="6" t="inlineStr">
        <is>
          <t>G-1-3</t>
        </is>
      </c>
      <c r="B33" s="6" t="inlineStr">
        <is>
          <t>대표이사와 이사회 의장 분리</t>
        </is>
      </c>
      <c r="C33" s="5" t="n">
        <v>3</v>
      </c>
      <c r="D33" s="6" t="inlineStr">
        <is>
          <t>3단계</t>
        </is>
      </c>
      <c r="E33" s="5" t="n">
        <v>50</v>
      </c>
      <c r="F33" s="7" t="inlineStr">
        <is>
          <t>현재 이사회 의장이 과거 또는 현재의 대표이사나 이사회 의장을 역임하지 않았으나, 모회사 또는 자회사의 임원 등 독립성이 결여된 자가 이사회 의장인 경우</t>
        </is>
      </c>
    </row>
    <row r="34">
      <c r="A34" s="6" t="inlineStr">
        <is>
          <t>G-1-3</t>
        </is>
      </c>
      <c r="B34" s="6" t="inlineStr">
        <is>
          <t>대표이사와 이사회 의장 분리</t>
        </is>
      </c>
      <c r="C34" s="5" t="n">
        <v>4</v>
      </c>
      <c r="D34" s="6" t="inlineStr">
        <is>
          <t>4단계</t>
        </is>
      </c>
      <c r="E34" s="5" t="n">
        <v>75</v>
      </c>
      <c r="F34" s="7" t="inlineStr">
        <is>
          <t>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t>
        </is>
      </c>
    </row>
    <row r="35">
      <c r="A35" s="6" t="inlineStr">
        <is>
          <t>G-1-3</t>
        </is>
      </c>
      <c r="B35" s="6" t="inlineStr">
        <is>
          <t>대표이사와 이사회 의장 분리</t>
        </is>
      </c>
      <c r="C35" s="5" t="n">
        <v>5</v>
      </c>
      <c r="D35" s="6" t="inlineStr">
        <is>
          <t>5단계</t>
        </is>
      </c>
      <c r="E35" s="5" t="n">
        <v>100</v>
      </c>
      <c r="F35" s="7" t="inlineStr">
        <is>
          <t>과거 또는 현재 대표이사이거나, 이사회 의장을 역임한 적이 없으며, 회사로부터 독립성이 확보된 이사가 현재 이사회의 의장인 경우</t>
        </is>
      </c>
    </row>
    <row r="36">
      <c r="A36" s="6" t="inlineStr">
        <is>
          <t>G-1-4</t>
        </is>
      </c>
      <c r="B36" s="6" t="inlineStr">
        <is>
          <t>이사회 성별 다양성</t>
        </is>
      </c>
      <c r="C36" s="5" t="n">
        <v>1</v>
      </c>
      <c r="D36" s="6" t="inlineStr">
        <is>
          <t>1단계</t>
        </is>
      </c>
      <c r="E36" s="5" t="n">
        <v>0</v>
      </c>
      <c r="F36" s="7" t="inlineStr">
        <is>
          <t>이사회 내 여성 이사가 선임되어 있지 않는 경우</t>
        </is>
      </c>
    </row>
    <row r="37">
      <c r="A37" s="6" t="inlineStr">
        <is>
          <t>G-1-4</t>
        </is>
      </c>
      <c r="B37" s="6" t="inlineStr">
        <is>
          <t>이사회 성별 다양성</t>
        </is>
      </c>
      <c r="C37" s="5" t="n">
        <v>2</v>
      </c>
      <c r="D37" s="6" t="inlineStr">
        <is>
          <t>2단계</t>
        </is>
      </c>
      <c r="E37" s="5" t="n">
        <v>25</v>
      </c>
      <c r="F37" s="7" t="inlineStr">
        <is>
          <t>이사회 내 여성 이사가 1명만 선임되어 있는 경우</t>
        </is>
      </c>
    </row>
    <row r="38">
      <c r="A38" s="6" t="inlineStr">
        <is>
          <t>G-1-4</t>
        </is>
      </c>
      <c r="B38" s="6" t="inlineStr">
        <is>
          <t>이사회 성별 다양성</t>
        </is>
      </c>
      <c r="C38" s="5" t="n">
        <v>3</v>
      </c>
      <c r="D38" s="6" t="inlineStr">
        <is>
          <t>3단계</t>
        </is>
      </c>
      <c r="E38" s="5" t="n">
        <v>50</v>
      </c>
      <c r="F38" s="7" t="inlineStr">
        <is>
          <t>이사회 내 여성 이사가 2명 이상이며, 그 비율이 10% 이상 ~ 20% 미만인 경우</t>
        </is>
      </c>
    </row>
    <row r="39">
      <c r="A39" s="6" t="inlineStr">
        <is>
          <t>G-1-4</t>
        </is>
      </c>
      <c r="B39" s="6" t="inlineStr">
        <is>
          <t>이사회 성별 다양성</t>
        </is>
      </c>
      <c r="C39" s="5" t="n">
        <v>4</v>
      </c>
      <c r="D39" s="6" t="inlineStr">
        <is>
          <t>4단계</t>
        </is>
      </c>
      <c r="E39" s="5" t="n">
        <v>75</v>
      </c>
      <c r="F39" s="7" t="inlineStr">
        <is>
          <t>이사회 내 여성 이사가 2명 이상이며, 그 비율이 20% 이상 ~ 30% 미만인 경우</t>
        </is>
      </c>
    </row>
    <row r="40">
      <c r="A40" s="6" t="inlineStr">
        <is>
          <t>G-1-4</t>
        </is>
      </c>
      <c r="B40" s="6" t="inlineStr">
        <is>
          <t>이사회 성별 다양성</t>
        </is>
      </c>
      <c r="C40" s="5" t="n">
        <v>5</v>
      </c>
      <c r="D40" s="6" t="inlineStr">
        <is>
          <t>5단계</t>
        </is>
      </c>
      <c r="E40" s="5" t="n">
        <v>100</v>
      </c>
      <c r="F40" s="7" t="inlineStr">
        <is>
          <t>이사회 내 여성 이사가 2명 이상이며, 그 비율이 30% 이상인 경우 * 이사회 내 다수 성(性)이 여성일 경우에는 반대로 적용</t>
        </is>
      </c>
    </row>
    <row r="41">
      <c r="A41" s="6" t="inlineStr">
        <is>
          <t>G-1-5</t>
        </is>
      </c>
      <c r="B41" s="6" t="inlineStr">
        <is>
          <t>사외이사 전문성</t>
        </is>
      </c>
      <c r="C41" s="5" t="n">
        <v>1</v>
      </c>
      <c r="D41" s="6" t="inlineStr">
        <is>
          <t>1단계</t>
        </is>
      </c>
      <c r="E41" s="5" t="n">
        <v>0</v>
      </c>
      <c r="F41" s="7" t="inlineStr">
        <is>
          <t>동종산업 경력을 보유한 사외이사가 없는 경우</t>
        </is>
      </c>
    </row>
    <row r="42">
      <c r="A42" s="6" t="inlineStr">
        <is>
          <t>G-1-5</t>
        </is>
      </c>
      <c r="B42" s="6" t="inlineStr">
        <is>
          <t>사외이사 전문성</t>
        </is>
      </c>
      <c r="C42" s="5" t="n">
        <v>2</v>
      </c>
      <c r="D42" s="6" t="inlineStr">
        <is>
          <t>2단계</t>
        </is>
      </c>
      <c r="E42" s="5" t="n">
        <v>50</v>
      </c>
      <c r="F42" s="7" t="inlineStr">
        <is>
          <t>동종산업 경력을 보유한 사외이사가 1명 이상인 경우</t>
        </is>
      </c>
    </row>
    <row r="43">
      <c r="A43" s="6" t="inlineStr">
        <is>
          <t>G-1-5</t>
        </is>
      </c>
      <c r="B43" s="6" t="inlineStr">
        <is>
          <t>사외이사 전문성</t>
        </is>
      </c>
      <c r="C43" s="5" t="n">
        <v>3</v>
      </c>
      <c r="D43" s="6" t="inlineStr">
        <is>
          <t>3단계</t>
        </is>
      </c>
      <c r="E43" s="5" t="n">
        <v>100</v>
      </c>
      <c r="F43" s="7" t="inlineStr">
        <is>
          <t>동종산업 경력을 보유한 사외이사가 50% 이상인 경우</t>
        </is>
      </c>
    </row>
    <row r="44">
      <c r="A44" s="6" t="inlineStr">
        <is>
          <t>G-2-1</t>
        </is>
      </c>
      <c r="B44" s="6" t="inlineStr">
        <is>
          <t>전체 이사 출석률</t>
        </is>
      </c>
      <c r="C44" s="5" t="n">
        <v>1</v>
      </c>
      <c r="D44" s="6" t="inlineStr">
        <is>
          <t>1단계</t>
        </is>
      </c>
      <c r="E44" s="5" t="n">
        <v>0</v>
      </c>
      <c r="F44" s="7" t="inlineStr">
        <is>
          <t>이사회 구성원 평균 출석률이 75% 미만인 경우</t>
        </is>
      </c>
    </row>
    <row r="45">
      <c r="A45" s="6" t="inlineStr">
        <is>
          <t>G-2-1</t>
        </is>
      </c>
      <c r="B45" s="6" t="inlineStr">
        <is>
          <t>전체 이사 출석률</t>
        </is>
      </c>
      <c r="C45" s="5" t="n">
        <v>2</v>
      </c>
      <c r="D45" s="6" t="inlineStr">
        <is>
          <t>2단계</t>
        </is>
      </c>
      <c r="E45" s="5" t="n">
        <v>25</v>
      </c>
      <c r="F45" s="7" t="inlineStr">
        <is>
          <t>이사회 구성원 평균 출석률이 75% 이상 85% 미만인 경우</t>
        </is>
      </c>
    </row>
    <row r="46">
      <c r="A46" s="6" t="inlineStr">
        <is>
          <t>G-2-1</t>
        </is>
      </c>
      <c r="B46" s="6" t="inlineStr">
        <is>
          <t>전체 이사 출석률</t>
        </is>
      </c>
      <c r="C46" s="5" t="n">
        <v>3</v>
      </c>
      <c r="D46" s="6" t="inlineStr">
        <is>
          <t>3단계</t>
        </is>
      </c>
      <c r="E46" s="5" t="n">
        <v>50</v>
      </c>
      <c r="F46" s="7" t="inlineStr">
        <is>
          <t>이사회 구성원 평균 출석률이 85% 이상 90% 미만인 경우</t>
        </is>
      </c>
    </row>
    <row r="47">
      <c r="A47" s="6" t="inlineStr">
        <is>
          <t>G-2-1</t>
        </is>
      </c>
      <c r="B47" s="6" t="inlineStr">
        <is>
          <t>전체 이사 출석률</t>
        </is>
      </c>
      <c r="C47" s="5" t="n">
        <v>4</v>
      </c>
      <c r="D47" s="6" t="inlineStr">
        <is>
          <t>4단계</t>
        </is>
      </c>
      <c r="E47" s="5" t="n">
        <v>75</v>
      </c>
      <c r="F47" s="7" t="inlineStr">
        <is>
          <t>이사회 구성원 평균 출석률이 90% 이상 95% 미만인 경우</t>
        </is>
      </c>
    </row>
    <row r="48">
      <c r="A48" s="6" t="inlineStr">
        <is>
          <t>G-2-1</t>
        </is>
      </c>
      <c r="B48" s="6" t="inlineStr">
        <is>
          <t>전체 이사 출석률</t>
        </is>
      </c>
      <c r="C48" s="5" t="n">
        <v>5</v>
      </c>
      <c r="D48" s="6" t="inlineStr">
        <is>
          <t>5단계</t>
        </is>
      </c>
      <c r="E48" s="5" t="n">
        <v>100</v>
      </c>
      <c r="F48" s="7" t="inlineStr">
        <is>
          <t>이사회 구성원 평균 출석률이 95% 이상인 경우</t>
        </is>
      </c>
    </row>
    <row r="49">
      <c r="A49" s="6" t="inlineStr">
        <is>
          <t>G-2-2</t>
        </is>
      </c>
      <c r="B49" s="6" t="inlineStr">
        <is>
          <t>사내이사 출석률</t>
        </is>
      </c>
      <c r="C49" s="5" t="n">
        <v>1</v>
      </c>
      <c r="D49" s="6" t="inlineStr">
        <is>
          <t>1단계</t>
        </is>
      </c>
      <c r="E49" s="5" t="n">
        <v>0</v>
      </c>
      <c r="F49" s="7" t="inlineStr">
        <is>
          <t>사내이사 평균 출석률이 75% 미만인 경우</t>
        </is>
      </c>
    </row>
    <row r="50">
      <c r="A50" s="6" t="inlineStr">
        <is>
          <t>G-2-2</t>
        </is>
      </c>
      <c r="B50" s="6" t="inlineStr">
        <is>
          <t>사내이사 출석률</t>
        </is>
      </c>
      <c r="C50" s="5" t="n">
        <v>2</v>
      </c>
      <c r="D50" s="6" t="inlineStr">
        <is>
          <t>2단계</t>
        </is>
      </c>
      <c r="E50" s="5" t="n">
        <v>25</v>
      </c>
      <c r="F50" s="7" t="inlineStr">
        <is>
          <t>사내이사 평균 출석률이 75% 이상 85% 미만인 경우</t>
        </is>
      </c>
    </row>
    <row r="51">
      <c r="A51" s="6" t="inlineStr">
        <is>
          <t>G-2-2</t>
        </is>
      </c>
      <c r="B51" s="6" t="inlineStr">
        <is>
          <t>사내이사 출석률</t>
        </is>
      </c>
      <c r="C51" s="5" t="n">
        <v>3</v>
      </c>
      <c r="D51" s="6" t="inlineStr">
        <is>
          <t>3단계</t>
        </is>
      </c>
      <c r="E51" s="5" t="n">
        <v>50</v>
      </c>
      <c r="F51" s="7" t="inlineStr">
        <is>
          <t>사내이사 평균 출석률이 85% 이상 90% 미만인 경우</t>
        </is>
      </c>
    </row>
    <row r="52">
      <c r="A52" s="6" t="inlineStr">
        <is>
          <t>G-2-2</t>
        </is>
      </c>
      <c r="B52" s="6" t="inlineStr">
        <is>
          <t>사내이사 출석률</t>
        </is>
      </c>
      <c r="C52" s="5" t="n">
        <v>4</v>
      </c>
      <c r="D52" s="6" t="inlineStr">
        <is>
          <t>4단계</t>
        </is>
      </c>
      <c r="E52" s="5" t="n">
        <v>75</v>
      </c>
      <c r="F52" s="7" t="inlineStr">
        <is>
          <t>사내이사 평균 출석률이 90% 이상 95% 미만인 경우</t>
        </is>
      </c>
    </row>
    <row r="53">
      <c r="A53" s="6" t="inlineStr">
        <is>
          <t>G-2-2</t>
        </is>
      </c>
      <c r="B53" s="6" t="inlineStr">
        <is>
          <t>사내이사 출석률</t>
        </is>
      </c>
      <c r="C53" s="5" t="n">
        <v>5</v>
      </c>
      <c r="D53" s="6" t="inlineStr">
        <is>
          <t>5단계</t>
        </is>
      </c>
      <c r="E53" s="5" t="n">
        <v>100</v>
      </c>
      <c r="F53" s="7" t="inlineStr">
        <is>
          <t>사내이사 평균 출석률이 95% 이상인 경우</t>
        </is>
      </c>
    </row>
    <row r="54">
      <c r="A54" s="6" t="inlineStr">
        <is>
          <t>G-2-3</t>
        </is>
      </c>
      <c r="B54" s="6" t="inlineStr">
        <is>
          <t>이사회 산하 위원회</t>
        </is>
      </c>
      <c r="C54" s="5" t="n">
        <v>1</v>
      </c>
      <c r="D54" s="6" t="inlineStr">
        <is>
          <t>요건1</t>
        </is>
      </c>
      <c r="E54" s="5" t="n">
        <v>0</v>
      </c>
      <c r="F54" s="7" t="inlineStr">
        <is>
          <t>이사회 산하 모든 위원회 설치는 정관에 근거하고 있으며, 모든 위원회에 대해 ‘운영규정’을 제정하고 있는 경우</t>
        </is>
      </c>
    </row>
    <row r="55">
      <c r="A55" s="6" t="inlineStr">
        <is>
          <t>G-2-3</t>
        </is>
      </c>
      <c r="B55" s="6" t="inlineStr">
        <is>
          <t>이사회 산하 위원회</t>
        </is>
      </c>
      <c r="C55" s="5" t="n">
        <v>2</v>
      </c>
      <c r="D55" s="6" t="inlineStr">
        <is>
          <t>요건2</t>
        </is>
      </c>
      <c r="E55" s="5" t="n">
        <v>25</v>
      </c>
      <c r="F55" s="7" t="inlineStr">
        <is>
          <t>특정 이사(사내이사, 사외이사, 기타비상임이사)가 이사회 산하 모든 위원회의 구성원으로 선임되어 있지 않은 경우</t>
        </is>
      </c>
    </row>
    <row r="56">
      <c r="A56" s="6" t="inlineStr">
        <is>
          <t>G-2-3</t>
        </is>
      </c>
      <c r="B56" s="6" t="inlineStr">
        <is>
          <t>이사회 산하 위원회</t>
        </is>
      </c>
      <c r="C56" s="5" t="n">
        <v>3</v>
      </c>
      <c r="D56" s="6" t="inlineStr">
        <is>
          <t>요건3</t>
        </is>
      </c>
      <c r="E56" s="5" t="n">
        <v>50</v>
      </c>
      <c r="F56" s="7" t="inlineStr">
        <is>
          <t>이사회 산하 모든 위원회가 구성원의 과반수 이상을 사외이사로 선임하고 있는 경우</t>
        </is>
      </c>
    </row>
    <row r="57">
      <c r="A57" s="6" t="inlineStr">
        <is>
          <t>G-2-3</t>
        </is>
      </c>
      <c r="B57" s="6" t="inlineStr">
        <is>
          <t>이사회 산하 위원회</t>
        </is>
      </c>
      <c r="C57" s="5" t="n">
        <v>4</v>
      </c>
      <c r="D57" s="6" t="inlineStr">
        <is>
          <t>요건4</t>
        </is>
      </c>
      <c r="E57" s="5" t="n">
        <v>75</v>
      </c>
      <c r="F57" s="7" t="inlineStr">
        <is>
          <t>직전 회계연도 중 이사회 산하 위원회 개최 횟수가 평균적으로 3회 이상인 경우</t>
        </is>
      </c>
    </row>
    <row r="58">
      <c r="A58" s="6" t="inlineStr">
        <is>
          <t>G-2-3</t>
        </is>
      </c>
      <c r="B58" s="6" t="inlineStr">
        <is>
          <t>이사회 산하 위원회</t>
        </is>
      </c>
      <c r="C58" s="5" t="n">
        <v>5</v>
      </c>
      <c r="D58" s="6" t="inlineStr">
        <is>
          <t>요건5</t>
        </is>
      </c>
      <c r="E58" s="5" t="n">
        <v>100</v>
      </c>
      <c r="F58" s="7" t="inlineStr">
        <is>
          <t>직전 회계연도 중 이사회 산하 모든 위원회가 심의/의결 안건을 다룬 경우</t>
        </is>
      </c>
    </row>
    <row r="59">
      <c r="A59" s="6" t="inlineStr">
        <is>
          <t>G-2-4</t>
        </is>
      </c>
      <c r="B59" s="6" t="inlineStr">
        <is>
          <t>이사회 안건 처리</t>
        </is>
      </c>
      <c r="C59" s="5" t="n">
        <v>1</v>
      </c>
      <c r="D59" s="6" t="inlineStr">
        <is>
          <t>1단계</t>
        </is>
      </c>
      <c r="E59" s="5" t="n">
        <v>0</v>
      </c>
      <c r="F59" s="7" t="inlineStr">
        <is>
          <t>안건에 대한 수정, 보완, 반대하는 의견이 한 건도 없는 경우</t>
        </is>
      </c>
    </row>
    <row r="60">
      <c r="A60" s="6" t="inlineStr">
        <is>
          <t>G-2-4</t>
        </is>
      </c>
      <c r="B60" s="6" t="inlineStr">
        <is>
          <t>이사회 안건 처리</t>
        </is>
      </c>
      <c r="C60" s="5" t="n">
        <v>2</v>
      </c>
      <c r="D60" s="6" t="inlineStr">
        <is>
          <t>2단계</t>
        </is>
      </c>
      <c r="E60" s="5" t="n">
        <v>50</v>
      </c>
      <c r="F60" s="7" t="inlineStr">
        <is>
          <t>안건에 대한 수정, 보완, 반대하는 의견이 한 건 이상 존재하는 경우</t>
        </is>
      </c>
    </row>
    <row r="61">
      <c r="A61" s="6" t="inlineStr">
        <is>
          <t>G-2-4</t>
        </is>
      </c>
      <c r="B61" s="6" t="inlineStr">
        <is>
          <t>이사회 안건 처리</t>
        </is>
      </c>
      <c r="C61" s="5" t="n">
        <v>3</v>
      </c>
      <c r="D61" s="6" t="inlineStr">
        <is>
          <t>3단계</t>
        </is>
      </c>
      <c r="E61" s="5" t="n">
        <v>100</v>
      </c>
      <c r="F61" s="7" t="inlineStr">
        <is>
          <t>안건에 대한 수정, 보완, 반대하는 의견이 5% 이상 존재하는 경우</t>
        </is>
      </c>
    </row>
    <row r="62">
      <c r="A62" s="6" t="inlineStr">
        <is>
          <t>G-3-1</t>
        </is>
      </c>
      <c r="B62" s="6" t="inlineStr">
        <is>
          <t>주주총회 소집 공고</t>
        </is>
      </c>
      <c r="C62" s="5" t="n">
        <v>1</v>
      </c>
      <c r="D62" s="6" t="inlineStr">
        <is>
          <t>1단계</t>
        </is>
      </c>
      <c r="E62" s="5" t="n">
        <v>0</v>
      </c>
      <c r="F62" s="7" t="inlineStr">
        <is>
          <t>주주총회 소집 공고를 서면으로만 통지하거나, 주주의 동의를 받아 전자문서로만 하는 경우</t>
        </is>
      </c>
    </row>
    <row r="63">
      <c r="A63" s="6" t="inlineStr">
        <is>
          <t>G-3-1</t>
        </is>
      </c>
      <c r="B63" s="6" t="inlineStr">
        <is>
          <t>주주총회 소집 공고</t>
        </is>
      </c>
      <c r="C63" s="5" t="n">
        <v>2</v>
      </c>
      <c r="D63" s="6" t="inlineStr">
        <is>
          <t>2단계</t>
        </is>
      </c>
      <c r="E63" s="5" t="n">
        <v>25</v>
      </c>
      <c r="F63" s="7" t="inlineStr">
        <is>
          <t>서면 또는 전자문서로 통지하는 방식 外 1개의 추가 방식을 이용하는 경우</t>
        </is>
      </c>
    </row>
    <row r="64">
      <c r="A64" s="6" t="inlineStr">
        <is>
          <t>G-3-1</t>
        </is>
      </c>
      <c r="B64" s="6" t="inlineStr">
        <is>
          <t>주주총회 소집 공고</t>
        </is>
      </c>
      <c r="C64" s="5" t="n">
        <v>3</v>
      </c>
      <c r="D64" s="6" t="inlineStr">
        <is>
          <t>3단계</t>
        </is>
      </c>
      <c r="E64" s="5" t="n">
        <v>50</v>
      </c>
      <c r="F64" s="7" t="inlineStr">
        <is>
          <t>서면 또는 전자문서로 통지하는 방식 外 2개의 추가 방식을 이용하는 경우</t>
        </is>
      </c>
    </row>
    <row r="65">
      <c r="A65" s="6" t="inlineStr">
        <is>
          <t>G-3-1</t>
        </is>
      </c>
      <c r="B65" s="6" t="inlineStr">
        <is>
          <t>주주총회 소집 공고</t>
        </is>
      </c>
      <c r="C65" s="5" t="n">
        <v>4</v>
      </c>
      <c r="D65" s="6" t="inlineStr">
        <is>
          <t>4단계</t>
        </is>
      </c>
      <c r="E65" s="5" t="n">
        <v>75</v>
      </c>
      <c r="F65" s="7" t="inlineStr">
        <is>
          <t>서면 또는 전자문서로 통지하는 방식 外 3개의 추가 방식을 이용하는 경우</t>
        </is>
      </c>
    </row>
    <row r="66">
      <c r="A66" s="6" t="inlineStr">
        <is>
          <t>G-3-1</t>
        </is>
      </c>
      <c r="B66" s="6" t="inlineStr">
        <is>
          <t>주주총회 소집 공고</t>
        </is>
      </c>
      <c r="C66" s="5" t="n">
        <v>5</v>
      </c>
      <c r="D66" s="6" t="inlineStr">
        <is>
          <t>5단계</t>
        </is>
      </c>
      <c r="E66" s="5" t="n">
        <v>100</v>
      </c>
      <c r="F66" s="7" t="inlineStr">
        <is>
          <t>서면 또는 전자문서로 통지하는 방식 外 4개 이상의 추가 방식을 이용하는 경우</t>
        </is>
      </c>
    </row>
    <row r="67">
      <c r="A67" s="6" t="inlineStr">
        <is>
          <t>G-3-2</t>
        </is>
      </c>
      <c r="B67" s="6" t="inlineStr">
        <is>
          <t>주주총회 집중일 이외 개최</t>
        </is>
      </c>
      <c r="C67" s="5" t="n">
        <v>1</v>
      </c>
      <c r="D67" s="6" t="inlineStr">
        <is>
          <t>요건1</t>
        </is>
      </c>
      <c r="E67" s="5" t="n">
        <v>0</v>
      </c>
      <c r="F67" s="7" t="inlineStr">
        <is>
          <t>주주총회 개최일을 지정하는데 있어, 재무결산 및 감사보고서 발행일을 고려함</t>
        </is>
      </c>
    </row>
    <row r="68">
      <c r="A68" s="6" t="inlineStr">
        <is>
          <t>G-3-2</t>
        </is>
      </c>
      <c r="B68" s="6" t="inlineStr">
        <is>
          <t>주주총회 집중일 이외 개최</t>
        </is>
      </c>
      <c r="C68" s="5" t="n">
        <v>2</v>
      </c>
      <c r="D68" s="6" t="inlineStr">
        <is>
          <t>요건2</t>
        </is>
      </c>
      <c r="E68" s="5" t="n">
        <v>25</v>
      </c>
      <c r="F68" s="7" t="inlineStr">
        <is>
          <t>주주총회 개최일을 지정하는데 있어, 조직의 연간 업무계획 및 경영진 등의 업무일정을 고려함</t>
        </is>
      </c>
    </row>
    <row r="69">
      <c r="A69" s="6" t="inlineStr">
        <is>
          <t>G-3-2</t>
        </is>
      </c>
      <c r="B69" s="6" t="inlineStr">
        <is>
          <t>주주총회 집중일 이외 개최</t>
        </is>
      </c>
      <c r="C69" s="5" t="n">
        <v>3</v>
      </c>
      <c r="D69" s="6" t="inlineStr">
        <is>
          <t>요건3</t>
        </is>
      </c>
      <c r="E69" s="5" t="n">
        <v>50</v>
      </c>
      <c r="F69" s="7" t="inlineStr">
        <is>
          <t>주주총회 개최일을 지정하는데 있어, 연기금, 기관투자자, 의결권자문사 등의 주요 시장 참여자 의견을 수렴함</t>
        </is>
      </c>
    </row>
    <row r="70">
      <c r="A70" s="6" t="inlineStr">
        <is>
          <t>G-3-2</t>
        </is>
      </c>
      <c r="B70" s="6" t="inlineStr">
        <is>
          <t>주주총회 집중일 이외 개최</t>
        </is>
      </c>
      <c r="C70" s="5" t="n">
        <v>4</v>
      </c>
      <c r="D70" s="6" t="inlineStr">
        <is>
          <t>요건4</t>
        </is>
      </c>
      <c r="E70" s="5" t="n">
        <v>75</v>
      </c>
      <c r="F70" s="7" t="inlineStr">
        <is>
          <t>주주총회 개최일을 지정하는데 있어, 소액주주 및 기타 이해관계자 등의 의견을 수렴함</t>
        </is>
      </c>
    </row>
    <row r="71">
      <c r="A71" s="6" t="inlineStr">
        <is>
          <t>G-3-2</t>
        </is>
      </c>
      <c r="B71" s="6" t="inlineStr">
        <is>
          <t>주주총회 집중일 이외 개최</t>
        </is>
      </c>
      <c r="C71" s="5" t="n">
        <v>5</v>
      </c>
      <c r="D71" s="6" t="inlineStr">
        <is>
          <t>요건5</t>
        </is>
      </c>
      <c r="E71" s="5" t="n">
        <v>100</v>
      </c>
      <c r="F71" s="7" t="inlineStr">
        <is>
          <t>주주총회 개최일을 지정하는데 있어, 주주총회 예상 집중일을 고려함</t>
        </is>
      </c>
    </row>
    <row r="72">
      <c r="A72" s="6" t="inlineStr">
        <is>
          <t>G-3-4</t>
        </is>
      </c>
      <c r="B72" s="6" t="inlineStr">
        <is>
          <t>배당정책 및 이행</t>
        </is>
      </c>
      <c r="C72" s="5" t="n">
        <v>1</v>
      </c>
      <c r="D72" s="6" t="inlineStr">
        <is>
          <t>1단계</t>
        </is>
      </c>
      <c r="E72" s="5" t="n">
        <v>0</v>
      </c>
      <c r="F72" s="7" t="inlineStr">
        <is>
          <t>주주에게 배당정책 및 배당계획을 통지하지 아니한 경우</t>
        </is>
      </c>
    </row>
    <row r="73">
      <c r="A73" s="6" t="inlineStr">
        <is>
          <t>G-3-4</t>
        </is>
      </c>
      <c r="B73" s="6" t="inlineStr">
        <is>
          <t>배당정책 및 이행</t>
        </is>
      </c>
      <c r="C73" s="5" t="n">
        <v>2</v>
      </c>
      <c r="D73" s="6" t="inlineStr">
        <is>
          <t>2단계</t>
        </is>
      </c>
      <c r="E73" s="5" t="n">
        <v>50</v>
      </c>
      <c r="F73" s="7" t="inlineStr">
        <is>
          <t>주주에게 배당정책 및 배당계획을 연 1회 이상 통지한 경우</t>
        </is>
      </c>
    </row>
    <row r="74">
      <c r="A74" s="6" t="inlineStr">
        <is>
          <t>G-3-4</t>
        </is>
      </c>
      <c r="B74" s="6" t="inlineStr">
        <is>
          <t>배당정책 및 이행</t>
        </is>
      </c>
      <c r="C74" s="5" t="n">
        <v>3</v>
      </c>
      <c r="D74" s="6" t="inlineStr">
        <is>
          <t>3단계</t>
        </is>
      </c>
      <c r="E74" s="5" t="n">
        <v>100</v>
      </c>
      <c r="F74" s="7" t="inlineStr">
        <is>
          <t>주주에게 배당정책 및 배당계획을 연 1회 인상 통지하였으며, 배당정책 및 배당계획대로 배당을 집행한 경우</t>
        </is>
      </c>
    </row>
    <row r="75">
      <c r="A75" s="6" t="inlineStr">
        <is>
          <t>G-4-1</t>
        </is>
      </c>
      <c r="B75" s="6" t="inlineStr">
        <is>
          <t>윤리규범 위반사항 공시</t>
        </is>
      </c>
      <c r="C75" s="5" t="n">
        <v>1</v>
      </c>
      <c r="D75" s="6" t="inlineStr">
        <is>
          <t>요건1</t>
        </is>
      </c>
      <c r="E75" s="5" t="n">
        <v>0</v>
      </c>
      <c r="F75" s="7" t="inlineStr">
        <is>
          <t>윤리규범 위반 건수를 공시하고 있는 경우</t>
        </is>
      </c>
    </row>
    <row r="76">
      <c r="A76" s="6" t="inlineStr">
        <is>
          <t>G-4-1</t>
        </is>
      </c>
      <c r="B76" s="6" t="inlineStr">
        <is>
          <t>윤리규범 위반사항 공시</t>
        </is>
      </c>
      <c r="C76" s="5" t="n">
        <v>2</v>
      </c>
      <c r="D76" s="6" t="inlineStr">
        <is>
          <t>요건2</t>
        </is>
      </c>
      <c r="E76" s="5" t="n">
        <v>25</v>
      </c>
      <c r="F76" s="7" t="inlineStr">
        <is>
          <t>윤리규범 위반한 구성원 수를 공시하고 있는 경우</t>
        </is>
      </c>
    </row>
    <row r="77">
      <c r="A77" s="6" t="inlineStr">
        <is>
          <t>G-4-1</t>
        </is>
      </c>
      <c r="B77" s="6" t="inlineStr">
        <is>
          <t>윤리규범 위반사항 공시</t>
        </is>
      </c>
      <c r="C77" s="5" t="n">
        <v>3</v>
      </c>
      <c r="D77" s="6" t="inlineStr">
        <is>
          <t>요건3</t>
        </is>
      </c>
      <c r="E77" s="5" t="n">
        <v>50</v>
      </c>
      <c r="F77" s="7" t="inlineStr">
        <is>
          <t>윤리규범 위반 건과 관련한 처벌내역(사법상, 행정상)을 공시하고 있는 경우</t>
        </is>
      </c>
    </row>
    <row r="78">
      <c r="A78" s="6" t="inlineStr">
        <is>
          <t>G-4-1</t>
        </is>
      </c>
      <c r="B78" s="6" t="inlineStr">
        <is>
          <t>윤리규범 위반사항 공시</t>
        </is>
      </c>
      <c r="C78" s="5" t="n">
        <v>4</v>
      </c>
      <c r="D78" s="6" t="inlineStr">
        <is>
          <t>요건4</t>
        </is>
      </c>
      <c r="E78" s="5" t="n">
        <v>75</v>
      </c>
      <c r="F78" s="7" t="inlineStr">
        <is>
          <t>윤리규범 위반 건과 관련된 구성원 처분내역(인사상)을 공시하고 있는 경우</t>
        </is>
      </c>
    </row>
    <row r="79">
      <c r="A79" s="6" t="inlineStr">
        <is>
          <t>G-4-1</t>
        </is>
      </c>
      <c r="B79" s="6" t="inlineStr">
        <is>
          <t>윤리규범 위반사항 공시</t>
        </is>
      </c>
      <c r="C79" s="5" t="n">
        <v>5</v>
      </c>
      <c r="D79" s="6" t="inlineStr">
        <is>
          <t>요건5</t>
        </is>
      </c>
      <c r="E79" s="5" t="n">
        <v>100</v>
      </c>
      <c r="F79" s="7" t="inlineStr">
        <is>
          <t>윤리규범 위반 사건 재발방지를 위한 개선활동 및 계획을 공시하고 있는 경우 * 선택 항목의 합산값으로 평가</t>
        </is>
      </c>
    </row>
    <row r="80">
      <c r="A80" s="6" t="inlineStr">
        <is>
          <t>G-5-1</t>
        </is>
      </c>
      <c r="B80" s="6" t="inlineStr">
        <is>
          <t>내부감사부서 설치</t>
        </is>
      </c>
      <c r="C80" s="5" t="n">
        <v>1</v>
      </c>
      <c r="D80" s="6" t="inlineStr">
        <is>
          <t>1단계</t>
        </is>
      </c>
      <c r="E80" s="5" t="n">
        <v>0</v>
      </c>
      <c r="F80" s="7" t="inlineStr">
        <is>
          <t>내부감사부서를 두고 있지 않거나, 감사 관련 업무를 수행하는 부서 또는 업무분장을 두고 있지 않은 경우</t>
        </is>
      </c>
    </row>
    <row r="81">
      <c r="A81" s="6" t="inlineStr">
        <is>
          <t>G-5-1</t>
        </is>
      </c>
      <c r="B81" s="6" t="inlineStr">
        <is>
          <t>내부감사부서 설치</t>
        </is>
      </c>
      <c r="C81" s="5" t="n">
        <v>2</v>
      </c>
      <c r="D81" s="6" t="inlineStr">
        <is>
          <t>2단계</t>
        </is>
      </c>
      <c r="E81" s="5" t="n">
        <v>25</v>
      </c>
      <c r="F81" s="7" t="inlineStr">
        <is>
          <t>내부감사부서를 두고 있지 않으나, 감사 관련 업무를 수행하는 기타 부서 및 업무분장이 있는 경우</t>
        </is>
      </c>
    </row>
    <row r="82">
      <c r="A82" s="6" t="inlineStr">
        <is>
          <t>G-5-1</t>
        </is>
      </c>
      <c r="B82" s="6" t="inlineStr">
        <is>
          <t>내부감사부서 설치</t>
        </is>
      </c>
      <c r="C82" s="5" t="n">
        <v>3</v>
      </c>
      <c r="D82" s="6" t="inlineStr">
        <is>
          <t>3단계</t>
        </is>
      </c>
      <c r="E82" s="5" t="n">
        <v>50</v>
      </c>
      <c r="F82" s="7" t="inlineStr">
        <is>
          <t>내부감사부서를 두고 있으나, 내부감사부서의 업무분장 등에 감사위원회 업무지원과 관련한 내용을 명시하지 않은 경우</t>
        </is>
      </c>
    </row>
    <row r="83">
      <c r="A83" s="6" t="inlineStr">
        <is>
          <t>G-5-1</t>
        </is>
      </c>
      <c r="B83" s="6" t="inlineStr">
        <is>
          <t>내부감사부서 설치</t>
        </is>
      </c>
      <c r="C83" s="5" t="n">
        <v>4</v>
      </c>
      <c r="D83" s="6" t="inlineStr">
        <is>
          <t>4단계</t>
        </is>
      </c>
      <c r="E83" s="5" t="n">
        <v>75</v>
      </c>
      <c r="F83" s="7" t="inlineStr">
        <is>
          <t>내부감사부서를 두고 있으며, 내부감사부서의 업무분장 등에 감사위원회 업무지원과 관련한 내용을 명시한 경우</t>
        </is>
      </c>
    </row>
    <row r="84">
      <c r="A84" s="6" t="inlineStr">
        <is>
          <t>G-5-1</t>
        </is>
      </c>
      <c r="B84" s="6" t="inlineStr">
        <is>
          <t>내부감사부서 설치</t>
        </is>
      </c>
      <c r="C84" s="5" t="n">
        <v>5</v>
      </c>
      <c r="D84" s="6" t="inlineStr">
        <is>
          <t>5단계</t>
        </is>
      </c>
      <c r="E84" s="5" t="n">
        <v>100</v>
      </c>
      <c r="F84" s="7" t="inlineStr">
        <is>
          <t>감사위원회 지원 역할만을 수행하는 별도 전담부서 또는 업무분장이 규정되어 있는 경우</t>
        </is>
      </c>
    </row>
    <row r="85">
      <c r="A85" s="6" t="inlineStr">
        <is>
          <t>G-5-2</t>
        </is>
      </c>
      <c r="B85" s="6" t="inlineStr">
        <is>
          <t>감사기구 전문성 (감사기구 내 회계/재무 전문가)</t>
        </is>
      </c>
      <c r="C85" s="5" t="n">
        <v>1</v>
      </c>
      <c r="D85" s="6" t="inlineStr">
        <is>
          <t>1단계</t>
        </is>
      </c>
      <c r="E85" s="5" t="n">
        <v>0</v>
      </c>
      <c r="F85" s="7" t="inlineStr">
        <is>
          <t>감사위원회 내 회계 및 재무 분야 전문성을 보유한 감사위원이 1명 선임되어 있는 경우</t>
        </is>
      </c>
    </row>
    <row r="86">
      <c r="A86" s="6" t="inlineStr">
        <is>
          <t>G-5-2</t>
        </is>
      </c>
      <c r="B86" s="6" t="inlineStr">
        <is>
          <t>감사기구 전문성 (감사기구 내 회계/재무 전문가)</t>
        </is>
      </c>
      <c r="C86" s="5" t="n">
        <v>2</v>
      </c>
      <c r="D86" s="6" t="inlineStr">
        <is>
          <t>2단계</t>
        </is>
      </c>
      <c r="E86" s="5" t="n">
        <v>50</v>
      </c>
      <c r="F86" s="7" t="inlineStr">
        <is>
          <t>감사위원회 내 회계 및 재무 전문가가 1명 이상 선임되어 있으나, 전체 감사위원 중 50% 이하인 경우</t>
        </is>
      </c>
    </row>
    <row r="87">
      <c r="A87" s="6" t="inlineStr">
        <is>
          <t>G-5-2</t>
        </is>
      </c>
      <c r="B87" s="6" t="inlineStr">
        <is>
          <t>감사기구 전문성 (감사기구 내 회계/재무 전문가)</t>
        </is>
      </c>
      <c r="C87" s="5" t="n">
        <v>3</v>
      </c>
      <c r="D87" s="6" t="inlineStr">
        <is>
          <t>3단계</t>
        </is>
      </c>
      <c r="E87" s="5" t="n">
        <v>100</v>
      </c>
      <c r="F87" s="7" t="inlineStr">
        <is>
          <t>감사위원회 내 회계 및 재무 전문가가 1명 이상 선임되어 있으며, 전체 감사위원 중 50% 초과한 경우</t>
        </is>
      </c>
    </row>
    <row r="88">
      <c r="A88" s="6" t="inlineStr">
        <is>
          <t>G-경영진-추가1</t>
        </is>
      </c>
      <c r="B88" s="6" t="inlineStr">
        <is>
          <t>경영진 성과평가 및 보상</t>
        </is>
      </c>
      <c r="C88" s="5" t="n">
        <v>1</v>
      </c>
      <c r="D88" s="6" t="inlineStr">
        <is>
          <t>요건1</t>
        </is>
      </c>
      <c r="E88" s="5" t="n">
        <v>0</v>
      </c>
      <c r="F88" s="7" t="inlineStr">
        <is>
          <t>조직의 재무적 성과와 연계하여 정량적 ‘성과평가 지표’가 설정되어 있는 경우 (매출액, 영업이익, 현금흐름, EBIT, 시가총액, 주주수익률 등)</t>
        </is>
      </c>
    </row>
    <row r="89">
      <c r="A89" s="6" t="inlineStr">
        <is>
          <t>G-경영진-추가1</t>
        </is>
      </c>
      <c r="B89" s="6" t="inlineStr">
        <is>
          <t>경영진 성과평가 및 보상</t>
        </is>
      </c>
      <c r="C89" s="5" t="n">
        <v>2</v>
      </c>
      <c r="D89" s="6" t="inlineStr">
        <is>
          <t>요건2</t>
        </is>
      </c>
      <c r="E89" s="5" t="n">
        <v>25</v>
      </c>
      <c r="F89" s="7" t="inlineStr">
        <is>
          <t>조직의 비재무적 성과와 연계하여 정량적 ‘성과평가 지표’가 설정되어 있는 경우 (온실가스 배출량, 친환경 제품 비율, 산업재해율, 인권 리스크 개선율 등)</t>
        </is>
      </c>
    </row>
    <row r="90">
      <c r="A90" s="6" t="inlineStr">
        <is>
          <t>G-경영진-추가1</t>
        </is>
      </c>
      <c r="B90" s="6" t="inlineStr">
        <is>
          <t>경영진 성과평가 및 보상</t>
        </is>
      </c>
      <c r="C90" s="5" t="n">
        <v>3</v>
      </c>
      <c r="D90" s="6" t="inlineStr">
        <is>
          <t>요건3</t>
        </is>
      </c>
      <c r="E90" s="5" t="n">
        <v>50</v>
      </c>
      <c r="F90" s="7" t="inlineStr">
        <is>
          <t>조직의 재무적/비재무적 성과와 연계하여 3년 이상의 중장기 ‘성과평가 지표’가 설정되어 있는 경우</t>
        </is>
      </c>
    </row>
    <row r="91">
      <c r="A91" s="6" t="inlineStr">
        <is>
          <t>G-경영진-추가1</t>
        </is>
      </c>
      <c r="B91" s="6" t="inlineStr">
        <is>
          <t>경영진 성과평가 및 보상</t>
        </is>
      </c>
      <c r="C91" s="5" t="n">
        <v>4</v>
      </c>
      <c r="D91" s="6" t="inlineStr">
        <is>
          <t>요건4</t>
        </is>
      </c>
      <c r="E91" s="5" t="n">
        <v>75</v>
      </c>
      <c r="F91" s="7" t="inlineStr">
        <is>
          <t>성과평가 결과에 따라 보상(성과급)을 지급하고 있으며, 성과보상 지급을 1년 이상 초과하여 이연지급하고 있는 경우</t>
        </is>
      </c>
    </row>
    <row r="92">
      <c r="A92" s="6" t="inlineStr">
        <is>
          <t>G-경영진-추가1</t>
        </is>
      </c>
      <c r="B92" s="6" t="inlineStr">
        <is>
          <t>경영진 성과평가 및 보상</t>
        </is>
      </c>
      <c r="C92" s="5" t="n">
        <v>5</v>
      </c>
      <c r="D92" s="6" t="inlineStr">
        <is>
          <t>요건5</t>
        </is>
      </c>
      <c r="E92" s="5" t="n">
        <v>100</v>
      </c>
      <c r="F92" s="7" t="inlineStr">
        <is>
          <t>성과평가 종료 후, 지급(예정) 보상을 회수할 수 있는 요건을 두고 있는 경우 (경영진 행위가 불법적이거나, 조직에 심각한 피해를 초래한 사유 등)</t>
        </is>
      </c>
    </row>
    <row r="93">
      <c r="A93" s="6" t="inlineStr">
        <is>
          <t>반도체-E-1</t>
        </is>
      </c>
      <c r="B93" s="6" t="inlineStr">
        <is>
          <t>에너지 효율적 제품</t>
        </is>
      </c>
      <c r="C93" s="5" t="n">
        <v>1</v>
      </c>
      <c r="D93" s="6" t="inlineStr">
        <is>
          <t>1단계</t>
        </is>
      </c>
      <c r="E93" s="5" t="n">
        <v>0</v>
      </c>
      <c r="F93" s="7" t="inlineStr">
        <is>
          <t>지난 4개년간 에너지 효율적 제품의 비중 감소 추세 | 2단계: 지난 4개년간 에너지 효율적 제품의 비중 변동 없음 | 3단계: 지난 4개년간 에너지 효율적 제품의 비중 증가 추세</t>
        </is>
      </c>
    </row>
    <row r="94">
      <c r="A94" s="6" t="inlineStr">
        <is>
          <t>반도체-E-1</t>
        </is>
      </c>
      <c r="B94" s="6" t="inlineStr">
        <is>
          <t>에너지 효율적 제품</t>
        </is>
      </c>
      <c r="C94" s="5" t="n">
        <v>2</v>
      </c>
      <c r="D94" s="6" t="inlineStr">
        <is>
          <t>2단계</t>
        </is>
      </c>
      <c r="E94" s="5" t="n">
        <v>50</v>
      </c>
      <c r="F94" s="7" t="inlineStr">
        <is>
          <t>지난 4개년간 에너지 효율적 제품의 비중 변동 없음</t>
        </is>
      </c>
    </row>
    <row r="95">
      <c r="A95" s="6" t="inlineStr">
        <is>
          <t>반도체-E-1</t>
        </is>
      </c>
      <c r="B95" s="6" t="inlineStr">
        <is>
          <t>에너지 효율적 제품</t>
        </is>
      </c>
      <c r="C95" s="5" t="n">
        <v>3</v>
      </c>
      <c r="D95" s="6" t="inlineStr">
        <is>
          <t>3단계</t>
        </is>
      </c>
      <c r="E95" s="5" t="n">
        <v>100</v>
      </c>
      <c r="F95" s="7" t="inlineStr">
        <is>
          <t>지난 4개년간 에너지 효율적 제품의 비중 증가 추세</t>
        </is>
      </c>
    </row>
    <row r="96">
      <c r="A96" s="6" t="inlineStr">
        <is>
          <t>반도체-E-2</t>
        </is>
      </c>
      <c r="B96" s="6" t="inlineStr">
        <is>
          <t>초순수 사용량</t>
        </is>
      </c>
      <c r="C96" s="5" t="n">
        <v>1</v>
      </c>
      <c r="D96" s="6" t="inlineStr">
        <is>
          <t>1단계</t>
        </is>
      </c>
      <c r="E96" s="5" t="n">
        <v>0</v>
      </c>
      <c r="F96" s="7" t="inlineStr">
        <is>
          <t>지난 4개년간 원단위 초순수 사용량 증가 추세 | 2단계: 지난 4개년간 원단위 초순수 사용량 변동 없음 | 3단계: 지난 4개년간 원단위 초순수 사용량 감소 추세 (미산정 시 0점)</t>
        </is>
      </c>
    </row>
    <row r="97">
      <c r="A97" s="6" t="inlineStr">
        <is>
          <t>반도체-E-2</t>
        </is>
      </c>
      <c r="B97" s="6" t="inlineStr">
        <is>
          <t>초순수 사용량</t>
        </is>
      </c>
      <c r="C97" s="5" t="n">
        <v>2</v>
      </c>
      <c r="D97" s="6" t="inlineStr">
        <is>
          <t>2단계</t>
        </is>
      </c>
      <c r="E97" s="5" t="n">
        <v>50</v>
      </c>
      <c r="F97" s="7" t="inlineStr">
        <is>
          <t>지난 4개년간 원단위 초순수 사용량 변동 없음</t>
        </is>
      </c>
    </row>
    <row r="98">
      <c r="A98" s="6" t="inlineStr">
        <is>
          <t>반도체-E-2</t>
        </is>
      </c>
      <c r="B98" s="6" t="inlineStr">
        <is>
          <t>초순수 사용량</t>
        </is>
      </c>
      <c r="C98" s="5" t="n">
        <v>3</v>
      </c>
      <c r="D98" s="6" t="inlineStr">
        <is>
          <t>3단계</t>
        </is>
      </c>
      <c r="E98" s="5" t="n">
        <v>100</v>
      </c>
      <c r="F98" s="7" t="inlineStr">
        <is>
          <t>지난 4개년간 원단위 초순수 사용량 감소 추세 (미산정 시 0점)</t>
        </is>
      </c>
    </row>
    <row r="99">
      <c r="A99" s="6" t="inlineStr">
        <is>
          <t>반도체-E-3</t>
        </is>
      </c>
      <c r="B99" s="6" t="inlineStr">
        <is>
          <t>물 부족 지역에서의 용수 사용량</t>
        </is>
      </c>
      <c r="C99" s="5" t="n">
        <v>1</v>
      </c>
      <c r="D99" s="6" t="inlineStr">
        <is>
          <t>1단계</t>
        </is>
      </c>
      <c r="E99" s="5" t="n">
        <v>0</v>
      </c>
      <c r="F99" s="7" t="inlineStr">
        <is>
          <t>지난 4개년간 물부족지역 사업장 원단위 용수사용량 증가 추세 | 2단계: 변동 없음 | 3단계: 감소 추세 (미식별·미측정 시 0점)</t>
        </is>
      </c>
    </row>
    <row r="100">
      <c r="A100" s="6" t="inlineStr">
        <is>
          <t>반도체-E-3</t>
        </is>
      </c>
      <c r="B100" s="6" t="inlineStr">
        <is>
          <t>물 부족 지역에서의 용수 사용량</t>
        </is>
      </c>
      <c r="C100" s="5" t="n">
        <v>2</v>
      </c>
      <c r="D100" s="6" t="inlineStr">
        <is>
          <t>2단계</t>
        </is>
      </c>
      <c r="E100" s="5" t="n">
        <v>50</v>
      </c>
      <c r="F100" s="7" t="inlineStr">
        <is>
          <t>변동 없음</t>
        </is>
      </c>
    </row>
    <row r="101">
      <c r="A101" s="6" t="inlineStr">
        <is>
          <t>반도체-E-3</t>
        </is>
      </c>
      <c r="B101" s="6" t="inlineStr">
        <is>
          <t>물 부족 지역에서의 용수 사용량</t>
        </is>
      </c>
      <c r="C101" s="5" t="n">
        <v>3</v>
      </c>
      <c r="D101" s="6" t="inlineStr">
        <is>
          <t>3단계</t>
        </is>
      </c>
      <c r="E101" s="5" t="n">
        <v>100</v>
      </c>
      <c r="F101" s="7" t="inlineStr">
        <is>
          <t>감소 추세 (미식별·미측정 시 0점)</t>
        </is>
      </c>
    </row>
    <row r="102">
      <c r="A102" s="6" t="inlineStr">
        <is>
          <t>반도체-E-4</t>
        </is>
      </c>
      <c r="B102" s="6" t="inlineStr">
        <is>
          <t>과불화탄소 배출량</t>
        </is>
      </c>
      <c r="C102" s="5" t="n">
        <v>1</v>
      </c>
      <c r="D102" s="6" t="inlineStr">
        <is>
          <t>1단계</t>
        </is>
      </c>
      <c r="E102" s="5" t="n">
        <v>0</v>
      </c>
      <c r="F102" s="7" t="inlineStr">
        <is>
          <t>지난 4개년간 원단위 PFC 배출량 증가 추세 | 2단계: 변동 없음 | 3단계: 감소 추세 (미관리 시 0점)</t>
        </is>
      </c>
    </row>
    <row r="103">
      <c r="A103" s="6" t="inlineStr">
        <is>
          <t>반도체-E-4</t>
        </is>
      </c>
      <c r="B103" s="6" t="inlineStr">
        <is>
          <t>과불화탄소 배출량</t>
        </is>
      </c>
      <c r="C103" s="5" t="n">
        <v>2</v>
      </c>
      <c r="D103" s="6" t="inlineStr">
        <is>
          <t>2단계</t>
        </is>
      </c>
      <c r="E103" s="5" t="n">
        <v>50</v>
      </c>
      <c r="F103" s="7" t="inlineStr">
        <is>
          <t>변동 없음</t>
        </is>
      </c>
    </row>
    <row r="104">
      <c r="A104" s="6" t="inlineStr">
        <is>
          <t>반도체-E-4</t>
        </is>
      </c>
      <c r="B104" s="6" t="inlineStr">
        <is>
          <t>과불화탄소 배출량</t>
        </is>
      </c>
      <c r="C104" s="5" t="n">
        <v>3</v>
      </c>
      <c r="D104" s="6" t="inlineStr">
        <is>
          <t>3단계</t>
        </is>
      </c>
      <c r="E104" s="5" t="n">
        <v>100</v>
      </c>
      <c r="F104" s="7" t="inlineStr">
        <is>
          <t>감소 추세 (미관리 시 0점)</t>
        </is>
      </c>
    </row>
    <row r="105">
      <c r="A105" s="6" t="inlineStr">
        <is>
          <t>반도체-E-5</t>
        </is>
      </c>
      <c r="B105" s="6" t="inlineStr">
        <is>
          <t>휘발성 유기화합물 배출량</t>
        </is>
      </c>
      <c r="C105" s="5" t="n">
        <v>1</v>
      </c>
      <c r="D105" s="6" t="inlineStr">
        <is>
          <t>1단계</t>
        </is>
      </c>
      <c r="E105" s="5" t="n">
        <v>0</v>
      </c>
      <c r="F105" s="7" t="inlineStr">
        <is>
          <t>지난 4개년간 원단위 VOC 배출량 증가 추세 | 2단계: 변동 없음 | 3단계: 감소 추세 (미관리 시 0점)</t>
        </is>
      </c>
    </row>
    <row r="106">
      <c r="A106" s="6" t="inlineStr">
        <is>
          <t>반도체-E-5</t>
        </is>
      </c>
      <c r="B106" s="6" t="inlineStr">
        <is>
          <t>휘발성 유기화합물 배출량</t>
        </is>
      </c>
      <c r="C106" s="5" t="n">
        <v>2</v>
      </c>
      <c r="D106" s="6" t="inlineStr">
        <is>
          <t>2단계</t>
        </is>
      </c>
      <c r="E106" s="5" t="n">
        <v>50</v>
      </c>
      <c r="F106" s="7" t="inlineStr">
        <is>
          <t>변동 없음</t>
        </is>
      </c>
    </row>
    <row r="107">
      <c r="A107" s="6" t="inlineStr">
        <is>
          <t>반도체-E-5</t>
        </is>
      </c>
      <c r="B107" s="6" t="inlineStr">
        <is>
          <t>휘발성 유기화합물 배출량</t>
        </is>
      </c>
      <c r="C107" s="5" t="n">
        <v>3</v>
      </c>
      <c r="D107" s="6" t="inlineStr">
        <is>
          <t>3단계</t>
        </is>
      </c>
      <c r="E107" s="5" t="n">
        <v>100</v>
      </c>
      <c r="F107" s="7" t="inlineStr">
        <is>
          <t>감소 추세 (미관리 시 0점)</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4"/>
  <sheetViews>
    <sheetView workbookViewId="0">
      <pane ySplit="2" topLeftCell="A3" activePane="bottomLeft" state="frozen"/>
      <selection pane="bottomLeft" activeCell="A1" sqref="A1"/>
    </sheetView>
  </sheetViews>
  <sheetFormatPr baseColWidth="8" defaultRowHeight="15"/>
  <cols>
    <col width="7" customWidth="1" min="1" max="1"/>
    <col width="22" customWidth="1" min="2" max="2"/>
    <col width="20" customWidth="1" min="3" max="3"/>
    <col width="10" customWidth="1" min="4" max="4"/>
    <col width="34" customWidth="1" min="5" max="5"/>
    <col width="10" customWidth="1" min="6" max="6"/>
    <col width="20" customWidth="1" min="7" max="7"/>
    <col width="24" customWidth="1" min="8" max="8"/>
    <col width="30" customWidth="1" min="9" max="9"/>
    <col width="18" customWidth="1" min="10" max="10"/>
  </cols>
  <sheetData>
    <row r="1">
      <c r="A1" s="1" t="inlineStr">
        <is>
          <t>[분리본] 03시트는 지배구조(G) 항목만 있어 G 파일에만 포함됩니다.</t>
        </is>
      </c>
    </row>
    <row r="2" ht="30" customHeight="1">
      <c r="A2" s="3" t="inlineStr">
        <is>
          <t>순번</t>
        </is>
      </c>
      <c r="B2" s="3" t="inlineStr">
        <is>
          <t>핵심원칙(대분류)</t>
        </is>
      </c>
      <c r="C2" s="3" t="inlineStr">
        <is>
          <t>세부원칙</t>
        </is>
      </c>
      <c r="D2" s="3" t="inlineStr">
        <is>
          <t>지표코드</t>
        </is>
      </c>
      <c r="E2" s="3" t="inlineStr">
        <is>
          <t>지표명</t>
        </is>
      </c>
      <c r="F2" s="3" t="inlineStr">
        <is>
          <t>데이터유형</t>
        </is>
      </c>
      <c r="G2" s="3" t="inlineStr">
        <is>
          <t>크롤링소스(정량 수집처)</t>
        </is>
      </c>
      <c r="H2" s="3" t="inlineStr">
        <is>
          <t>연계 K-ESG 분류코드</t>
        </is>
      </c>
      <c r="I2" s="3" t="inlineStr">
        <is>
          <t>비고/근거</t>
        </is>
      </c>
      <c r="J2" s="2" t="inlineStr">
        <is>
          <t>[입력]자사 현황값</t>
        </is>
      </c>
    </row>
    <row r="3">
      <c r="A3" s="9" t="n">
        <v>1</v>
      </c>
      <c r="B3" s="7" t="inlineStr">
        <is>
          <t>지배구조 핵심지표(15개)</t>
        </is>
      </c>
      <c r="C3" s="6" t="inlineStr">
        <is>
          <t>-</t>
        </is>
      </c>
      <c r="D3" s="15" t="inlineStr">
        <is>
          <t>H01</t>
        </is>
      </c>
      <c r="E3" s="7" t="inlineStr">
        <is>
          <t>주주총회 4주 전 소집공고 실시</t>
        </is>
      </c>
      <c r="F3" s="15" t="inlineStr">
        <is>
          <t>OX</t>
        </is>
      </c>
      <c r="G3" s="7" t="inlineStr">
        <is>
          <t>기업지배구조보고서</t>
        </is>
      </c>
      <c r="H3" s="6" t="inlineStr">
        <is>
          <t>G-3-1</t>
        </is>
      </c>
      <c r="I3" s="7" t="inlineStr">
        <is>
          <t>준수율 산정 15개 항목 중 하나</t>
        </is>
      </c>
      <c r="J3" s="16" t="n"/>
    </row>
    <row r="4">
      <c r="A4" s="9" t="n">
        <v>2</v>
      </c>
      <c r="B4" s="7" t="inlineStr">
        <is>
          <t>지배구조 핵심지표(15개)</t>
        </is>
      </c>
      <c r="C4" s="6" t="inlineStr">
        <is>
          <t>-</t>
        </is>
      </c>
      <c r="D4" s="15" t="inlineStr">
        <is>
          <t>H02</t>
        </is>
      </c>
      <c r="E4" s="7" t="inlineStr">
        <is>
          <t>전자투표 실시</t>
        </is>
      </c>
      <c r="F4" s="15" t="inlineStr">
        <is>
          <t>OX</t>
        </is>
      </c>
      <c r="G4" s="7" t="inlineStr">
        <is>
          <t>기업지배구조보고서</t>
        </is>
      </c>
      <c r="H4" s="6" t="inlineStr">
        <is>
          <t>G-3-3</t>
        </is>
      </c>
      <c r="I4" s="7" t="n"/>
      <c r="J4" s="16" t="n"/>
    </row>
    <row r="5">
      <c r="A5" s="9" t="n">
        <v>3</v>
      </c>
      <c r="B5" s="7" t="inlineStr">
        <is>
          <t>지배구조 핵심지표(15개)</t>
        </is>
      </c>
      <c r="C5" s="6" t="inlineStr">
        <is>
          <t>-</t>
        </is>
      </c>
      <c r="D5" s="15" t="inlineStr">
        <is>
          <t>H03</t>
        </is>
      </c>
      <c r="E5" s="7" t="inlineStr">
        <is>
          <t>주주총회 집중일 이외 개최</t>
        </is>
      </c>
      <c r="F5" s="15" t="inlineStr">
        <is>
          <t>OX</t>
        </is>
      </c>
      <c r="G5" s="7" t="inlineStr">
        <is>
          <t>기업지배구조보고서</t>
        </is>
      </c>
      <c r="H5" s="6" t="inlineStr">
        <is>
          <t>G-3-2</t>
        </is>
      </c>
      <c r="I5" s="7" t="n"/>
      <c r="J5" s="16" t="n"/>
    </row>
    <row r="6">
      <c r="A6" s="9" t="n">
        <v>4</v>
      </c>
      <c r="B6" s="7" t="inlineStr">
        <is>
          <t>지배구조 핵심지표(15개)</t>
        </is>
      </c>
      <c r="C6" s="6" t="inlineStr">
        <is>
          <t>-</t>
        </is>
      </c>
      <c r="D6" s="15" t="inlineStr">
        <is>
          <t>H04</t>
        </is>
      </c>
      <c r="E6" s="7" t="inlineStr">
        <is>
          <t>현금배당 관련 예측가능성 제공</t>
        </is>
      </c>
      <c r="F6" s="15" t="inlineStr">
        <is>
          <t>OX</t>
        </is>
      </c>
      <c r="G6" s="7" t="inlineStr">
        <is>
          <t>기업지배구조보고서</t>
        </is>
      </c>
      <c r="H6" s="6" t="inlineStr">
        <is>
          <t>G-3-4</t>
        </is>
      </c>
      <c r="I6" s="7" t="inlineStr">
        <is>
          <t>배당액 확정일이 배당기준일보다 선행</t>
        </is>
      </c>
      <c r="J6" s="16" t="n"/>
    </row>
    <row r="7">
      <c r="A7" s="9" t="n">
        <v>5</v>
      </c>
      <c r="B7" s="7" t="inlineStr">
        <is>
          <t>지배구조 핵심지표(15개)</t>
        </is>
      </c>
      <c r="C7" s="6" t="inlineStr">
        <is>
          <t>-</t>
        </is>
      </c>
      <c r="D7" s="15" t="inlineStr">
        <is>
          <t>H05</t>
        </is>
      </c>
      <c r="E7" s="7" t="inlineStr">
        <is>
          <t>배당정책·배당실시계획 연1회 이상 주주 통지</t>
        </is>
      </c>
      <c r="F7" s="15" t="inlineStr">
        <is>
          <t>OX</t>
        </is>
      </c>
      <c r="G7" s="7" t="inlineStr">
        <is>
          <t>기업지배구조보고서</t>
        </is>
      </c>
      <c r="H7" s="6" t="inlineStr">
        <is>
          <t>G-3-4</t>
        </is>
      </c>
      <c r="I7" s="7" t="n"/>
      <c r="J7" s="16" t="n"/>
    </row>
    <row r="8">
      <c r="A8" s="9" t="n">
        <v>6</v>
      </c>
      <c r="B8" s="7" t="inlineStr">
        <is>
          <t>지배구조 핵심지표(15개)</t>
        </is>
      </c>
      <c r="C8" s="6" t="inlineStr">
        <is>
          <t>-</t>
        </is>
      </c>
      <c r="D8" s="15" t="inlineStr">
        <is>
          <t>H06</t>
        </is>
      </c>
      <c r="E8" s="7" t="inlineStr">
        <is>
          <t>최고경영자 승계정책 마련 및 운영</t>
        </is>
      </c>
      <c r="F8" s="15" t="inlineStr">
        <is>
          <t>OX</t>
        </is>
      </c>
      <c r="G8" s="7" t="inlineStr">
        <is>
          <t>기업지배구조보고서</t>
        </is>
      </c>
      <c r="H8" s="6" t="inlineStr">
        <is>
          <t>G-경영진-추가1</t>
        </is>
      </c>
      <c r="I8" s="7" t="n"/>
      <c r="J8" s="16" t="n"/>
    </row>
    <row r="9">
      <c r="A9" s="9" t="n">
        <v>7</v>
      </c>
      <c r="B9" s="7" t="inlineStr">
        <is>
          <t>지배구조 핵심지표(15개)</t>
        </is>
      </c>
      <c r="C9" s="6" t="inlineStr">
        <is>
          <t>-</t>
        </is>
      </c>
      <c r="D9" s="15" t="inlineStr">
        <is>
          <t>H07</t>
        </is>
      </c>
      <c r="E9" s="7" t="inlineStr">
        <is>
          <t>위험관리 등 내부통제정책 마련 및 운영</t>
        </is>
      </c>
      <c r="F9" s="15" t="inlineStr">
        <is>
          <t>OX</t>
        </is>
      </c>
      <c r="G9" s="7" t="inlineStr">
        <is>
          <t>기업지배구조보고서</t>
        </is>
      </c>
      <c r="H9" s="6" t="inlineStr">
        <is>
          <t>G-4-1</t>
        </is>
      </c>
      <c r="I9" s="7" t="inlineStr">
        <is>
          <t>리스크관리·준법경영·내부회계관리·공시정보관리 모두 충족해야 준수</t>
        </is>
      </c>
      <c r="J9" s="16" t="n"/>
    </row>
    <row r="10">
      <c r="A10" s="9" t="n">
        <v>8</v>
      </c>
      <c r="B10" s="7" t="inlineStr">
        <is>
          <t>지배구조 핵심지표(15개)</t>
        </is>
      </c>
      <c r="C10" s="6" t="inlineStr">
        <is>
          <t>-</t>
        </is>
      </c>
      <c r="D10" s="15" t="inlineStr">
        <is>
          <t>H08</t>
        </is>
      </c>
      <c r="E10" s="7" t="inlineStr">
        <is>
          <t>사외이사가 이사회 의장인지 여부</t>
        </is>
      </c>
      <c r="F10" s="15" t="inlineStr">
        <is>
          <t>OX</t>
        </is>
      </c>
      <c r="G10" s="7" t="inlineStr">
        <is>
          <t>기업지배구조보고서</t>
        </is>
      </c>
      <c r="H10" s="6" t="inlineStr">
        <is>
          <t>G-1-3</t>
        </is>
      </c>
      <c r="I10" s="7" t="n"/>
      <c r="J10" s="16" t="n"/>
    </row>
    <row r="11">
      <c r="A11" s="9" t="n">
        <v>9</v>
      </c>
      <c r="B11" s="7" t="inlineStr">
        <is>
          <t>지배구조 핵심지표(15개)</t>
        </is>
      </c>
      <c r="C11" s="6" t="inlineStr">
        <is>
          <t>-</t>
        </is>
      </c>
      <c r="D11" s="15" t="inlineStr">
        <is>
          <t>H09</t>
        </is>
      </c>
      <c r="E11" s="7" t="inlineStr">
        <is>
          <t>집중투표제 채택</t>
        </is>
      </c>
      <c r="F11" s="15" t="inlineStr">
        <is>
          <t>OX</t>
        </is>
      </c>
      <c r="G11" s="7" t="inlineStr">
        <is>
          <t>기업지배구조보고서</t>
        </is>
      </c>
      <c r="H11" s="6" t="inlineStr">
        <is>
          <t>G-3-3</t>
        </is>
      </c>
      <c r="I11" s="7" t="inlineStr">
        <is>
          <t>정관상 배제하지 않는 경우 해당</t>
        </is>
      </c>
      <c r="J11" s="16" t="n"/>
    </row>
    <row r="12">
      <c r="A12" s="9" t="n">
        <v>10</v>
      </c>
      <c r="B12" s="7" t="inlineStr">
        <is>
          <t>지배구조 핵심지표(15개)</t>
        </is>
      </c>
      <c r="C12" s="6" t="inlineStr">
        <is>
          <t>-</t>
        </is>
      </c>
      <c r="D12" s="15" t="inlineStr">
        <is>
          <t>H10</t>
        </is>
      </c>
      <c r="E12" s="7" t="inlineStr">
        <is>
          <t>기업가치 훼손·주주권익 침해 책임자 임원선임 방지 정책 수립</t>
        </is>
      </c>
      <c r="F12" s="15" t="inlineStr">
        <is>
          <t>OX</t>
        </is>
      </c>
      <c r="G12" s="7" t="inlineStr">
        <is>
          <t>기업지배구조보고서</t>
        </is>
      </c>
      <c r="H12" s="6" t="inlineStr">
        <is>
          <t>G-4-1</t>
        </is>
      </c>
      <c r="I12" s="7" t="n"/>
      <c r="J12" s="16" t="n"/>
    </row>
    <row r="13">
      <c r="A13" s="9" t="n">
        <v>11</v>
      </c>
      <c r="B13" s="7" t="inlineStr">
        <is>
          <t>지배구조 핵심지표(15개)</t>
        </is>
      </c>
      <c r="C13" s="6" t="inlineStr">
        <is>
          <t>-</t>
        </is>
      </c>
      <c r="D13" s="15" t="inlineStr">
        <is>
          <t>H11</t>
        </is>
      </c>
      <c r="E13" s="7" t="inlineStr">
        <is>
          <t>이사회 구성원 모두 단일 성별이 아님</t>
        </is>
      </c>
      <c r="F13" s="15" t="inlineStr">
        <is>
          <t>OX</t>
        </is>
      </c>
      <c r="G13" s="7" t="inlineStr">
        <is>
          <t>기업지배구조보고서</t>
        </is>
      </c>
      <c r="H13" s="6" t="inlineStr">
        <is>
          <t>G-1-4</t>
        </is>
      </c>
      <c r="I13" s="7" t="inlineStr">
        <is>
          <t>성별 다양성</t>
        </is>
      </c>
      <c r="J13" s="16" t="n"/>
    </row>
    <row r="14">
      <c r="A14" s="9" t="n">
        <v>12</v>
      </c>
      <c r="B14" s="7" t="inlineStr">
        <is>
          <t>지배구조 핵심지표(15개)</t>
        </is>
      </c>
      <c r="C14" s="6" t="inlineStr">
        <is>
          <t>-</t>
        </is>
      </c>
      <c r="D14" s="15" t="inlineStr">
        <is>
          <t>H12</t>
        </is>
      </c>
      <c r="E14" s="7" t="inlineStr">
        <is>
          <t>독립적인 내부감사부서(지원조직) 설치</t>
        </is>
      </c>
      <c r="F14" s="15" t="inlineStr">
        <is>
          <t>OX</t>
        </is>
      </c>
      <c r="G14" s="7" t="inlineStr">
        <is>
          <t>기업지배구조보고서</t>
        </is>
      </c>
      <c r="H14" s="6" t="inlineStr">
        <is>
          <t>G-5-1</t>
        </is>
      </c>
      <c r="I14" s="7" t="n"/>
      <c r="J14" s="16" t="n"/>
    </row>
    <row r="15">
      <c r="A15" s="9" t="n">
        <v>13</v>
      </c>
      <c r="B15" s="7" t="inlineStr">
        <is>
          <t>지배구조 핵심지표(15개)</t>
        </is>
      </c>
      <c r="C15" s="6" t="inlineStr">
        <is>
          <t>-</t>
        </is>
      </c>
      <c r="D15" s="15" t="inlineStr">
        <is>
          <t>H13</t>
        </is>
      </c>
      <c r="E15" s="7" t="inlineStr">
        <is>
          <t>내부감사기구에 회계·재무 전문가 존재</t>
        </is>
      </c>
      <c r="F15" s="15" t="inlineStr">
        <is>
          <t>OX</t>
        </is>
      </c>
      <c r="G15" s="7" t="inlineStr">
        <is>
          <t>기업지배구조보고서</t>
        </is>
      </c>
      <c r="H15" s="6" t="inlineStr">
        <is>
          <t>G-5-2</t>
        </is>
      </c>
      <c r="I15" s="7" t="n"/>
      <c r="J15" s="16" t="n"/>
    </row>
    <row r="16">
      <c r="A16" s="9" t="n">
        <v>14</v>
      </c>
      <c r="B16" s="7" t="inlineStr">
        <is>
          <t>지배구조 핵심지표(15개)</t>
        </is>
      </c>
      <c r="C16" s="6" t="inlineStr">
        <is>
          <t>-</t>
        </is>
      </c>
      <c r="D16" s="15" t="inlineStr">
        <is>
          <t>H14</t>
        </is>
      </c>
      <c r="E16" s="7" t="inlineStr">
        <is>
          <t>내부감사기구-외부감사인 분기 1회 이상 경영진 없이 회의</t>
        </is>
      </c>
      <c r="F16" s="15" t="inlineStr">
        <is>
          <t>OX</t>
        </is>
      </c>
      <c r="G16" s="7" t="inlineStr">
        <is>
          <t>기업지배구조보고서</t>
        </is>
      </c>
      <c r="H16" s="6" t="inlineStr">
        <is>
          <t>G-5-1</t>
        </is>
      </c>
      <c r="I16" s="7" t="n"/>
      <c r="J16" s="16" t="n"/>
    </row>
    <row r="17">
      <c r="A17" s="9" t="n">
        <v>15</v>
      </c>
      <c r="B17" s="7" t="inlineStr">
        <is>
          <t>지배구조 핵심지표(15개)</t>
        </is>
      </c>
      <c r="C17" s="6" t="inlineStr">
        <is>
          <t>-</t>
        </is>
      </c>
      <c r="D17" s="15" t="inlineStr">
        <is>
          <t>H15</t>
        </is>
      </c>
      <c r="E17" s="7" t="inlineStr">
        <is>
          <t>경영 중요정보에 내부감사기구 접근 가능한 절차 마련</t>
        </is>
      </c>
      <c r="F17" s="15" t="inlineStr">
        <is>
          <t>OX</t>
        </is>
      </c>
      <c r="G17" s="7" t="inlineStr">
        <is>
          <t>기업지배구조보고서</t>
        </is>
      </c>
      <c r="H17" s="6" t="inlineStr">
        <is>
          <t>G-5-1</t>
        </is>
      </c>
      <c r="I17" s="7" t="n"/>
      <c r="J17" s="16" t="n"/>
    </row>
    <row r="18">
      <c r="A18" s="9" t="n">
        <v>16</v>
      </c>
      <c r="B18" s="7" t="inlineStr">
        <is>
          <t>핵심원칙1_주주의권리</t>
        </is>
      </c>
      <c r="C18" s="6" t="inlineStr">
        <is>
          <t>1-①_주주총회정보제공</t>
        </is>
      </c>
      <c r="D18" s="15" t="inlineStr">
        <is>
          <t>101</t>
        </is>
      </c>
      <c r="E18" s="7" t="inlineStr">
        <is>
          <t>소집공고일~주주총회일 간격(일)</t>
        </is>
      </c>
      <c r="F18" s="15" t="inlineStr">
        <is>
          <t>숫자</t>
        </is>
      </c>
      <c r="G18" s="7" t="inlineStr">
        <is>
          <t>기업지배구조보고서</t>
        </is>
      </c>
      <c r="H18" s="6" t="inlineStr">
        <is>
          <t>G-3-1, G-3-3</t>
        </is>
      </c>
      <c r="I18" s="7" t="inlineStr">
        <is>
          <t>4주 초과 여부 판단 근거</t>
        </is>
      </c>
      <c r="J18" s="16" t="n"/>
    </row>
    <row r="19">
      <c r="A19" s="9" t="n">
        <v>17</v>
      </c>
      <c r="B19" s="7" t="inlineStr">
        <is>
          <t>핵심원칙1_주주의권리</t>
        </is>
      </c>
      <c r="C19" s="6" t="inlineStr">
        <is>
          <t>1-①_주주총회정보제공</t>
        </is>
      </c>
      <c r="D19" s="15" t="inlineStr">
        <is>
          <t>102</t>
        </is>
      </c>
      <c r="E19" s="7" t="inlineStr">
        <is>
          <t>외국인 주주 이해가능 소집통지 실시여부</t>
        </is>
      </c>
      <c r="F19" s="15" t="inlineStr">
        <is>
          <t>OX</t>
        </is>
      </c>
      <c r="G19" s="7" t="inlineStr">
        <is>
          <t>기업지배구조보고서</t>
        </is>
      </c>
      <c r="H19" s="6" t="inlineStr">
        <is>
          <t>G-3-1, G-3-3</t>
        </is>
      </c>
      <c r="I19" s="7" t="n"/>
      <c r="J19" s="16" t="n"/>
    </row>
    <row r="20">
      <c r="A20" s="9" t="n">
        <v>18</v>
      </c>
      <c r="B20" s="7" t="inlineStr">
        <is>
          <t>핵심원칙1_주주의권리</t>
        </is>
      </c>
      <c r="C20" s="6" t="inlineStr">
        <is>
          <t>1-②_의결권행사</t>
        </is>
      </c>
      <c r="D20" s="15" t="inlineStr">
        <is>
          <t>103</t>
        </is>
      </c>
      <c r="E20" s="7" t="inlineStr">
        <is>
          <t>정기주총 집중일 회피 여부</t>
        </is>
      </c>
      <c r="F20" s="15" t="inlineStr">
        <is>
          <t>OX</t>
        </is>
      </c>
      <c r="G20" s="7" t="inlineStr">
        <is>
          <t>기업지배구조보고서</t>
        </is>
      </c>
      <c r="H20" s="6" t="inlineStr">
        <is>
          <t>G-3-1, G-3-3</t>
        </is>
      </c>
      <c r="I20" s="7" t="inlineStr">
        <is>
          <t>최근 3개년</t>
        </is>
      </c>
      <c r="J20" s="16" t="n"/>
    </row>
    <row r="21">
      <c r="A21" s="9" t="n">
        <v>19</v>
      </c>
      <c r="B21" s="7" t="inlineStr">
        <is>
          <t>핵심원칙1_주주의권리</t>
        </is>
      </c>
      <c r="C21" s="6" t="inlineStr">
        <is>
          <t>1-②_의결권행사</t>
        </is>
      </c>
      <c r="D21" s="15" t="inlineStr">
        <is>
          <t>104</t>
        </is>
      </c>
      <c r="E21" s="7" t="inlineStr">
        <is>
          <t>서면투표 실시여부</t>
        </is>
      </c>
      <c r="F21" s="15" t="inlineStr">
        <is>
          <t>OX</t>
        </is>
      </c>
      <c r="G21" s="7" t="inlineStr">
        <is>
          <t>기업지배구조보고서</t>
        </is>
      </c>
      <c r="H21" s="6" t="inlineStr">
        <is>
          <t>G-3-1, G-3-3</t>
        </is>
      </c>
      <c r="I21" s="7" t="n"/>
      <c r="J21" s="16" t="n"/>
    </row>
    <row r="22">
      <c r="A22" s="9" t="n">
        <v>20</v>
      </c>
      <c r="B22" s="7" t="inlineStr">
        <is>
          <t>핵심원칙1_주주의권리</t>
        </is>
      </c>
      <c r="C22" s="6" t="inlineStr">
        <is>
          <t>1-②_의결권행사</t>
        </is>
      </c>
      <c r="D22" s="15" t="inlineStr">
        <is>
          <t>105</t>
        </is>
      </c>
      <c r="E22" s="7" t="inlineStr">
        <is>
          <t>전자투표 실시여부</t>
        </is>
      </c>
      <c r="F22" s="15" t="inlineStr">
        <is>
          <t>OX</t>
        </is>
      </c>
      <c r="G22" s="7" t="inlineStr">
        <is>
          <t>기업지배구조보고서</t>
        </is>
      </c>
      <c r="H22" s="6" t="inlineStr">
        <is>
          <t>G-3-1, G-3-3</t>
        </is>
      </c>
      <c r="I22" s="7" t="n"/>
      <c r="J22" s="16" t="n"/>
    </row>
    <row r="23">
      <c r="A23" s="9" t="n">
        <v>21</v>
      </c>
      <c r="B23" s="7" t="inlineStr">
        <is>
          <t>핵심원칙1_주주의권리</t>
        </is>
      </c>
      <c r="C23" s="6" t="inlineStr">
        <is>
          <t>1-②_의결권행사</t>
        </is>
      </c>
      <c r="D23" s="15" t="inlineStr">
        <is>
          <t>106</t>
        </is>
      </c>
      <c r="E23" s="7" t="inlineStr">
        <is>
          <t>의결권 대리행사 권유 여부</t>
        </is>
      </c>
      <c r="F23" s="15" t="inlineStr">
        <is>
          <t>OX</t>
        </is>
      </c>
      <c r="G23" s="7" t="inlineStr">
        <is>
          <t>기업지배구조보고서</t>
        </is>
      </c>
      <c r="H23" s="6" t="inlineStr">
        <is>
          <t>G-3-1, G-3-3</t>
        </is>
      </c>
      <c r="I23" s="7" t="n"/>
      <c r="J23" s="16" t="n"/>
    </row>
    <row r="24">
      <c r="A24" s="9" t="n">
        <v>22</v>
      </c>
      <c r="B24" s="7" t="inlineStr">
        <is>
          <t>핵심원칙1_주주의권리</t>
        </is>
      </c>
      <c r="C24" s="6" t="inlineStr">
        <is>
          <t>1-②_의결권행사</t>
        </is>
      </c>
      <c r="D24" s="15" t="inlineStr">
        <is>
          <t>107</t>
        </is>
      </c>
      <c r="E24" s="7" t="inlineStr">
        <is>
          <t>안건별 찬성/반대(기권) 비율(%)</t>
        </is>
      </c>
      <c r="F24" s="15" t="inlineStr">
        <is>
          <t>숫자</t>
        </is>
      </c>
      <c r="G24" s="7" t="inlineStr">
        <is>
          <t>기업지배구조보고서</t>
        </is>
      </c>
      <c r="H24" s="6" t="inlineStr">
        <is>
          <t>G-3-1, G-3-3</t>
        </is>
      </c>
      <c r="I24" s="7" t="n"/>
      <c r="J24" s="16" t="n"/>
    </row>
    <row r="25">
      <c r="A25" s="9" t="n">
        <v>23</v>
      </c>
      <c r="B25" s="7" t="inlineStr">
        <is>
          <t>핵심원칙1_주주의권리</t>
        </is>
      </c>
      <c r="C25" s="6" t="inlineStr">
        <is>
          <t>1-③_주주제안권</t>
        </is>
      </c>
      <c r="D25" s="15" t="inlineStr">
        <is>
          <t>108</t>
        </is>
      </c>
      <c r="E25" s="7" t="inlineStr">
        <is>
          <t>주주제안 절차 홈페이지 등 안내 시행여부</t>
        </is>
      </c>
      <c r="F25" s="15" t="inlineStr">
        <is>
          <t>OX</t>
        </is>
      </c>
      <c r="G25" s="7" t="inlineStr">
        <is>
          <t>기업지배구조보고서</t>
        </is>
      </c>
      <c r="H25" s="6" t="inlineStr">
        <is>
          <t>G-3(주주권리 보강)</t>
        </is>
      </c>
      <c r="I25" s="7" t="n"/>
      <c r="J25" s="16" t="n"/>
    </row>
    <row r="26">
      <c r="A26" s="9" t="n">
        <v>24</v>
      </c>
      <c r="B26" s="7" t="inlineStr">
        <is>
          <t>핵심원칙1_주주의권리</t>
        </is>
      </c>
      <c r="C26" s="6" t="inlineStr">
        <is>
          <t>1-③_주주제안권</t>
        </is>
      </c>
      <c r="D26" s="15" t="inlineStr">
        <is>
          <t>109</t>
        </is>
      </c>
      <c r="E26" s="7" t="inlineStr">
        <is>
          <t>주주제안 처리절차·기준 규정 시행여부</t>
        </is>
      </c>
      <c r="F26" s="15" t="inlineStr">
        <is>
          <t>OX</t>
        </is>
      </c>
      <c r="G26" s="7" t="inlineStr">
        <is>
          <t>기업지배구조보고서</t>
        </is>
      </c>
      <c r="H26" s="6" t="inlineStr">
        <is>
          <t>G-3(주주권리 보강)</t>
        </is>
      </c>
      <c r="I26" s="7" t="n"/>
      <c r="J26" s="16" t="n"/>
    </row>
    <row r="27">
      <c r="A27" s="9" t="n">
        <v>25</v>
      </c>
      <c r="B27" s="7" t="inlineStr">
        <is>
          <t>핵심원칙1_주주의권리</t>
        </is>
      </c>
      <c r="C27" s="6" t="inlineStr">
        <is>
          <t>1-③_주주제안권</t>
        </is>
      </c>
      <c r="D27" s="15" t="inlineStr">
        <is>
          <t>110</t>
        </is>
      </c>
      <c r="E27" s="7" t="inlineStr">
        <is>
          <t>공시대상기간 내 주주제안 건수 및 이행상황</t>
        </is>
      </c>
      <c r="F27" s="15" t="inlineStr">
        <is>
          <t>숫자/텍스트</t>
        </is>
      </c>
      <c r="G27" s="7" t="inlineStr">
        <is>
          <t>기업지배구조보고서</t>
        </is>
      </c>
      <c r="H27" s="6" t="inlineStr">
        <is>
          <t>G-3(주주권리 보강)</t>
        </is>
      </c>
      <c r="I27" s="7" t="n"/>
      <c r="J27" s="16" t="n"/>
    </row>
    <row r="28">
      <c r="A28" s="9" t="n">
        <v>26</v>
      </c>
      <c r="B28" s="7" t="inlineStr">
        <is>
          <t>핵심원칙1_주주의권리</t>
        </is>
      </c>
      <c r="C28" s="6" t="inlineStr">
        <is>
          <t>1-③_주주제안권</t>
        </is>
      </c>
      <c r="D28" s="15" t="inlineStr">
        <is>
          <t>111</t>
        </is>
      </c>
      <c r="E28" s="7" t="inlineStr">
        <is>
          <t>공개서한 접수 여부 및 처리현황</t>
        </is>
      </c>
      <c r="F28" s="15" t="inlineStr">
        <is>
          <t>OX/텍스트</t>
        </is>
      </c>
      <c r="G28" s="7" t="inlineStr">
        <is>
          <t>기업지배구조보고서</t>
        </is>
      </c>
      <c r="H28" s="6" t="inlineStr">
        <is>
          <t>G-3(주주권리 보강)</t>
        </is>
      </c>
      <c r="I28" s="7" t="n"/>
      <c r="J28" s="16" t="n"/>
    </row>
    <row r="29">
      <c r="A29" s="9" t="n">
        <v>27</v>
      </c>
      <c r="B29" s="7" t="inlineStr">
        <is>
          <t>핵심원칙1_주주의권리</t>
        </is>
      </c>
      <c r="C29" s="6" t="inlineStr">
        <is>
          <t>1-④_주주환원정책</t>
        </is>
      </c>
      <c r="D29" s="15" t="inlineStr">
        <is>
          <t>112</t>
        </is>
      </c>
      <c r="E29" s="7" t="inlineStr">
        <is>
          <t>주주환원정책(배당 포함) 수립여부</t>
        </is>
      </c>
      <c r="F29" s="15" t="inlineStr">
        <is>
          <t>OX</t>
        </is>
      </c>
      <c r="G29" s="7" t="inlineStr">
        <is>
          <t>기업지배구조보고서</t>
        </is>
      </c>
      <c r="H29" s="6" t="inlineStr">
        <is>
          <t>G-3-4</t>
        </is>
      </c>
      <c r="I29" s="7" t="n"/>
      <c r="J29" s="16" t="n"/>
    </row>
    <row r="30">
      <c r="A30" s="9" t="n">
        <v>28</v>
      </c>
      <c r="B30" s="7" t="inlineStr">
        <is>
          <t>핵심원칙1_주주의권리</t>
        </is>
      </c>
      <c r="C30" s="6" t="inlineStr">
        <is>
          <t>1-④_주주환원정책</t>
        </is>
      </c>
      <c r="D30" s="15" t="inlineStr">
        <is>
          <t>113</t>
        </is>
      </c>
      <c r="E30" s="7" t="inlineStr">
        <is>
          <t>주주환원정책 연1회 통지 여부</t>
        </is>
      </c>
      <c r="F30" s="15" t="inlineStr">
        <is>
          <t>OX</t>
        </is>
      </c>
      <c r="G30" s="7" t="inlineStr">
        <is>
          <t>기업지배구조보고서</t>
        </is>
      </c>
      <c r="H30" s="6" t="inlineStr">
        <is>
          <t>G-3-4</t>
        </is>
      </c>
      <c r="I30" s="7" t="n"/>
      <c r="J30" s="16" t="n"/>
    </row>
    <row r="31">
      <c r="A31" s="9" t="n">
        <v>29</v>
      </c>
      <c r="B31" s="7" t="inlineStr">
        <is>
          <t>핵심원칙1_주주의권리</t>
        </is>
      </c>
      <c r="C31" s="6" t="inlineStr">
        <is>
          <t>1-④_주주환원정책</t>
        </is>
      </c>
      <c r="D31" s="15" t="inlineStr">
        <is>
          <t>114</t>
        </is>
      </c>
      <c r="E31" s="7" t="inlineStr">
        <is>
          <t>주주환원정책 영문자료 제공 여부</t>
        </is>
      </c>
      <c r="F31" s="15" t="inlineStr">
        <is>
          <t>OX</t>
        </is>
      </c>
      <c r="G31" s="7" t="inlineStr">
        <is>
          <t>기업지배구조보고서</t>
        </is>
      </c>
      <c r="H31" s="6" t="inlineStr">
        <is>
          <t>G-3-4</t>
        </is>
      </c>
      <c r="I31" s="7" t="n"/>
      <c r="J31" s="16" t="n"/>
    </row>
    <row r="32">
      <c r="A32" s="9" t="n">
        <v>30</v>
      </c>
      <c r="B32" s="7" t="inlineStr">
        <is>
          <t>핵심원칙1_주주의권리</t>
        </is>
      </c>
      <c r="C32" s="6" t="inlineStr">
        <is>
          <t>1-④_주주환원정책</t>
        </is>
      </c>
      <c r="D32" s="15" t="inlineStr">
        <is>
          <t>115</t>
        </is>
      </c>
      <c r="E32" s="7" t="inlineStr">
        <is>
          <t>현금배당 관련 예측가능성 제공(배당기준일 이전 배당결정)</t>
        </is>
      </c>
      <c r="F32" s="15" t="inlineStr">
        <is>
          <t>OX</t>
        </is>
      </c>
      <c r="G32" s="7" t="inlineStr">
        <is>
          <t>기업지배구조보고서</t>
        </is>
      </c>
      <c r="H32" s="6" t="inlineStr">
        <is>
          <t>G-3-4</t>
        </is>
      </c>
      <c r="I32" s="7" t="inlineStr">
        <is>
          <t>표 1-4-1</t>
        </is>
      </c>
      <c r="J32" s="16" t="n"/>
    </row>
    <row r="33">
      <c r="A33" s="9" t="n">
        <v>31</v>
      </c>
      <c r="B33" s="7" t="inlineStr">
        <is>
          <t>핵심원칙1_주주의권리</t>
        </is>
      </c>
      <c r="C33" s="6" t="inlineStr">
        <is>
          <t>1-④_주주환원정책</t>
        </is>
      </c>
      <c r="D33" s="15" t="inlineStr">
        <is>
          <t>116</t>
        </is>
      </c>
      <c r="E33" s="7" t="inlineStr">
        <is>
          <t>상장회사협의회 표준정관 개정 반영 여부</t>
        </is>
      </c>
      <c r="F33" s="15" t="inlineStr">
        <is>
          <t>OX</t>
        </is>
      </c>
      <c r="G33" s="7" t="inlineStr">
        <is>
          <t>기업지배구조보고서</t>
        </is>
      </c>
      <c r="H33" s="6" t="inlineStr">
        <is>
          <t>G-3-4</t>
        </is>
      </c>
      <c r="I33" s="7" t="n"/>
      <c r="J33" s="16" t="n"/>
    </row>
    <row r="34">
      <c r="A34" s="9" t="n">
        <v>32</v>
      </c>
      <c r="B34" s="7" t="inlineStr">
        <is>
          <t>핵심원칙1_주주의권리</t>
        </is>
      </c>
      <c r="C34" s="6" t="inlineStr">
        <is>
          <t>1-⑤_배당등주주권리</t>
        </is>
      </c>
      <c r="D34" s="15" t="inlineStr">
        <is>
          <t>117</t>
        </is>
      </c>
      <c r="E34" s="7" t="inlineStr">
        <is>
          <t>최근 3개년 주당 배당금</t>
        </is>
      </c>
      <c r="F34" s="15" t="inlineStr">
        <is>
          <t>숫자</t>
        </is>
      </c>
      <c r="G34" s="7" t="inlineStr">
        <is>
          <t>기업지배구조보고서/지속가능경영보고서</t>
        </is>
      </c>
      <c r="H34" s="6" t="inlineStr">
        <is>
          <t>G-3-4</t>
        </is>
      </c>
      <c r="I34" s="7" t="inlineStr">
        <is>
          <t>표 1-5-1-1</t>
        </is>
      </c>
      <c r="J34" s="16" t="n"/>
    </row>
    <row r="35">
      <c r="A35" s="9" t="n">
        <v>33</v>
      </c>
      <c r="B35" s="7" t="inlineStr">
        <is>
          <t>핵심원칙1_주주의권리</t>
        </is>
      </c>
      <c r="C35" s="6" t="inlineStr">
        <is>
          <t>1-⑤_배당등주주권리</t>
        </is>
      </c>
      <c r="D35" s="15" t="inlineStr">
        <is>
          <t>118</t>
        </is>
      </c>
      <c r="E35" s="7" t="inlineStr">
        <is>
          <t>최근 3개년 시가배당률(%)</t>
        </is>
      </c>
      <c r="F35" s="15" t="inlineStr">
        <is>
          <t>숫자</t>
        </is>
      </c>
      <c r="G35" s="7" t="inlineStr">
        <is>
          <t>기업지배구조보고서/지속가능경영보고서</t>
        </is>
      </c>
      <c r="H35" s="6" t="inlineStr">
        <is>
          <t>G-3-4</t>
        </is>
      </c>
      <c r="I35" s="7" t="n"/>
      <c r="J35" s="16" t="n"/>
    </row>
    <row r="36">
      <c r="A36" s="9" t="n">
        <v>34</v>
      </c>
      <c r="B36" s="7" t="inlineStr">
        <is>
          <t>핵심원칙1_주주의권리</t>
        </is>
      </c>
      <c r="C36" s="6" t="inlineStr">
        <is>
          <t>1-⑤_배당등주주권리</t>
        </is>
      </c>
      <c r="D36" s="15" t="inlineStr">
        <is>
          <t>119</t>
        </is>
      </c>
      <c r="E36" s="7" t="inlineStr">
        <is>
          <t>최근 3개년 현금배당성향(연결/개별, %)</t>
        </is>
      </c>
      <c r="F36" s="15" t="inlineStr">
        <is>
          <t>숫자</t>
        </is>
      </c>
      <c r="G36" s="7" t="inlineStr">
        <is>
          <t>기업지배구조보고서/지속가능경영보고서</t>
        </is>
      </c>
      <c r="H36" s="6" t="inlineStr">
        <is>
          <t>G-3-4</t>
        </is>
      </c>
      <c r="I36" s="7" t="inlineStr">
        <is>
          <t>표 1-5-1-2</t>
        </is>
      </c>
      <c r="J36" s="16" t="n"/>
    </row>
    <row r="37">
      <c r="A37" s="9" t="n">
        <v>35</v>
      </c>
      <c r="B37" s="7" t="inlineStr">
        <is>
          <t>핵심원칙1_주주의권리</t>
        </is>
      </c>
      <c r="C37" s="6" t="inlineStr">
        <is>
          <t>1-⑤_배당등주주권리</t>
        </is>
      </c>
      <c r="D37" s="15" t="inlineStr">
        <is>
          <t>120</t>
        </is>
      </c>
      <c r="E37" s="7" t="inlineStr">
        <is>
          <t>차등배당·분기배당·중간배당 실시여부</t>
        </is>
      </c>
      <c r="F37" s="15" t="inlineStr">
        <is>
          <t>OX</t>
        </is>
      </c>
      <c r="G37" s="7" t="inlineStr">
        <is>
          <t>기업지배구조보고서</t>
        </is>
      </c>
      <c r="H37" s="6" t="inlineStr">
        <is>
          <t>G-3-4</t>
        </is>
      </c>
      <c r="I37" s="7" t="n"/>
      <c r="J37" s="16" t="n"/>
    </row>
    <row r="38">
      <c r="A38" s="9" t="n">
        <v>36</v>
      </c>
      <c r="B38" s="7" t="inlineStr">
        <is>
          <t>핵심원칙1_주주의권리</t>
        </is>
      </c>
      <c r="C38" s="6" t="inlineStr">
        <is>
          <t>1-⑤_배당등주주권리</t>
        </is>
      </c>
      <c r="D38" s="15" t="inlineStr">
        <is>
          <t>121</t>
        </is>
      </c>
      <c r="E38" s="7" t="inlineStr">
        <is>
          <t>자사주 매입·소각 등 배당외 주주환원 실시내역</t>
        </is>
      </c>
      <c r="F38" s="15" t="inlineStr">
        <is>
          <t>텍스트</t>
        </is>
      </c>
      <c r="G38" s="7" t="inlineStr">
        <is>
          <t>기업지배구조보고서/지속가능경영보고서</t>
        </is>
      </c>
      <c r="H38" s="6" t="inlineStr">
        <is>
          <t>G-3-4</t>
        </is>
      </c>
      <c r="I38" s="7" t="n"/>
      <c r="J38" s="16" t="n"/>
    </row>
    <row r="39">
      <c r="A39" s="9" t="n">
        <v>37</v>
      </c>
      <c r="B39" s="7" t="inlineStr">
        <is>
          <t>핵심원칙2_주주의공평한대우</t>
        </is>
      </c>
      <c r="C39" s="6" t="inlineStr">
        <is>
          <t>2-①_의결권및정보제공</t>
        </is>
      </c>
      <c r="D39" s="15" t="inlineStr">
        <is>
          <t>201</t>
        </is>
      </c>
      <c r="E39" s="7" t="inlineStr">
        <is>
          <t>발행가능주식총수 대비 발행주식수(%)</t>
        </is>
      </c>
      <c r="F39" s="15" t="inlineStr">
        <is>
          <t>숫자</t>
        </is>
      </c>
      <c r="G39" s="7" t="inlineStr">
        <is>
          <t>기업지배구조보고서</t>
        </is>
      </c>
      <c r="H39" s="6" t="inlineStr">
        <is>
          <t>G-3(주주권리 보강)</t>
        </is>
      </c>
      <c r="I39" s="7" t="n"/>
      <c r="J39" s="16" t="n"/>
    </row>
    <row r="40">
      <c r="A40" s="9" t="n">
        <v>38</v>
      </c>
      <c r="B40" s="7" t="inlineStr">
        <is>
          <t>핵심원칙2_주주의공평한대우</t>
        </is>
      </c>
      <c r="C40" s="6" t="inlineStr">
        <is>
          <t>2-①_의결권및정보제공</t>
        </is>
      </c>
      <c r="D40" s="15" t="inlineStr">
        <is>
          <t>202</t>
        </is>
      </c>
      <c r="E40" s="7" t="inlineStr">
        <is>
          <t>종류주식별 의결권 부여 내용</t>
        </is>
      </c>
      <c r="F40" s="15" t="inlineStr">
        <is>
          <t>텍스트</t>
        </is>
      </c>
      <c r="G40" s="7" t="inlineStr">
        <is>
          <t>기업지배구조보고서</t>
        </is>
      </c>
      <c r="H40" s="6" t="inlineStr">
        <is>
          <t>G-3(주주권리 보강)</t>
        </is>
      </c>
      <c r="I40" s="7" t="n"/>
      <c r="J40" s="16" t="n"/>
    </row>
    <row r="41">
      <c r="A41" s="9" t="n">
        <v>39</v>
      </c>
      <c r="B41" s="7" t="inlineStr">
        <is>
          <t>핵심원칙2_주주의공평한대우</t>
        </is>
      </c>
      <c r="C41" s="6" t="inlineStr">
        <is>
          <t>2-①_의결권및정보제공</t>
        </is>
      </c>
      <c r="D41" s="15" t="inlineStr">
        <is>
          <t>203</t>
        </is>
      </c>
      <c r="E41" s="7" t="inlineStr">
        <is>
          <t>IR·컨퍼런스콜 등 주주와의 대화 개최 여부</t>
        </is>
      </c>
      <c r="F41" s="15" t="inlineStr">
        <is>
          <t>OX</t>
        </is>
      </c>
      <c r="G41" s="7" t="inlineStr">
        <is>
          <t>기업지배구조보고서/지속가능경영보고서</t>
        </is>
      </c>
      <c r="H41" s="6" t="inlineStr">
        <is>
          <t>G-3(주주권리 보강)</t>
        </is>
      </c>
      <c r="I41" s="7" t="n"/>
      <c r="J41" s="16" t="n"/>
    </row>
    <row r="42">
      <c r="A42" s="9" t="n">
        <v>40</v>
      </c>
      <c r="B42" s="7" t="inlineStr">
        <is>
          <t>핵심원칙2_주주의공평한대우</t>
        </is>
      </c>
      <c r="C42" s="6" t="inlineStr">
        <is>
          <t>2-①_의결권및정보제공</t>
        </is>
      </c>
      <c r="D42" s="15" t="inlineStr">
        <is>
          <t>204</t>
        </is>
      </c>
      <c r="E42" s="7" t="inlineStr">
        <is>
          <t>소액주주 별도 소통행사 개최여부</t>
        </is>
      </c>
      <c r="F42" s="15" t="inlineStr">
        <is>
          <t>OX</t>
        </is>
      </c>
      <c r="G42" s="7" t="inlineStr">
        <is>
          <t>기업지배구조보고서/지속가능경영보고서</t>
        </is>
      </c>
      <c r="H42" s="6" t="inlineStr">
        <is>
          <t>G-3(주주권리 보강)</t>
        </is>
      </c>
      <c r="I42" s="7" t="n"/>
      <c r="J42" s="16" t="n"/>
    </row>
    <row r="43">
      <c r="A43" s="9" t="n">
        <v>41</v>
      </c>
      <c r="B43" s="7" t="inlineStr">
        <is>
          <t>핵심원칙2_주주의공평한대우</t>
        </is>
      </c>
      <c r="C43" s="6" t="inlineStr">
        <is>
          <t>2-①_의결권및정보제공</t>
        </is>
      </c>
      <c r="D43" s="15" t="inlineStr">
        <is>
          <t>205</t>
        </is>
      </c>
      <c r="E43" s="7" t="inlineStr">
        <is>
          <t>해외투자자 별도 소통행사 개최여부</t>
        </is>
      </c>
      <c r="F43" s="15" t="inlineStr">
        <is>
          <t>OX</t>
        </is>
      </c>
      <c r="G43" s="7" t="inlineStr">
        <is>
          <t>기업지배구조보고서/지속가능경영보고서</t>
        </is>
      </c>
      <c r="H43" s="6" t="inlineStr">
        <is>
          <t>G-3(주주권리 보강)</t>
        </is>
      </c>
      <c r="I43" s="7" t="n"/>
      <c r="J43" s="16" t="n"/>
    </row>
    <row r="44">
      <c r="A44" s="9" t="n">
        <v>42</v>
      </c>
      <c r="B44" s="7" t="inlineStr">
        <is>
          <t>핵심원칙2_주주의공평한대우</t>
        </is>
      </c>
      <c r="C44" s="6" t="inlineStr">
        <is>
          <t>2-①_의결권및정보제공</t>
        </is>
      </c>
      <c r="D44" s="15" t="inlineStr">
        <is>
          <t>206</t>
        </is>
      </c>
      <c r="E44" s="7" t="inlineStr">
        <is>
          <t>IR 담당부서 연락처 상세 안내(문의창구) 시행여부</t>
        </is>
      </c>
      <c r="F44" s="15" t="inlineStr">
        <is>
          <t>OX</t>
        </is>
      </c>
      <c r="G44" s="7" t="inlineStr">
        <is>
          <t>기업지배구조보고서/지속가능경영보고서</t>
        </is>
      </c>
      <c r="H44" s="6" t="inlineStr">
        <is>
          <t>G-3(주주권리 보강)</t>
        </is>
      </c>
      <c r="I44" s="7" t="n"/>
      <c r="J44" s="16" t="n"/>
    </row>
    <row r="45">
      <c r="A45" s="9" t="n">
        <v>43</v>
      </c>
      <c r="B45" s="7" t="inlineStr">
        <is>
          <t>핵심원칙2_주주의공평한대우</t>
        </is>
      </c>
      <c r="C45" s="6" t="inlineStr">
        <is>
          <t>2-①_의결권및정보제공</t>
        </is>
      </c>
      <c r="D45" s="15" t="inlineStr">
        <is>
          <t>207</t>
        </is>
      </c>
      <c r="E45" s="7" t="inlineStr">
        <is>
          <t>영문 IR 사이트 운영 여부</t>
        </is>
      </c>
      <c r="F45" s="15" t="inlineStr">
        <is>
          <t>OX</t>
        </is>
      </c>
      <c r="G45" s="7" t="inlineStr">
        <is>
          <t>기업지배구조보고서/지속가능경영보고서</t>
        </is>
      </c>
      <c r="H45" s="6" t="inlineStr">
        <is>
          <t>G-3(주주권리 보강)</t>
        </is>
      </c>
      <c r="I45" s="7" t="n"/>
      <c r="J45" s="16" t="n"/>
    </row>
    <row r="46">
      <c r="A46" s="9" t="n">
        <v>44</v>
      </c>
      <c r="B46" s="7" t="inlineStr">
        <is>
          <t>핵심원칙2_주주의공평한대우</t>
        </is>
      </c>
      <c r="C46" s="6" t="inlineStr">
        <is>
          <t>2-①_의결권및정보제공</t>
        </is>
      </c>
      <c r="D46" s="15" t="inlineStr">
        <is>
          <t>208</t>
        </is>
      </c>
      <c r="E46" s="7" t="inlineStr">
        <is>
          <t>외국인 담당 직원 지정 여부</t>
        </is>
      </c>
      <c r="F46" s="15" t="inlineStr">
        <is>
          <t>OX</t>
        </is>
      </c>
      <c r="G46" s="7" t="inlineStr">
        <is>
          <t>기업지배구조보고서</t>
        </is>
      </c>
      <c r="H46" s="6" t="inlineStr">
        <is>
          <t>G-3(주주권리 보강)</t>
        </is>
      </c>
      <c r="I46" s="7" t="n"/>
      <c r="J46" s="16" t="n"/>
    </row>
    <row r="47">
      <c r="A47" s="9" t="n">
        <v>45</v>
      </c>
      <c r="B47" s="7" t="inlineStr">
        <is>
          <t>핵심원칙2_주주의공평한대우</t>
        </is>
      </c>
      <c r="C47" s="6" t="inlineStr">
        <is>
          <t>2-①_의결권및정보제공</t>
        </is>
      </c>
      <c r="D47" s="15" t="inlineStr">
        <is>
          <t>209</t>
        </is>
      </c>
      <c r="E47" s="7" t="inlineStr">
        <is>
          <t>영문공시 비율(%)</t>
        </is>
      </c>
      <c r="F47" s="15" t="inlineStr">
        <is>
          <t>숫자</t>
        </is>
      </c>
      <c r="G47" s="7" t="inlineStr">
        <is>
          <t>기업지배구조보고서</t>
        </is>
      </c>
      <c r="H47" s="6" t="inlineStr">
        <is>
          <t>G-3(주주권리 보강)</t>
        </is>
      </c>
      <c r="I47" s="7" t="n"/>
      <c r="J47" s="16" t="n"/>
    </row>
    <row r="48">
      <c r="A48" s="9" t="n">
        <v>46</v>
      </c>
      <c r="B48" s="7" t="inlineStr">
        <is>
          <t>핵심원칙2_주주의공평한대우</t>
        </is>
      </c>
      <c r="C48" s="6" t="inlineStr">
        <is>
          <t>2-①_의결권및정보제공</t>
        </is>
      </c>
      <c r="D48" s="15" t="inlineStr">
        <is>
          <t>210</t>
        </is>
      </c>
      <c r="E48" s="7" t="inlineStr">
        <is>
          <t>불성실공시법인 지정 여부·건수</t>
        </is>
      </c>
      <c r="F48" s="15" t="inlineStr">
        <is>
          <t>OX/숫자</t>
        </is>
      </c>
      <c r="G48" s="7" t="inlineStr">
        <is>
          <t>사업보고서(DART)</t>
        </is>
      </c>
      <c r="H48" s="6" t="inlineStr">
        <is>
          <t>G-3(주주권리 보강)</t>
        </is>
      </c>
      <c r="I48" s="7" t="n"/>
      <c r="J48" s="16" t="n"/>
    </row>
    <row r="49">
      <c r="A49" s="9" t="n">
        <v>47</v>
      </c>
      <c r="B49" s="7" t="inlineStr">
        <is>
          <t>핵심원칙2_주주의공평한대우</t>
        </is>
      </c>
      <c r="C49" s="6" t="inlineStr">
        <is>
          <t>2-②_내부거래통제</t>
        </is>
      </c>
      <c r="D49" s="15" t="inlineStr">
        <is>
          <t>211</t>
        </is>
      </c>
      <c r="E49" s="7" t="inlineStr">
        <is>
          <t>내부거래·자기거래 통제 정책(포괄적 이사회 의결 등) 시행여부</t>
        </is>
      </c>
      <c r="F49" s="15" t="inlineStr">
        <is>
          <t>OX</t>
        </is>
      </c>
      <c r="G49" s="7" t="inlineStr">
        <is>
          <t>기업지배구조보고서</t>
        </is>
      </c>
      <c r="H49" s="6" t="inlineStr">
        <is>
          <t>G-3(주주권리 보강)</t>
        </is>
      </c>
      <c r="I49" s="7" t="n"/>
      <c r="J49" s="16" t="n"/>
    </row>
    <row r="50">
      <c r="A50" s="9" t="n">
        <v>48</v>
      </c>
      <c r="B50" s="7" t="inlineStr">
        <is>
          <t>핵심원칙2_주주의공평한대우</t>
        </is>
      </c>
      <c r="C50" s="6" t="inlineStr">
        <is>
          <t>2-③_소유구조변동시주주보호</t>
        </is>
      </c>
      <c r="D50" s="15" t="inlineStr">
        <is>
          <t>212</t>
        </is>
      </c>
      <c r="E50" s="7" t="inlineStr">
        <is>
          <t>합병·영업양수도·분할 등 소액주주 보호 정책마련 여부</t>
        </is>
      </c>
      <c r="F50" s="15" t="inlineStr">
        <is>
          <t>OX</t>
        </is>
      </c>
      <c r="G50" s="7" t="inlineStr">
        <is>
          <t>기업지배구조보고서</t>
        </is>
      </c>
      <c r="H50" s="6" t="inlineStr">
        <is>
          <t>G-3(주주권리 보강)</t>
        </is>
      </c>
      <c r="I50" s="7" t="n"/>
      <c r="J50" s="16" t="n"/>
    </row>
    <row r="51">
      <c r="A51" s="9" t="n">
        <v>49</v>
      </c>
      <c r="B51" s="7" t="inlineStr">
        <is>
          <t>핵심원칙2_주주의공평한대우</t>
        </is>
      </c>
      <c r="C51" s="6" t="inlineStr">
        <is>
          <t>2-③_소유구조변동시주주보호</t>
        </is>
      </c>
      <c r="D51" s="15" t="inlineStr">
        <is>
          <t>213</t>
        </is>
      </c>
      <c r="E51" s="7" t="inlineStr">
        <is>
          <t>공시대상기간 중 합병 등 계획·시행 여부</t>
        </is>
      </c>
      <c r="F51" s="15" t="inlineStr">
        <is>
          <t>OX</t>
        </is>
      </c>
      <c r="G51" s="7" t="inlineStr">
        <is>
          <t>기업지배구조보고서</t>
        </is>
      </c>
      <c r="H51" s="6" t="inlineStr">
        <is>
          <t>G-3(주주권리 보강)</t>
        </is>
      </c>
      <c r="I51" s="7" t="n"/>
      <c r="J51" s="16" t="n"/>
    </row>
    <row r="52">
      <c r="A52" s="9" t="n">
        <v>50</v>
      </c>
      <c r="B52" s="7" t="inlineStr">
        <is>
          <t>핵심원칙2_주주의공평한대우</t>
        </is>
      </c>
      <c r="C52" s="6" t="inlineStr">
        <is>
          <t>2-③_소유구조변동시주주보호</t>
        </is>
      </c>
      <c r="D52" s="15" t="inlineStr">
        <is>
          <t>214</t>
        </is>
      </c>
      <c r="E52" s="7" t="inlineStr">
        <is>
          <t>주식전환 가능 자본조달(CB/BW/EB 등) 발행 여부</t>
        </is>
      </c>
      <c r="F52" s="15" t="inlineStr">
        <is>
          <t>OX</t>
        </is>
      </c>
      <c r="G52" s="7" t="inlineStr">
        <is>
          <t>사업보고서(DART)</t>
        </is>
      </c>
      <c r="H52" s="6" t="inlineStr">
        <is>
          <t>G-3(주주권리 보강)</t>
        </is>
      </c>
      <c r="I52" s="7" t="n"/>
      <c r="J52" s="16" t="n"/>
    </row>
    <row r="53">
      <c r="A53" s="9" t="n">
        <v>51</v>
      </c>
      <c r="B53" s="7" t="inlineStr">
        <is>
          <t>핵심원칙3_이사회기능</t>
        </is>
      </c>
      <c r="C53" s="6" t="inlineStr">
        <is>
          <t>3-①_경영의사결정및감독</t>
        </is>
      </c>
      <c r="D53" s="15" t="inlineStr">
        <is>
          <t>301</t>
        </is>
      </c>
      <c r="E53" s="7" t="inlineStr">
        <is>
          <t>이사회 심의·의결사항 및 법정 외 강화기준 존재여부</t>
        </is>
      </c>
      <c r="F53" s="15" t="inlineStr">
        <is>
          <t>OX/텍스트</t>
        </is>
      </c>
      <c r="G53" s="7" t="inlineStr">
        <is>
          <t>기업지배구조보고서</t>
        </is>
      </c>
      <c r="H53" s="6" t="inlineStr">
        <is>
          <t>G-1-1(이사회 기능 보강)</t>
        </is>
      </c>
      <c r="I53" s="7" t="n"/>
      <c r="J53" s="16" t="n"/>
    </row>
    <row r="54">
      <c r="A54" s="9" t="n">
        <v>52</v>
      </c>
      <c r="B54" s="7" t="inlineStr">
        <is>
          <t>핵심원칙3_이사회기능</t>
        </is>
      </c>
      <c r="C54" s="6" t="inlineStr">
        <is>
          <t>3-②_CEO승계정책</t>
        </is>
      </c>
      <c r="D54" s="15" t="inlineStr">
        <is>
          <t>302</t>
        </is>
      </c>
      <c r="E54" s="7" t="inlineStr">
        <is>
          <t>최고경영자 승계정책 수립 여부</t>
        </is>
      </c>
      <c r="F54" s="15" t="inlineStr">
        <is>
          <t>OX</t>
        </is>
      </c>
      <c r="G54" s="7" t="inlineStr">
        <is>
          <t>기업지배구조보고서</t>
        </is>
      </c>
      <c r="H54" s="6" t="inlineStr">
        <is>
          <t>G-경영진-추가1</t>
        </is>
      </c>
      <c r="I54" s="7" t="inlineStr">
        <is>
          <t>핵심지표 H06과 연계</t>
        </is>
      </c>
      <c r="J54" s="16" t="n"/>
    </row>
    <row r="55">
      <c r="A55" s="9" t="n">
        <v>53</v>
      </c>
      <c r="B55" s="7" t="inlineStr">
        <is>
          <t>핵심원칙3_이사회기능</t>
        </is>
      </c>
      <c r="C55" s="6" t="inlineStr">
        <is>
          <t>3-②_CEO승계정책</t>
        </is>
      </c>
      <c r="D55" s="15" t="inlineStr">
        <is>
          <t>303</t>
        </is>
      </c>
      <c r="E55" s="7" t="inlineStr">
        <is>
          <t>승계정책 내 후보(집단) 선정 절차 존재여부</t>
        </is>
      </c>
      <c r="F55" s="15" t="inlineStr">
        <is>
          <t>OX</t>
        </is>
      </c>
      <c r="G55" s="7" t="inlineStr">
        <is>
          <t>기업지배구조보고서</t>
        </is>
      </c>
      <c r="H55" s="6" t="inlineStr">
        <is>
          <t>G-경영진-추가1</t>
        </is>
      </c>
      <c r="I55" s="7" t="n"/>
      <c r="J55" s="16" t="n"/>
    </row>
    <row r="56">
      <c r="A56" s="9" t="n">
        <v>54</v>
      </c>
      <c r="B56" s="7" t="inlineStr">
        <is>
          <t>핵심원칙3_이사회기능</t>
        </is>
      </c>
      <c r="C56" s="6" t="inlineStr">
        <is>
          <t>3-②_CEO승계정책</t>
        </is>
      </c>
      <c r="D56" s="15" t="inlineStr">
        <is>
          <t>304</t>
        </is>
      </c>
      <c r="E56" s="7" t="inlineStr">
        <is>
          <t>후보군 교육 실시 여부</t>
        </is>
      </c>
      <c r="F56" s="15" t="inlineStr">
        <is>
          <t>OX</t>
        </is>
      </c>
      <c r="G56" s="7" t="inlineStr">
        <is>
          <t>기업지배구조보고서</t>
        </is>
      </c>
      <c r="H56" s="6" t="inlineStr">
        <is>
          <t>G-경영진-추가1</t>
        </is>
      </c>
      <c r="I56" s="7" t="n"/>
      <c r="J56" s="16" t="n"/>
    </row>
    <row r="57">
      <c r="A57" s="9" t="n">
        <v>55</v>
      </c>
      <c r="B57" s="7" t="inlineStr">
        <is>
          <t>핵심원칙3_이사회기능</t>
        </is>
      </c>
      <c r="C57" s="6" t="inlineStr">
        <is>
          <t>3-③_내부통제정책</t>
        </is>
      </c>
      <c r="D57" s="15" t="inlineStr">
        <is>
          <t>305</t>
        </is>
      </c>
      <c r="E57" s="7" t="inlineStr">
        <is>
          <t>전사 리스크관리 정책 마련 여부</t>
        </is>
      </c>
      <c r="F57" s="15" t="inlineStr">
        <is>
          <t>OX</t>
        </is>
      </c>
      <c r="G57" s="7" t="inlineStr">
        <is>
          <t>기업지배구조보고서</t>
        </is>
      </c>
      <c r="H57" s="6" t="inlineStr">
        <is>
          <t>G-4-1, G-5-1</t>
        </is>
      </c>
      <c r="I57" s="7" t="inlineStr">
        <is>
          <t>핵심지표 H07 구성요소</t>
        </is>
      </c>
      <c r="J57" s="16" t="n"/>
    </row>
    <row r="58">
      <c r="A58" s="9" t="n">
        <v>56</v>
      </c>
      <c r="B58" s="7" t="inlineStr">
        <is>
          <t>핵심원칙3_이사회기능</t>
        </is>
      </c>
      <c r="C58" s="6" t="inlineStr">
        <is>
          <t>3-③_내부통제정책</t>
        </is>
      </c>
      <c r="D58" s="15" t="inlineStr">
        <is>
          <t>306</t>
        </is>
      </c>
      <c r="E58" s="7" t="inlineStr">
        <is>
          <t>준법경영(윤리경영/행동강령) 정책 마련 여부</t>
        </is>
      </c>
      <c r="F58" s="15" t="inlineStr">
        <is>
          <t>OX</t>
        </is>
      </c>
      <c r="G58" s="7" t="inlineStr">
        <is>
          <t>기업지배구조보고서/지속가능경영보고서</t>
        </is>
      </c>
      <c r="H58" s="6" t="inlineStr">
        <is>
          <t>G-4-1, G-5-1</t>
        </is>
      </c>
      <c r="I58" s="7" t="n"/>
      <c r="J58" s="16" t="n"/>
    </row>
    <row r="59">
      <c r="A59" s="9" t="n">
        <v>57</v>
      </c>
      <c r="B59" s="7" t="inlineStr">
        <is>
          <t>핵심원칙3_이사회기능</t>
        </is>
      </c>
      <c r="C59" s="6" t="inlineStr">
        <is>
          <t>3-③_내부통제정책</t>
        </is>
      </c>
      <c r="D59" s="15" t="inlineStr">
        <is>
          <t>307</t>
        </is>
      </c>
      <c r="E59" s="7" t="inlineStr">
        <is>
          <t>내부회계관리 정책 마련 여부</t>
        </is>
      </c>
      <c r="F59" s="15" t="inlineStr">
        <is>
          <t>OX</t>
        </is>
      </c>
      <c r="G59" s="7" t="inlineStr">
        <is>
          <t>기업지배구조보고서</t>
        </is>
      </c>
      <c r="H59" s="6" t="inlineStr">
        <is>
          <t>G-4-1, G-5-1</t>
        </is>
      </c>
      <c r="I59" s="7" t="n"/>
      <c r="J59" s="16" t="n"/>
    </row>
    <row r="60">
      <c r="A60" s="9" t="n">
        <v>58</v>
      </c>
      <c r="B60" s="7" t="inlineStr">
        <is>
          <t>핵심원칙3_이사회기능</t>
        </is>
      </c>
      <c r="C60" s="6" t="inlineStr">
        <is>
          <t>3-③_내부통제정책</t>
        </is>
      </c>
      <c r="D60" s="15" t="inlineStr">
        <is>
          <t>308</t>
        </is>
      </c>
      <c r="E60" s="7" t="inlineStr">
        <is>
          <t>공시정보관리 정책 마련 여부</t>
        </is>
      </c>
      <c r="F60" s="15" t="inlineStr">
        <is>
          <t>OX</t>
        </is>
      </c>
      <c r="G60" s="7" t="inlineStr">
        <is>
          <t>기업지배구조보고서</t>
        </is>
      </c>
      <c r="H60" s="6" t="inlineStr">
        <is>
          <t>G-4-1, G-5-1</t>
        </is>
      </c>
      <c r="I60" s="7" t="n"/>
      <c r="J60" s="16" t="n"/>
    </row>
    <row r="61">
      <c r="A61" s="9" t="n">
        <v>59</v>
      </c>
      <c r="B61" s="7" t="inlineStr">
        <is>
          <t>핵심원칙4_이사회구성</t>
        </is>
      </c>
      <c r="C61" s="6" t="inlineStr">
        <is>
          <t>4-①_이사회구성및독립성</t>
        </is>
      </c>
      <c r="D61" s="15" t="inlineStr">
        <is>
          <t>401</t>
        </is>
      </c>
      <c r="E61" s="7" t="inlineStr">
        <is>
          <t>이사 총원(사내/사외/기타비상무 인원수)</t>
        </is>
      </c>
      <c r="F61" s="15" t="inlineStr">
        <is>
          <t>숫자</t>
        </is>
      </c>
      <c r="G61" s="7" t="inlineStr">
        <is>
          <t>기업지배구조보고서/지속가능경영보고서</t>
        </is>
      </c>
      <c r="H61" s="6" t="inlineStr">
        <is>
          <t>G-1-2, G-1-3</t>
        </is>
      </c>
      <c r="I61" s="7" t="inlineStr">
        <is>
          <t>표 4-1-2</t>
        </is>
      </c>
      <c r="J61" s="16" t="n"/>
    </row>
    <row r="62">
      <c r="A62" s="9" t="n">
        <v>60</v>
      </c>
      <c r="B62" s="7" t="inlineStr">
        <is>
          <t>핵심원칙4_이사회구성</t>
        </is>
      </c>
      <c r="C62" s="6" t="inlineStr">
        <is>
          <t>4-①_이사회구성및독립성</t>
        </is>
      </c>
      <c r="D62" s="15" t="inlineStr">
        <is>
          <t>402</t>
        </is>
      </c>
      <c r="E62" s="7" t="inlineStr">
        <is>
          <t>사외이사 비율(%)</t>
        </is>
      </c>
      <c r="F62" s="15" t="inlineStr">
        <is>
          <t>숫자</t>
        </is>
      </c>
      <c r="G62" s="7" t="inlineStr">
        <is>
          <t>기업지배구조보고서/지속가능경영보고서</t>
        </is>
      </c>
      <c r="H62" s="6" t="inlineStr">
        <is>
          <t>G-1-2, G-1-3</t>
        </is>
      </c>
      <c r="I62" s="7" t="n"/>
      <c r="J62" s="16" t="n"/>
    </row>
    <row r="63">
      <c r="A63" s="9" t="n">
        <v>61</v>
      </c>
      <c r="B63" s="7" t="inlineStr">
        <is>
          <t>핵심원칙4_이사회구성</t>
        </is>
      </c>
      <c r="C63" s="6" t="inlineStr">
        <is>
          <t>4-①_이사회구성및독립성</t>
        </is>
      </c>
      <c r="D63" s="15" t="inlineStr">
        <is>
          <t>403</t>
        </is>
      </c>
      <c r="E63" s="7" t="inlineStr">
        <is>
          <t>이사회 내 위원회 목록 및 위원 구성</t>
        </is>
      </c>
      <c r="F63" s="15" t="inlineStr">
        <is>
          <t>텍스트</t>
        </is>
      </c>
      <c r="G63" s="7" t="inlineStr">
        <is>
          <t>기업지배구조보고서</t>
        </is>
      </c>
      <c r="H63" s="6" t="inlineStr">
        <is>
          <t>G-1-2, G-1-3</t>
        </is>
      </c>
      <c r="I63" s="7" t="inlineStr">
        <is>
          <t>표 4-1-3-1/2</t>
        </is>
      </c>
      <c r="J63" s="16" t="n"/>
    </row>
    <row r="64">
      <c r="A64" s="9" t="n">
        <v>62</v>
      </c>
      <c r="B64" s="7" t="inlineStr">
        <is>
          <t>핵심원칙4_이사회구성</t>
        </is>
      </c>
      <c r="C64" s="6" t="inlineStr">
        <is>
          <t>4-①_이사회구성및독립성</t>
        </is>
      </c>
      <c r="D64" s="15" t="inlineStr">
        <is>
          <t>404</t>
        </is>
      </c>
      <c r="E64" s="7" t="inlineStr">
        <is>
          <t>ESG(지속가능경영)위원회 설치 여부</t>
        </is>
      </c>
      <c r="F64" s="15" t="inlineStr">
        <is>
          <t>OX</t>
        </is>
      </c>
      <c r="G64" s="7" t="inlineStr">
        <is>
          <t>기업지배구조보고서/지속가능경영보고서</t>
        </is>
      </c>
      <c r="H64" s="6" t="inlineStr">
        <is>
          <t>G-1-2, G-1-3</t>
        </is>
      </c>
      <c r="I64" s="7" t="n"/>
      <c r="J64" s="16" t="n"/>
    </row>
    <row r="65">
      <c r="A65" s="9" t="n">
        <v>63</v>
      </c>
      <c r="B65" s="7" t="inlineStr">
        <is>
          <t>핵심원칙4_이사회구성</t>
        </is>
      </c>
      <c r="C65" s="6" t="inlineStr">
        <is>
          <t>4-①_이사회구성및독립성</t>
        </is>
      </c>
      <c r="D65" s="15" t="inlineStr">
        <is>
          <t>405</t>
        </is>
      </c>
      <c r="E65" s="7" t="inlineStr">
        <is>
          <t>이사회 의장이 사외이사인지 여부</t>
        </is>
      </c>
      <c r="F65" s="15" t="inlineStr">
        <is>
          <t>OX</t>
        </is>
      </c>
      <c r="G65" s="7" t="inlineStr">
        <is>
          <t>기업지배구조보고서</t>
        </is>
      </c>
      <c r="H65" s="6" t="inlineStr">
        <is>
          <t>G-1-2, G-1-3</t>
        </is>
      </c>
      <c r="I65" s="7" t="inlineStr">
        <is>
          <t>핵심지표 H08</t>
        </is>
      </c>
      <c r="J65" s="16" t="n"/>
    </row>
    <row r="66">
      <c r="A66" s="9" t="n">
        <v>64</v>
      </c>
      <c r="B66" s="7" t="inlineStr">
        <is>
          <t>핵심원칙4_이사회구성</t>
        </is>
      </c>
      <c r="C66" s="6" t="inlineStr">
        <is>
          <t>4-①_이사회구성및독립성</t>
        </is>
      </c>
      <c r="D66" s="15" t="inlineStr">
        <is>
          <t>406</t>
        </is>
      </c>
      <c r="E66" s="7" t="inlineStr">
        <is>
          <t>선임사외이사 제도 시행 여부</t>
        </is>
      </c>
      <c r="F66" s="15" t="inlineStr">
        <is>
          <t>OX</t>
        </is>
      </c>
      <c r="G66" s="7" t="inlineStr">
        <is>
          <t>기업지배구조보고서</t>
        </is>
      </c>
      <c r="H66" s="6" t="inlineStr">
        <is>
          <t>G-1-2, G-1-3</t>
        </is>
      </c>
      <c r="I66" s="7" t="n"/>
      <c r="J66" s="16" t="n"/>
    </row>
    <row r="67">
      <c r="A67" s="9" t="n">
        <v>65</v>
      </c>
      <c r="B67" s="7" t="inlineStr">
        <is>
          <t>핵심원칙4_이사회구성</t>
        </is>
      </c>
      <c r="C67" s="6" t="inlineStr">
        <is>
          <t>4-①_이사회구성및독립성</t>
        </is>
      </c>
      <c r="D67" s="15" t="inlineStr">
        <is>
          <t>407</t>
        </is>
      </c>
      <c r="E67" s="7" t="inlineStr">
        <is>
          <t>집행임원 제도 시행 여부</t>
        </is>
      </c>
      <c r="F67" s="15" t="inlineStr">
        <is>
          <t>OX</t>
        </is>
      </c>
      <c r="G67" s="7" t="inlineStr">
        <is>
          <t>기업지배구조보고서</t>
        </is>
      </c>
      <c r="H67" s="6" t="inlineStr">
        <is>
          <t>G-1-2, G-1-3</t>
        </is>
      </c>
      <c r="I67" s="7" t="n"/>
      <c r="J67" s="16" t="n"/>
    </row>
    <row r="68">
      <c r="A68" s="9" t="n">
        <v>66</v>
      </c>
      <c r="B68" s="7" t="inlineStr">
        <is>
          <t>핵심원칙4_이사회구성</t>
        </is>
      </c>
      <c r="C68" s="6" t="inlineStr">
        <is>
          <t>4-②_전문성과다양성</t>
        </is>
      </c>
      <c r="D68" s="15" t="inlineStr">
        <is>
          <t>408</t>
        </is>
      </c>
      <c r="E68" s="7" t="inlineStr">
        <is>
          <t>이사회 성별구성 특례 적용대상 기업 여부</t>
        </is>
      </c>
      <c r="F68" s="15" t="inlineStr">
        <is>
          <t>OX</t>
        </is>
      </c>
      <c r="G68" s="7" t="inlineStr">
        <is>
          <t>기업지배구조보고서</t>
        </is>
      </c>
      <c r="H68" s="6" t="inlineStr">
        <is>
          <t>G-1-4</t>
        </is>
      </c>
      <c r="I68" s="7" t="inlineStr">
        <is>
          <t>자본시장법 §165의20</t>
        </is>
      </c>
      <c r="J68" s="16" t="n"/>
    </row>
    <row r="69">
      <c r="A69" s="9" t="n">
        <v>67</v>
      </c>
      <c r="B69" s="7" t="inlineStr">
        <is>
          <t>핵심원칙4_이사회구성</t>
        </is>
      </c>
      <c r="C69" s="6" t="inlineStr">
        <is>
          <t>4-②_전문성과다양성</t>
        </is>
      </c>
      <c r="D69" s="15" t="inlineStr">
        <is>
          <t>409</t>
        </is>
      </c>
      <c r="E69" s="7" t="inlineStr">
        <is>
          <t>이사회 구성원 성별 다양성 확보 여부(동성 아님)</t>
        </is>
      </c>
      <c r="F69" s="15" t="inlineStr">
        <is>
          <t>OX</t>
        </is>
      </c>
      <c r="G69" s="7" t="inlineStr">
        <is>
          <t>기업지배구조보고서</t>
        </is>
      </c>
      <c r="H69" s="6" t="inlineStr">
        <is>
          <t>G-1-4</t>
        </is>
      </c>
      <c r="I69" s="7" t="inlineStr">
        <is>
          <t>핵심지표 H11</t>
        </is>
      </c>
      <c r="J69" s="16" t="n"/>
    </row>
    <row r="70">
      <c r="A70" s="9" t="n">
        <v>68</v>
      </c>
      <c r="B70" s="7" t="inlineStr">
        <is>
          <t>핵심원칙4_이사회구성</t>
        </is>
      </c>
      <c r="C70" s="6" t="inlineStr">
        <is>
          <t>4-③_이사후보추천</t>
        </is>
      </c>
      <c r="D70" s="15" t="inlineStr">
        <is>
          <t>410</t>
        </is>
      </c>
      <c r="E70" s="7" t="inlineStr">
        <is>
          <t>이사후보추천위원회(등) 설치 여부</t>
        </is>
      </c>
      <c r="F70" s="15" t="inlineStr">
        <is>
          <t>OX</t>
        </is>
      </c>
      <c r="G70" s="7" t="inlineStr">
        <is>
          <t>기업지배구조보고서/지속가능경영보고서</t>
        </is>
      </c>
      <c r="H70" s="6" t="inlineStr">
        <is>
          <t>G-1-2, G-3-3</t>
        </is>
      </c>
      <c r="I70" s="7" t="n"/>
      <c r="J70" s="16" t="n"/>
    </row>
    <row r="71">
      <c r="A71" s="9" t="n">
        <v>69</v>
      </c>
      <c r="B71" s="7" t="inlineStr">
        <is>
          <t>핵심원칙4_이사회구성</t>
        </is>
      </c>
      <c r="C71" s="6" t="inlineStr">
        <is>
          <t>4-③_이사후보추천</t>
        </is>
      </c>
      <c r="D71" s="15" t="inlineStr">
        <is>
          <t>411</t>
        </is>
      </c>
      <c r="E71" s="7" t="inlineStr">
        <is>
          <t>이사후보추천위원회 내 사외이사 비율(%)</t>
        </is>
      </c>
      <c r="F71" s="15" t="inlineStr">
        <is>
          <t>숫자</t>
        </is>
      </c>
      <c r="G71" s="7" t="inlineStr">
        <is>
          <t>기업지배구조보고서</t>
        </is>
      </c>
      <c r="H71" s="6" t="inlineStr">
        <is>
          <t>G-1-2, G-3-3</t>
        </is>
      </c>
      <c r="I71" s="7" t="n"/>
      <c r="J71" s="16" t="n"/>
    </row>
    <row r="72">
      <c r="A72" s="9" t="n">
        <v>70</v>
      </c>
      <c r="B72" s="7" t="inlineStr">
        <is>
          <t>핵심원칙4_이사회구성</t>
        </is>
      </c>
      <c r="C72" s="6" t="inlineStr">
        <is>
          <t>4-③_이사후보추천</t>
        </is>
      </c>
      <c r="D72" s="15" t="inlineStr">
        <is>
          <t>412</t>
        </is>
      </c>
      <c r="E72" s="7" t="inlineStr">
        <is>
          <t>재선임 이사 과거 이사회 활동내역 공개 여부</t>
        </is>
      </c>
      <c r="F72" s="15" t="inlineStr">
        <is>
          <t>OX</t>
        </is>
      </c>
      <c r="G72" s="7" t="inlineStr">
        <is>
          <t>기업지배구조보고서</t>
        </is>
      </c>
      <c r="H72" s="6" t="inlineStr">
        <is>
          <t>G-1-2, G-3-3</t>
        </is>
      </c>
      <c r="I72" s="7" t="n"/>
      <c r="J72" s="16" t="n"/>
    </row>
    <row r="73">
      <c r="A73" s="9" t="n">
        <v>71</v>
      </c>
      <c r="B73" s="7" t="inlineStr">
        <is>
          <t>핵심원칙4_이사회구성</t>
        </is>
      </c>
      <c r="C73" s="6" t="inlineStr">
        <is>
          <t>4-③_이사후보추천</t>
        </is>
      </c>
      <c r="D73" s="15" t="inlineStr">
        <is>
          <t>413</t>
        </is>
      </c>
      <c r="E73" s="7" t="inlineStr">
        <is>
          <t>집중투표제 채택 여부</t>
        </is>
      </c>
      <c r="F73" s="15" t="inlineStr">
        <is>
          <t>OX</t>
        </is>
      </c>
      <c r="G73" s="7" t="inlineStr">
        <is>
          <t>기업지배구조보고서</t>
        </is>
      </c>
      <c r="H73" s="6" t="inlineStr">
        <is>
          <t>G-1-2, G-3-3</t>
        </is>
      </c>
      <c r="I73" s="7" t="inlineStr">
        <is>
          <t>핵심지표 H09</t>
        </is>
      </c>
      <c r="J73" s="16" t="n"/>
    </row>
    <row r="74">
      <c r="A74" s="9" t="n">
        <v>72</v>
      </c>
      <c r="B74" s="7" t="inlineStr">
        <is>
          <t>핵심원칙4_이사회구성</t>
        </is>
      </c>
      <c r="C74" s="6" t="inlineStr">
        <is>
          <t>4-④_부적격자임원선임방지</t>
        </is>
      </c>
      <c r="D74" s="15" t="inlineStr">
        <is>
          <t>414</t>
        </is>
      </c>
      <c r="E74" s="7" t="inlineStr">
        <is>
          <t>기업가치훼손·주주권익침해 책임자 임원선임 방지 정책 시행여부</t>
        </is>
      </c>
      <c r="F74" s="15" t="inlineStr">
        <is>
          <t>OX</t>
        </is>
      </c>
      <c r="G74" s="7" t="inlineStr">
        <is>
          <t>기업지배구조보고서</t>
        </is>
      </c>
      <c r="H74" s="6" t="inlineStr">
        <is>
          <t>G-4-1</t>
        </is>
      </c>
      <c r="I74" s="7" t="inlineStr">
        <is>
          <t>핵심지표 H10</t>
        </is>
      </c>
      <c r="J74" s="16" t="n"/>
    </row>
    <row r="75">
      <c r="A75" s="9" t="n">
        <v>73</v>
      </c>
      <c r="B75" s="7" t="inlineStr">
        <is>
          <t>핵심원칙4_이사회구성</t>
        </is>
      </c>
      <c r="C75" s="6" t="inlineStr">
        <is>
          <t>4-④_부적격자임원선임방지</t>
        </is>
      </c>
      <c r="D75" s="15" t="inlineStr">
        <is>
          <t>415</t>
        </is>
      </c>
      <c r="E75" s="7" t="inlineStr">
        <is>
          <t>횡령·배임·불공정거래 등 기소·확정판결 이력자 임원재직 여부</t>
        </is>
      </c>
      <c r="F75" s="15" t="inlineStr">
        <is>
          <t>OX</t>
        </is>
      </c>
      <c r="G75" s="7" t="inlineStr">
        <is>
          <t>사업보고서(DART)</t>
        </is>
      </c>
      <c r="H75" s="6" t="inlineStr">
        <is>
          <t>G-4-1</t>
        </is>
      </c>
      <c r="I75" s="7" t="n"/>
      <c r="J75" s="16" t="n"/>
    </row>
    <row r="76">
      <c r="A76" s="9" t="n">
        <v>74</v>
      </c>
      <c r="B76" s="7" t="inlineStr">
        <is>
          <t>핵심원칙5_사외이사책임</t>
        </is>
      </c>
      <c r="C76" s="6" t="inlineStr">
        <is>
          <t>5-①_이해관계없는사외이사</t>
        </is>
      </c>
      <c r="D76" s="15" t="inlineStr">
        <is>
          <t>501</t>
        </is>
      </c>
      <c r="E76" s="7" t="inlineStr">
        <is>
          <t>사외이사 선임단계 이해관계 확인절차 시행 여부</t>
        </is>
      </c>
      <c r="F76" s="15" t="inlineStr">
        <is>
          <t>OX</t>
        </is>
      </c>
      <c r="G76" s="7" t="inlineStr">
        <is>
          <t>기업지배구조보고서</t>
        </is>
      </c>
      <c r="H76" s="6" t="inlineStr">
        <is>
          <t>G-1-5</t>
        </is>
      </c>
      <c r="I76" s="7" t="n"/>
      <c r="J76" s="16" t="n"/>
    </row>
    <row r="77">
      <c r="A77" s="9" t="n">
        <v>75</v>
      </c>
      <c r="B77" s="7" t="inlineStr">
        <is>
          <t>핵심원칙5_사외이사책임</t>
        </is>
      </c>
      <c r="C77" s="6" t="inlineStr">
        <is>
          <t>5-①_이해관계없는사외이사</t>
        </is>
      </c>
      <c r="D77" s="15" t="inlineStr">
        <is>
          <t>502</t>
        </is>
      </c>
      <c r="E77" s="7" t="inlineStr">
        <is>
          <t>사외이사(계열회사 포함) 재직기간(개인별, 월)</t>
        </is>
      </c>
      <c r="F77" s="15" t="inlineStr">
        <is>
          <t>숫자</t>
        </is>
      </c>
      <c r="G77" s="7" t="inlineStr">
        <is>
          <t>기업지배구조보고서</t>
        </is>
      </c>
      <c r="H77" s="6" t="inlineStr">
        <is>
          <t>G-1-5</t>
        </is>
      </c>
      <c r="I77" s="7" t="n"/>
      <c r="J77" s="16" t="n"/>
    </row>
    <row r="78">
      <c r="A78" s="9" t="n">
        <v>76</v>
      </c>
      <c r="B78" s="7" t="inlineStr">
        <is>
          <t>핵심원칙5_사외이사책임</t>
        </is>
      </c>
      <c r="C78" s="6" t="inlineStr">
        <is>
          <t>5-②_충분한시간과노력</t>
        </is>
      </c>
      <c r="D78" s="15" t="inlineStr">
        <is>
          <t>503</t>
        </is>
      </c>
      <c r="E78" s="7" t="inlineStr">
        <is>
          <t>사외이사 타기업 겸직 현황(겸직기관수 등)</t>
        </is>
      </c>
      <c r="F78" s="15" t="inlineStr">
        <is>
          <t>숫자/텍스트</t>
        </is>
      </c>
      <c r="G78" s="7" t="inlineStr">
        <is>
          <t>기업지배구조보고서</t>
        </is>
      </c>
      <c r="H78" s="6" t="inlineStr">
        <is>
          <t>G-1-5</t>
        </is>
      </c>
      <c r="I78" s="7" t="n"/>
      <c r="J78" s="16" t="n"/>
    </row>
    <row r="79">
      <c r="A79" s="9" t="n">
        <v>77</v>
      </c>
      <c r="B79" s="7" t="inlineStr">
        <is>
          <t>핵심원칙5_사외이사책임</t>
        </is>
      </c>
      <c r="C79" s="6" t="inlineStr">
        <is>
          <t>5-③_정보자원제공</t>
        </is>
      </c>
      <c r="D79" s="15" t="inlineStr">
        <is>
          <t>504</t>
        </is>
      </c>
      <c r="E79" s="7" t="inlineStr">
        <is>
          <t>사외이사 지원 전담인력 배치 여부</t>
        </is>
      </c>
      <c r="F79" s="15" t="inlineStr">
        <is>
          <t>OX</t>
        </is>
      </c>
      <c r="G79" s="7" t="inlineStr">
        <is>
          <t>기업지배구조보고서</t>
        </is>
      </c>
      <c r="H79" s="6" t="inlineStr">
        <is>
          <t>G-1-5</t>
        </is>
      </c>
      <c r="I79" s="7" t="n"/>
      <c r="J79" s="16" t="n"/>
    </row>
    <row r="80">
      <c r="A80" s="9" t="n">
        <v>78</v>
      </c>
      <c r="B80" s="7" t="inlineStr">
        <is>
          <t>핵심원칙5_사외이사책임</t>
        </is>
      </c>
      <c r="C80" s="6" t="inlineStr">
        <is>
          <t>5-③_정보자원제공</t>
        </is>
      </c>
      <c r="D80" s="15" t="inlineStr">
        <is>
          <t>505</t>
        </is>
      </c>
      <c r="E80" s="7" t="inlineStr">
        <is>
          <t>사외이사 대상 교육(대면/화상) 실시 여부</t>
        </is>
      </c>
      <c r="F80" s="15" t="inlineStr">
        <is>
          <t>OX</t>
        </is>
      </c>
      <c r="G80" s="7" t="inlineStr">
        <is>
          <t>기업지배구조보고서/지속가능경영보고서</t>
        </is>
      </c>
      <c r="H80" s="6" t="inlineStr">
        <is>
          <t>G-1-5</t>
        </is>
      </c>
      <c r="I80" s="7" t="n"/>
      <c r="J80" s="16" t="n"/>
    </row>
    <row r="81">
      <c r="A81" s="9" t="n">
        <v>79</v>
      </c>
      <c r="B81" s="7" t="inlineStr">
        <is>
          <t>핵심원칙5_사외이사책임</t>
        </is>
      </c>
      <c r="C81" s="6" t="inlineStr">
        <is>
          <t>5-③_정보자원제공</t>
        </is>
      </c>
      <c r="D81" s="15" t="inlineStr">
        <is>
          <t>506</t>
        </is>
      </c>
      <c r="E81" s="7" t="inlineStr">
        <is>
          <t>사외이사만 참여하는 별도회의 개최 여부·횟수</t>
        </is>
      </c>
      <c r="F81" s="15" t="inlineStr">
        <is>
          <t>OX/숫자</t>
        </is>
      </c>
      <c r="G81" s="7" t="inlineStr">
        <is>
          <t>기업지배구조보고서</t>
        </is>
      </c>
      <c r="H81" s="6" t="inlineStr">
        <is>
          <t>G-1-5</t>
        </is>
      </c>
      <c r="I81" s="7" t="n"/>
      <c r="J81" s="16" t="n"/>
    </row>
    <row r="82">
      <c r="A82" s="9" t="n">
        <v>80</v>
      </c>
      <c r="B82" s="7" t="inlineStr">
        <is>
          <t>핵심원칙6_사외이사평가</t>
        </is>
      </c>
      <c r="C82" s="6" t="inlineStr">
        <is>
          <t>6-①_개별평가와재선임반영</t>
        </is>
      </c>
      <c r="D82" s="15" t="inlineStr">
        <is>
          <t>601</t>
        </is>
      </c>
      <c r="E82" s="7" t="inlineStr">
        <is>
          <t>사외이사 개별평가 실시 여부(자기/상호/외부평가)</t>
        </is>
      </c>
      <c r="F82" s="15" t="inlineStr">
        <is>
          <t>OX</t>
        </is>
      </c>
      <c r="G82" s="7" t="inlineStr">
        <is>
          <t>기업지배구조보고서</t>
        </is>
      </c>
      <c r="H82" s="6" t="inlineStr">
        <is>
          <t>G-1-5(평가 보강)</t>
        </is>
      </c>
      <c r="I82" s="7" t="n"/>
      <c r="J82" s="16" t="n"/>
    </row>
    <row r="83">
      <c r="A83" s="9" t="n">
        <v>81</v>
      </c>
      <c r="B83" s="7" t="inlineStr">
        <is>
          <t>핵심원칙6_사외이사평가</t>
        </is>
      </c>
      <c r="C83" s="6" t="inlineStr">
        <is>
          <t>6-①_개별평가와재선임반영</t>
        </is>
      </c>
      <c r="D83" s="15" t="inlineStr">
        <is>
          <t>602</t>
        </is>
      </c>
      <c r="E83" s="7" t="inlineStr">
        <is>
          <t>사외이사 평가결과 재선임 반영 여부</t>
        </is>
      </c>
      <c r="F83" s="15" t="inlineStr">
        <is>
          <t>OX</t>
        </is>
      </c>
      <c r="G83" s="7" t="inlineStr">
        <is>
          <t>기업지배구조보고서</t>
        </is>
      </c>
      <c r="H83" s="6" t="inlineStr">
        <is>
          <t>G-1-5(평가 보강)</t>
        </is>
      </c>
      <c r="I83" s="7" t="n"/>
      <c r="J83" s="16" t="n"/>
    </row>
    <row r="84">
      <c r="A84" s="9" t="n">
        <v>82</v>
      </c>
      <c r="B84" s="7" t="inlineStr">
        <is>
          <t>핵심원칙6_사외이사평가</t>
        </is>
      </c>
      <c r="C84" s="6" t="inlineStr">
        <is>
          <t>6-②_보수의적정성</t>
        </is>
      </c>
      <c r="D84" s="15" t="inlineStr">
        <is>
          <t>603</t>
        </is>
      </c>
      <c r="E84" s="7" t="inlineStr">
        <is>
          <t>사외이사 보수 정책 수립 여부</t>
        </is>
      </c>
      <c r="F84" s="15" t="inlineStr">
        <is>
          <t>OX</t>
        </is>
      </c>
      <c r="G84" s="7" t="inlineStr">
        <is>
          <t>기업지배구조보고서</t>
        </is>
      </c>
      <c r="H84" s="6" t="inlineStr">
        <is>
          <t>G-1-5(평가 보강)</t>
        </is>
      </c>
      <c r="I84" s="7" t="n"/>
      <c r="J84" s="16" t="n"/>
    </row>
    <row r="85">
      <c r="A85" s="9" t="n">
        <v>83</v>
      </c>
      <c r="B85" s="7" t="inlineStr">
        <is>
          <t>핵심원칙6_사외이사평가</t>
        </is>
      </c>
      <c r="C85" s="6" t="inlineStr">
        <is>
          <t>6-②_보수의적정성</t>
        </is>
      </c>
      <c r="D85" s="15" t="inlineStr">
        <is>
          <t>604</t>
        </is>
      </c>
      <c r="E85" s="7" t="inlineStr">
        <is>
          <t>사외이사 스톡옵션 부여 여부</t>
        </is>
      </c>
      <c r="F85" s="15" t="inlineStr">
        <is>
          <t>OX</t>
        </is>
      </c>
      <c r="G85" s="7" t="inlineStr">
        <is>
          <t>기업지배구조보고서</t>
        </is>
      </c>
      <c r="H85" s="6" t="inlineStr">
        <is>
          <t>G-1-5(평가 보강)</t>
        </is>
      </c>
      <c r="I85" s="7" t="n"/>
      <c r="J85" s="16" t="n"/>
    </row>
    <row r="86">
      <c r="A86" s="9" t="n">
        <v>84</v>
      </c>
      <c r="B86" s="7" t="inlineStr">
        <is>
          <t>핵심원칙6_사외이사평가</t>
        </is>
      </c>
      <c r="C86" s="6" t="inlineStr">
        <is>
          <t>6-②_보수의적정성</t>
        </is>
      </c>
      <c r="D86" s="15" t="inlineStr">
        <is>
          <t>605</t>
        </is>
      </c>
      <c r="E86" s="7" t="inlineStr">
        <is>
          <t>스톡옵션 행사조건 성과 연동 여부</t>
        </is>
      </c>
      <c r="F86" s="15" t="inlineStr">
        <is>
          <t>OX</t>
        </is>
      </c>
      <c r="G86" s="7" t="inlineStr">
        <is>
          <t>기업지배구조보고서</t>
        </is>
      </c>
      <c r="H86" s="6" t="inlineStr">
        <is>
          <t>G-1-5(평가 보강)</t>
        </is>
      </c>
      <c r="I86" s="7" t="n"/>
      <c r="J86" s="16" t="n"/>
    </row>
    <row r="87">
      <c r="A87" s="9" t="n">
        <v>85</v>
      </c>
      <c r="B87" s="7" t="inlineStr">
        <is>
          <t>핵심원칙7_이사회운영</t>
        </is>
      </c>
      <c r="C87" s="6" t="inlineStr">
        <is>
          <t>7-①_정기개최와운영규정</t>
        </is>
      </c>
      <c r="D87" s="15" t="inlineStr">
        <is>
          <t>701</t>
        </is>
      </c>
      <c r="E87" s="7" t="inlineStr">
        <is>
          <t>정기이사회 개최 여부</t>
        </is>
      </c>
      <c r="F87" s="15" t="inlineStr">
        <is>
          <t>OX</t>
        </is>
      </c>
      <c r="G87" s="7" t="inlineStr">
        <is>
          <t>기업지배구조보고서</t>
        </is>
      </c>
      <c r="H87" s="6" t="inlineStr">
        <is>
          <t>G-2-1, G-2-2</t>
        </is>
      </c>
      <c r="I87" s="7" t="n"/>
      <c r="J87" s="16" t="n"/>
    </row>
    <row r="88">
      <c r="A88" s="9" t="n">
        <v>86</v>
      </c>
      <c r="B88" s="7" t="inlineStr">
        <is>
          <t>핵심원칙7_이사회운영</t>
        </is>
      </c>
      <c r="C88" s="6" t="inlineStr">
        <is>
          <t>7-①_정기개최와운영규정</t>
        </is>
      </c>
      <c r="D88" s="15" t="inlineStr">
        <is>
          <t>702</t>
        </is>
      </c>
      <c r="E88" s="7" t="inlineStr">
        <is>
          <t>이사회 운영규정 존재 여부</t>
        </is>
      </c>
      <c r="F88" s="15" t="inlineStr">
        <is>
          <t>OX</t>
        </is>
      </c>
      <c r="G88" s="7" t="inlineStr">
        <is>
          <t>기업지배구조보고서</t>
        </is>
      </c>
      <c r="H88" s="6" t="inlineStr">
        <is>
          <t>G-2-1, G-2-2</t>
        </is>
      </c>
      <c r="I88" s="7" t="n"/>
      <c r="J88" s="16" t="n"/>
    </row>
    <row r="89">
      <c r="A89" s="9" t="n">
        <v>87</v>
      </c>
      <c r="B89" s="7" t="inlineStr">
        <is>
          <t>핵심원칙7_이사회운영</t>
        </is>
      </c>
      <c r="C89" s="6" t="inlineStr">
        <is>
          <t>7-①_정기개최와운영규정</t>
        </is>
      </c>
      <c r="D89" s="15" t="inlineStr">
        <is>
          <t>703</t>
        </is>
      </c>
      <c r="E89" s="7" t="inlineStr">
        <is>
          <t>이사회 개최횟수(정기/임시)</t>
        </is>
      </c>
      <c r="F89" s="15" t="inlineStr">
        <is>
          <t>숫자</t>
        </is>
      </c>
      <c r="G89" s="7" t="inlineStr">
        <is>
          <t>기업지배구조보고서/지속가능경영보고서</t>
        </is>
      </c>
      <c r="H89" s="6" t="inlineStr">
        <is>
          <t>G-2-1, G-2-2</t>
        </is>
      </c>
      <c r="I89" s="7" t="inlineStr">
        <is>
          <t>표 7-1-1</t>
        </is>
      </c>
      <c r="J89" s="16" t="n"/>
    </row>
    <row r="90">
      <c r="A90" s="9" t="n">
        <v>88</v>
      </c>
      <c r="B90" s="7" t="inlineStr">
        <is>
          <t>핵심원칙7_이사회운영</t>
        </is>
      </c>
      <c r="C90" s="6" t="inlineStr">
        <is>
          <t>7-①_정기개최와운영규정</t>
        </is>
      </c>
      <c r="D90" s="15" t="inlineStr">
        <is>
          <t>704</t>
        </is>
      </c>
      <c r="E90" s="7" t="inlineStr">
        <is>
          <t>안건통지-개최일 평균 간격(일)</t>
        </is>
      </c>
      <c r="F90" s="15" t="inlineStr">
        <is>
          <t>숫자</t>
        </is>
      </c>
      <c r="G90" s="7" t="inlineStr">
        <is>
          <t>기업지배구조보고서</t>
        </is>
      </c>
      <c r="H90" s="6" t="inlineStr">
        <is>
          <t>G-2-1, G-2-2</t>
        </is>
      </c>
      <c r="I90" s="7" t="n"/>
      <c r="J90" s="16" t="n"/>
    </row>
    <row r="91">
      <c r="A91" s="9" t="n">
        <v>89</v>
      </c>
      <c r="B91" s="7" t="inlineStr">
        <is>
          <t>핵심원칙7_이사회운영</t>
        </is>
      </c>
      <c r="C91" s="6" t="inlineStr">
        <is>
          <t>7-①_정기개최와운영규정</t>
        </is>
      </c>
      <c r="D91" s="15" t="inlineStr">
        <is>
          <t>705</t>
        </is>
      </c>
      <c r="E91" s="7" t="inlineStr">
        <is>
          <t>이사 평균 출석률(%)</t>
        </is>
      </c>
      <c r="F91" s="15" t="inlineStr">
        <is>
          <t>숫자</t>
        </is>
      </c>
      <c r="G91" s="7" t="inlineStr">
        <is>
          <t>기업지배구조보고서/지속가능경영보고서</t>
        </is>
      </c>
      <c r="H91" s="6" t="inlineStr">
        <is>
          <t>G-2-1, G-2-2</t>
        </is>
      </c>
      <c r="I91" s="7" t="n"/>
      <c r="J91" s="16" t="n"/>
    </row>
    <row r="92">
      <c r="A92" s="9" t="n">
        <v>90</v>
      </c>
      <c r="B92" s="7" t="inlineStr">
        <is>
          <t>핵심원칙7_이사회운영</t>
        </is>
      </c>
      <c r="C92" s="6" t="inlineStr">
        <is>
          <t>7-①_정기개최와운영규정</t>
        </is>
      </c>
      <c r="D92" s="15" t="inlineStr">
        <is>
          <t>706</t>
        </is>
      </c>
      <c r="E92" s="7" t="inlineStr">
        <is>
          <t>임원보수 정책 수립 여부</t>
        </is>
      </c>
      <c r="F92" s="15" t="inlineStr">
        <is>
          <t>OX</t>
        </is>
      </c>
      <c r="G92" s="7" t="inlineStr">
        <is>
          <t>기업지배구조보고서</t>
        </is>
      </c>
      <c r="H92" s="6" t="inlineStr">
        <is>
          <t>G-2-1, G-2-2</t>
        </is>
      </c>
      <c r="I92" s="7" t="n"/>
      <c r="J92" s="16" t="n"/>
    </row>
    <row r="93">
      <c r="A93" s="9" t="n">
        <v>91</v>
      </c>
      <c r="B93" s="7" t="inlineStr">
        <is>
          <t>핵심원칙7_이사회운영</t>
        </is>
      </c>
      <c r="C93" s="6" t="inlineStr">
        <is>
          <t>7-①_정기개최와운영규정</t>
        </is>
      </c>
      <c r="D93" s="15" t="inlineStr">
        <is>
          <t>707</t>
        </is>
      </c>
      <c r="E93" s="7" t="inlineStr">
        <is>
          <t>임원보수 정책 공개 여부</t>
        </is>
      </c>
      <c r="F93" s="15" t="inlineStr">
        <is>
          <t>OX</t>
        </is>
      </c>
      <c r="G93" s="7" t="inlineStr">
        <is>
          <t>기업지배구조보고서</t>
        </is>
      </c>
      <c r="H93" s="6" t="inlineStr">
        <is>
          <t>G-2-1, G-2-2</t>
        </is>
      </c>
      <c r="I93" s="7" t="n"/>
      <c r="J93" s="16" t="n"/>
    </row>
    <row r="94">
      <c r="A94" s="9" t="n">
        <v>92</v>
      </c>
      <c r="B94" s="7" t="inlineStr">
        <is>
          <t>핵심원칙7_이사회운영</t>
        </is>
      </c>
      <c r="C94" s="6" t="inlineStr">
        <is>
          <t>7-①_정기개최와운영규정</t>
        </is>
      </c>
      <c r="D94" s="15" t="inlineStr">
        <is>
          <t>708</t>
        </is>
      </c>
      <c r="E94" s="7" t="inlineStr">
        <is>
          <t>임원배상책임보험(D&amp;O) 가입 여부</t>
        </is>
      </c>
      <c r="F94" s="15" t="inlineStr">
        <is>
          <t>OX</t>
        </is>
      </c>
      <c r="G94" s="7" t="inlineStr">
        <is>
          <t>기업지배구조보고서/지속가능경영보고서</t>
        </is>
      </c>
      <c r="H94" s="6" t="inlineStr">
        <is>
          <t>G-2-1, G-2-2</t>
        </is>
      </c>
      <c r="I94" s="7" t="n"/>
      <c r="J94" s="16" t="n"/>
    </row>
    <row r="95">
      <c r="A95" s="9" t="n">
        <v>93</v>
      </c>
      <c r="B95" s="7" t="inlineStr">
        <is>
          <t>핵심원칙7_이사회운영</t>
        </is>
      </c>
      <c r="C95" s="6" t="inlineStr">
        <is>
          <t>7-①_정기개최와운영규정</t>
        </is>
      </c>
      <c r="D95" s="15" t="inlineStr">
        <is>
          <t>709</t>
        </is>
      </c>
      <c r="E95" s="7" t="inlineStr">
        <is>
          <t>이해관계자 이익 고려 여부</t>
        </is>
      </c>
      <c r="F95" s="15" t="inlineStr">
        <is>
          <t>OX</t>
        </is>
      </c>
      <c r="G95" s="7" t="inlineStr">
        <is>
          <t>기업지배구조보고서</t>
        </is>
      </c>
      <c r="H95" s="6" t="inlineStr">
        <is>
          <t>G-2-1, G-2-2</t>
        </is>
      </c>
      <c r="I95" s="7" t="n"/>
      <c r="J95" s="16" t="n"/>
    </row>
    <row r="96">
      <c r="A96" s="9" t="n">
        <v>94</v>
      </c>
      <c r="B96" s="7" t="inlineStr">
        <is>
          <t>핵심원칙7_이사회운영</t>
        </is>
      </c>
      <c r="C96" s="6" t="inlineStr">
        <is>
          <t>7-②_의사록과활동공개</t>
        </is>
      </c>
      <c r="D96" s="15" t="inlineStr">
        <is>
          <t>710</t>
        </is>
      </c>
      <c r="E96" s="7" t="inlineStr">
        <is>
          <t>이사회 의사록·녹취록 작성·보존 규정 여부</t>
        </is>
      </c>
      <c r="F96" s="15" t="inlineStr">
        <is>
          <t>OX</t>
        </is>
      </c>
      <c r="G96" s="7" t="inlineStr">
        <is>
          <t>기업지배구조보고서</t>
        </is>
      </c>
      <c r="H96" s="6" t="inlineStr">
        <is>
          <t>G-2-4</t>
        </is>
      </c>
      <c r="I96" s="7" t="n"/>
      <c r="J96" s="16" t="n"/>
    </row>
    <row r="97">
      <c r="A97" s="9" t="n">
        <v>95</v>
      </c>
      <c r="B97" s="7" t="inlineStr">
        <is>
          <t>핵심원칙7_이사회운영</t>
        </is>
      </c>
      <c r="C97" s="6" t="inlineStr">
        <is>
          <t>7-②_의사록과활동공개</t>
        </is>
      </c>
      <c r="D97" s="15" t="inlineStr">
        <is>
          <t>711</t>
        </is>
      </c>
      <c r="E97" s="7" t="inlineStr">
        <is>
          <t>개별이사 출석률·안건 찬성률(최근3개년)</t>
        </is>
      </c>
      <c r="F97" s="15" t="inlineStr">
        <is>
          <t>숫자</t>
        </is>
      </c>
      <c r="G97" s="7" t="inlineStr">
        <is>
          <t>기업지배구조보고서</t>
        </is>
      </c>
      <c r="H97" s="6" t="inlineStr">
        <is>
          <t>G-2-4</t>
        </is>
      </c>
      <c r="I97" s="7" t="inlineStr">
        <is>
          <t>표 7-2-1</t>
        </is>
      </c>
      <c r="J97" s="16" t="n"/>
    </row>
    <row r="98">
      <c r="A98" s="9" t="n">
        <v>96</v>
      </c>
      <c r="B98" s="7" t="inlineStr">
        <is>
          <t>핵심원칙7_이사회운영</t>
        </is>
      </c>
      <c r="C98" s="6" t="inlineStr">
        <is>
          <t>7-②_의사록과활동공개</t>
        </is>
      </c>
      <c r="D98" s="15" t="inlineStr">
        <is>
          <t>712</t>
        </is>
      </c>
      <c r="E98" s="7" t="inlineStr">
        <is>
          <t>정기공시 외 개별이사 활동내용 공개 여부</t>
        </is>
      </c>
      <c r="F98" s="15" t="inlineStr">
        <is>
          <t>OX</t>
        </is>
      </c>
      <c r="G98" s="7" t="inlineStr">
        <is>
          <t>기업지배구조보고서</t>
        </is>
      </c>
      <c r="H98" s="6" t="inlineStr">
        <is>
          <t>G-2-4</t>
        </is>
      </c>
      <c r="I98" s="7" t="n"/>
      <c r="J98" s="16" t="n"/>
    </row>
    <row r="99">
      <c r="A99" s="9" t="n">
        <v>97</v>
      </c>
      <c r="B99" s="7" t="inlineStr">
        <is>
          <t>핵심원칙8_이사회내위원회</t>
        </is>
      </c>
      <c r="C99" s="6" t="inlineStr">
        <is>
          <t>8-①_위원구성</t>
        </is>
      </c>
      <c r="D99" s="15" t="inlineStr">
        <is>
          <t>801</t>
        </is>
      </c>
      <c r="E99" s="7" t="inlineStr">
        <is>
          <t>각 위원회 사외이사 과반수 선임 여부</t>
        </is>
      </c>
      <c r="F99" s="15" t="inlineStr">
        <is>
          <t>OX</t>
        </is>
      </c>
      <c r="G99" s="7" t="inlineStr">
        <is>
          <t>기업지배구조보고서</t>
        </is>
      </c>
      <c r="H99" s="6" t="inlineStr">
        <is>
          <t>G-2-3</t>
        </is>
      </c>
      <c r="I99" s="7" t="n"/>
      <c r="J99" s="16" t="n"/>
    </row>
    <row r="100">
      <c r="A100" s="9" t="n">
        <v>98</v>
      </c>
      <c r="B100" s="7" t="inlineStr">
        <is>
          <t>핵심원칙8_이사회내위원회</t>
        </is>
      </c>
      <c r="C100" s="6" t="inlineStr">
        <is>
          <t>8-①_위원구성</t>
        </is>
      </c>
      <c r="D100" s="15" t="inlineStr">
        <is>
          <t>802</t>
        </is>
      </c>
      <c r="E100" s="7" t="inlineStr">
        <is>
          <t>감사위원회·보수(보상)위원회 전원 사외이사 구성 여부</t>
        </is>
      </c>
      <c r="F100" s="15" t="inlineStr">
        <is>
          <t>OX</t>
        </is>
      </c>
      <c r="G100" s="7" t="inlineStr">
        <is>
          <t>기업지배구조보고서</t>
        </is>
      </c>
      <c r="H100" s="6" t="inlineStr">
        <is>
          <t>G-2-3</t>
        </is>
      </c>
      <c r="I100" s="7" t="n"/>
      <c r="J100" s="16" t="n"/>
    </row>
    <row r="101">
      <c r="A101" s="9" t="n">
        <v>99</v>
      </c>
      <c r="B101" s="7" t="inlineStr">
        <is>
          <t>핵심원칙8_이사회내위원회</t>
        </is>
      </c>
      <c r="C101" s="6" t="inlineStr">
        <is>
          <t>8-②_위원회운영과보고</t>
        </is>
      </c>
      <c r="D101" s="15" t="inlineStr">
        <is>
          <t>803</t>
        </is>
      </c>
      <c r="E101" s="7" t="inlineStr">
        <is>
          <t>이사회내 위원회 명문규정 존재 여부</t>
        </is>
      </c>
      <c r="F101" s="15" t="inlineStr">
        <is>
          <t>OX</t>
        </is>
      </c>
      <c r="G101" s="7" t="inlineStr">
        <is>
          <t>기업지배구조보고서</t>
        </is>
      </c>
      <c r="H101" s="6" t="inlineStr">
        <is>
          <t>G-2-3</t>
        </is>
      </c>
      <c r="I101" s="7" t="n"/>
      <c r="J101" s="16" t="n"/>
    </row>
    <row r="102">
      <c r="A102" s="9" t="n">
        <v>100</v>
      </c>
      <c r="B102" s="7" t="inlineStr">
        <is>
          <t>핵심원칙8_이사회내위원회</t>
        </is>
      </c>
      <c r="C102" s="6" t="inlineStr">
        <is>
          <t>8-②_위원회운영과보고</t>
        </is>
      </c>
      <c r="D102" s="15" t="inlineStr">
        <is>
          <t>804</t>
        </is>
      </c>
      <c r="E102" s="7" t="inlineStr">
        <is>
          <t>위원회 결의사항 이사회 보고 여부</t>
        </is>
      </c>
      <c r="F102" s="15" t="inlineStr">
        <is>
          <t>OX</t>
        </is>
      </c>
      <c r="G102" s="7" t="inlineStr">
        <is>
          <t>기업지배구조보고서</t>
        </is>
      </c>
      <c r="H102" s="6" t="inlineStr">
        <is>
          <t>G-2-3</t>
        </is>
      </c>
      <c r="I102" s="7" t="n"/>
      <c r="J102" s="16" t="n"/>
    </row>
    <row r="103">
      <c r="A103" s="9" t="n">
        <v>101</v>
      </c>
      <c r="B103" s="7" t="inlineStr">
        <is>
          <t>핵심원칙8_이사회내위원회</t>
        </is>
      </c>
      <c r="C103" s="6" t="inlineStr">
        <is>
          <t>8-②_위원회운영과보고</t>
        </is>
      </c>
      <c r="D103" s="15" t="inlineStr">
        <is>
          <t>805</t>
        </is>
      </c>
      <c r="E103" s="7" t="inlineStr">
        <is>
          <t>위원회별 개최횟수·안건·가결여부</t>
        </is>
      </c>
      <c r="F103" s="15" t="inlineStr">
        <is>
          <t>숫자/텍스트</t>
        </is>
      </c>
      <c r="G103" s="7" t="inlineStr">
        <is>
          <t>기업지배구조보고서</t>
        </is>
      </c>
      <c r="H103" s="6" t="inlineStr">
        <is>
          <t>G-2-3</t>
        </is>
      </c>
      <c r="I103" s="7" t="inlineStr">
        <is>
          <t>표 8-2-1~3</t>
        </is>
      </c>
      <c r="J103" s="16" t="n"/>
    </row>
    <row r="104">
      <c r="A104" s="9" t="n">
        <v>102</v>
      </c>
      <c r="B104" s="7" t="inlineStr">
        <is>
          <t>핵심원칙9_내부감사기구</t>
        </is>
      </c>
      <c r="C104" s="6" t="inlineStr">
        <is>
          <t>9-①_독립성과전문성</t>
        </is>
      </c>
      <c r="D104" s="15" t="inlineStr">
        <is>
          <t>901</t>
        </is>
      </c>
      <c r="E104" s="7" t="inlineStr">
        <is>
          <t>감사위원회 설치 여부</t>
        </is>
      </c>
      <c r="F104" s="15" t="inlineStr">
        <is>
          <t>OX</t>
        </is>
      </c>
      <c r="G104" s="7" t="inlineStr">
        <is>
          <t>기업지배구조보고서</t>
        </is>
      </c>
      <c r="H104" s="6" t="inlineStr">
        <is>
          <t>G-5-1, G-5-2</t>
        </is>
      </c>
      <c r="I104" s="7" t="inlineStr">
        <is>
          <t>핵심지표 H12 연계</t>
        </is>
      </c>
      <c r="J104" s="16" t="n"/>
    </row>
    <row r="105">
      <c r="A105" s="9" t="n">
        <v>103</v>
      </c>
      <c r="B105" s="7" t="inlineStr">
        <is>
          <t>핵심원칙9_내부감사기구</t>
        </is>
      </c>
      <c r="C105" s="6" t="inlineStr">
        <is>
          <t>9-①_독립성과전문성</t>
        </is>
      </c>
      <c r="D105" s="15" t="inlineStr">
        <is>
          <t>902</t>
        </is>
      </c>
      <c r="E105" s="7" t="inlineStr">
        <is>
          <t>회계 또는 재무전문가 존재 여부</t>
        </is>
      </c>
      <c r="F105" s="15" t="inlineStr">
        <is>
          <t>OX</t>
        </is>
      </c>
      <c r="G105" s="7" t="inlineStr">
        <is>
          <t>기업지배구조보고서</t>
        </is>
      </c>
      <c r="H105" s="6" t="inlineStr">
        <is>
          <t>G-5-1, G-5-2</t>
        </is>
      </c>
      <c r="I105" s="7" t="inlineStr">
        <is>
          <t>핵심지표 H13</t>
        </is>
      </c>
      <c r="J105" s="16" t="n"/>
    </row>
    <row r="106">
      <c r="A106" s="9" t="n">
        <v>104</v>
      </c>
      <c r="B106" s="7" t="inlineStr">
        <is>
          <t>핵심원칙9_내부감사기구</t>
        </is>
      </c>
      <c r="C106" s="6" t="inlineStr">
        <is>
          <t>9-①_독립성과전문성</t>
        </is>
      </c>
      <c r="D106" s="15" t="inlineStr">
        <is>
          <t>903</t>
        </is>
      </c>
      <c r="E106" s="7" t="inlineStr">
        <is>
          <t>내부감사기구 운영규정 존재 여부</t>
        </is>
      </c>
      <c r="F106" s="15" t="inlineStr">
        <is>
          <t>OX</t>
        </is>
      </c>
      <c r="G106" s="7" t="inlineStr">
        <is>
          <t>기업지배구조보고서</t>
        </is>
      </c>
      <c r="H106" s="6" t="inlineStr">
        <is>
          <t>G-5-1, G-5-2</t>
        </is>
      </c>
      <c r="I106" s="7" t="n"/>
      <c r="J106" s="16" t="n"/>
    </row>
    <row r="107">
      <c r="A107" s="9" t="n">
        <v>105</v>
      </c>
      <c r="B107" s="7" t="inlineStr">
        <is>
          <t>핵심원칙9_내부감사기구</t>
        </is>
      </c>
      <c r="C107" s="6" t="inlineStr">
        <is>
          <t>9-①_독립성과전문성</t>
        </is>
      </c>
      <c r="D107" s="15" t="inlineStr">
        <is>
          <t>904</t>
        </is>
      </c>
      <c r="E107" s="7" t="inlineStr">
        <is>
          <t>감사기구 대상 교육 제공 여부</t>
        </is>
      </c>
      <c r="F107" s="15" t="inlineStr">
        <is>
          <t>OX</t>
        </is>
      </c>
      <c r="G107" s="7" t="inlineStr">
        <is>
          <t>기업지배구조보고서</t>
        </is>
      </c>
      <c r="H107" s="6" t="inlineStr">
        <is>
          <t>G-5-1, G-5-2</t>
        </is>
      </c>
      <c r="I107" s="7" t="n"/>
      <c r="J107" s="16" t="n"/>
    </row>
    <row r="108">
      <c r="A108" s="9" t="n">
        <v>106</v>
      </c>
      <c r="B108" s="7" t="inlineStr">
        <is>
          <t>핵심원칙9_내부감사기구</t>
        </is>
      </c>
      <c r="C108" s="6" t="inlineStr">
        <is>
          <t>9-①_독립성과전문성</t>
        </is>
      </c>
      <c r="D108" s="15" t="inlineStr">
        <is>
          <t>905</t>
        </is>
      </c>
      <c r="E108" s="7" t="inlineStr">
        <is>
          <t>외부 전문가 자문 지원 시행 여부</t>
        </is>
      </c>
      <c r="F108" s="15" t="inlineStr">
        <is>
          <t>OX</t>
        </is>
      </c>
      <c r="G108" s="7" t="inlineStr">
        <is>
          <t>기업지배구조보고서</t>
        </is>
      </c>
      <c r="H108" s="6" t="inlineStr">
        <is>
          <t>G-5-1, G-5-2</t>
        </is>
      </c>
      <c r="I108" s="7" t="n"/>
      <c r="J108" s="16" t="n"/>
    </row>
    <row r="109">
      <c r="A109" s="9" t="n">
        <v>107</v>
      </c>
      <c r="B109" s="7" t="inlineStr">
        <is>
          <t>핵심원칙9_내부감사기구</t>
        </is>
      </c>
      <c r="C109" s="6" t="inlineStr">
        <is>
          <t>9-①_독립성과전문성</t>
        </is>
      </c>
      <c r="D109" s="15" t="inlineStr">
        <is>
          <t>906</t>
        </is>
      </c>
      <c r="E109" s="7" t="inlineStr">
        <is>
          <t>경영진 부정행위 조사절차 규정 마련 여부</t>
        </is>
      </c>
      <c r="F109" s="15" t="inlineStr">
        <is>
          <t>OX</t>
        </is>
      </c>
      <c r="G109" s="7" t="inlineStr">
        <is>
          <t>기업지배구조보고서</t>
        </is>
      </c>
      <c r="H109" s="6" t="inlineStr">
        <is>
          <t>G-5-1, G-5-2</t>
        </is>
      </c>
      <c r="I109" s="7" t="n"/>
      <c r="J109" s="16" t="n"/>
    </row>
    <row r="110">
      <c r="A110" s="9" t="n">
        <v>108</v>
      </c>
      <c r="B110" s="7" t="inlineStr">
        <is>
          <t>핵심원칙9_내부감사기구</t>
        </is>
      </c>
      <c r="C110" s="6" t="inlineStr">
        <is>
          <t>9-①_독립성과전문성</t>
        </is>
      </c>
      <c r="D110" s="15" t="inlineStr">
        <is>
          <t>907</t>
        </is>
      </c>
      <c r="E110" s="7" t="inlineStr">
        <is>
          <t>내부감사기구 중요정보 접근절차 보유 여부</t>
        </is>
      </c>
      <c r="F110" s="15" t="inlineStr">
        <is>
          <t>OX</t>
        </is>
      </c>
      <c r="G110" s="7" t="inlineStr">
        <is>
          <t>기업지배구조보고서</t>
        </is>
      </c>
      <c r="H110" s="6" t="inlineStr">
        <is>
          <t>G-5-1, G-5-2</t>
        </is>
      </c>
      <c r="I110" s="7" t="inlineStr">
        <is>
          <t>핵심지표 H15</t>
        </is>
      </c>
      <c r="J110" s="16" t="n"/>
    </row>
    <row r="111">
      <c r="A111" s="9" t="n">
        <v>109</v>
      </c>
      <c r="B111" s="7" t="inlineStr">
        <is>
          <t>핵심원칙9_내부감사기구</t>
        </is>
      </c>
      <c r="C111" s="6" t="inlineStr">
        <is>
          <t>9-①_독립성과전문성</t>
        </is>
      </c>
      <c r="D111" s="15" t="inlineStr">
        <is>
          <t>908</t>
        </is>
      </c>
      <c r="E111" s="7" t="inlineStr">
        <is>
          <t>내부감사업무 지원조직 설치 여부</t>
        </is>
      </c>
      <c r="F111" s="15" t="inlineStr">
        <is>
          <t>OX</t>
        </is>
      </c>
      <c r="G111" s="7" t="inlineStr">
        <is>
          <t>기업지배구조보고서</t>
        </is>
      </c>
      <c r="H111" s="6" t="inlineStr">
        <is>
          <t>G-5-1, G-5-2</t>
        </is>
      </c>
      <c r="I111" s="7" t="inlineStr">
        <is>
          <t>핵심지표 H12</t>
        </is>
      </c>
      <c r="J111" s="16" t="n"/>
    </row>
    <row r="112">
      <c r="A112" s="9" t="n">
        <v>110</v>
      </c>
      <c r="B112" s="7" t="inlineStr">
        <is>
          <t>핵심원칙9_내부감사기구</t>
        </is>
      </c>
      <c r="C112" s="6" t="inlineStr">
        <is>
          <t>9-①_독립성과전문성</t>
        </is>
      </c>
      <c r="D112" s="15" t="inlineStr">
        <is>
          <t>909</t>
        </is>
      </c>
      <c r="E112" s="7" t="inlineStr">
        <is>
          <t>지원조직 독립성 확보(인사권/동의권) 여부</t>
        </is>
      </c>
      <c r="F112" s="15" t="inlineStr">
        <is>
          <t>OX</t>
        </is>
      </c>
      <c r="G112" s="7" t="inlineStr">
        <is>
          <t>기업지배구조보고서</t>
        </is>
      </c>
      <c r="H112" s="6" t="inlineStr">
        <is>
          <t>G-5-1, G-5-2</t>
        </is>
      </c>
      <c r="I112" s="7" t="n"/>
      <c r="J112" s="16" t="n"/>
    </row>
    <row r="113">
      <c r="A113" s="9" t="n">
        <v>111</v>
      </c>
      <c r="B113" s="7" t="inlineStr">
        <is>
          <t>핵심원칙9_내부감사기구</t>
        </is>
      </c>
      <c r="C113" s="6" t="inlineStr">
        <is>
          <t>9-①_독립성과전문성</t>
        </is>
      </c>
      <c r="D113" s="15" t="inlineStr">
        <is>
          <t>910</t>
        </is>
      </c>
      <c r="E113" s="7" t="inlineStr">
        <is>
          <t>감사(위원) 독립적 보수정책 수립 여부</t>
        </is>
      </c>
      <c r="F113" s="15" t="inlineStr">
        <is>
          <t>OX</t>
        </is>
      </c>
      <c r="G113" s="7" t="inlineStr">
        <is>
          <t>기업지배구조보고서</t>
        </is>
      </c>
      <c r="H113" s="6" t="inlineStr">
        <is>
          <t>G-5-1, G-5-2</t>
        </is>
      </c>
      <c r="I113" s="7" t="n"/>
      <c r="J113" s="16" t="n"/>
    </row>
    <row r="114">
      <c r="A114" s="9" t="n">
        <v>112</v>
      </c>
      <c r="B114" s="7" t="inlineStr">
        <is>
          <t>핵심원칙9_내부감사기구</t>
        </is>
      </c>
      <c r="C114" s="6" t="inlineStr">
        <is>
          <t>9-①_독립성과전문성</t>
        </is>
      </c>
      <c r="D114" s="15" t="inlineStr">
        <is>
          <t>911</t>
        </is>
      </c>
      <c r="E114" s="7" t="inlineStr">
        <is>
          <t>감사(위원) 대비 사외이사 보수 비율</t>
        </is>
      </c>
      <c r="F114" s="15" t="inlineStr">
        <is>
          <t>숫자</t>
        </is>
      </c>
      <c r="G114" s="7" t="inlineStr">
        <is>
          <t>기업지배구조보고서</t>
        </is>
      </c>
      <c r="H114" s="6" t="inlineStr">
        <is>
          <t>G-5-1, G-5-2</t>
        </is>
      </c>
      <c r="I114" s="7" t="n"/>
      <c r="J114" s="16" t="n"/>
    </row>
    <row r="115">
      <c r="A115" s="9" t="n">
        <v>113</v>
      </c>
      <c r="B115" s="7" t="inlineStr">
        <is>
          <t>핵심원칙9_내부감사기구</t>
        </is>
      </c>
      <c r="C115" s="6" t="inlineStr">
        <is>
          <t>9-②_활동내역과공개</t>
        </is>
      </c>
      <c r="D115" s="15" t="inlineStr">
        <is>
          <t>912</t>
        </is>
      </c>
      <c r="E115" s="7" t="inlineStr">
        <is>
          <t>내부감사기구 정기회의 개최 여부</t>
        </is>
      </c>
      <c r="F115" s="15" t="inlineStr">
        <is>
          <t>OX</t>
        </is>
      </c>
      <c r="G115" s="7" t="inlineStr">
        <is>
          <t>기업지배구조보고서</t>
        </is>
      </c>
      <c r="H115" s="6" t="inlineStr">
        <is>
          <t>G-5-1, G-5-2</t>
        </is>
      </c>
      <c r="I115" s="7" t="n"/>
      <c r="J115" s="16" t="n"/>
    </row>
    <row r="116">
      <c r="A116" s="9" t="n">
        <v>114</v>
      </c>
      <c r="B116" s="7" t="inlineStr">
        <is>
          <t>핵심원칙9_내부감사기구</t>
        </is>
      </c>
      <c r="C116" s="6" t="inlineStr">
        <is>
          <t>9-②_활동내역과공개</t>
        </is>
      </c>
      <c r="D116" s="15" t="inlineStr">
        <is>
          <t>913</t>
        </is>
      </c>
      <c r="E116" s="7" t="inlineStr">
        <is>
          <t>감사회의록 작성·보존 규정 여부</t>
        </is>
      </c>
      <c r="F116" s="15" t="inlineStr">
        <is>
          <t>OX</t>
        </is>
      </c>
      <c r="G116" s="7" t="inlineStr">
        <is>
          <t>기업지배구조보고서</t>
        </is>
      </c>
      <c r="H116" s="6" t="inlineStr">
        <is>
          <t>G-5-1, G-5-2</t>
        </is>
      </c>
      <c r="I116" s="7" t="n"/>
      <c r="J116" s="16" t="n"/>
    </row>
    <row r="117">
      <c r="A117" s="9" t="n">
        <v>115</v>
      </c>
      <c r="B117" s="7" t="inlineStr">
        <is>
          <t>핵심원칙9_내부감사기구</t>
        </is>
      </c>
      <c r="C117" s="6" t="inlineStr">
        <is>
          <t>9-②_활동내역과공개</t>
        </is>
      </c>
      <c r="D117" s="15" t="inlineStr">
        <is>
          <t>914</t>
        </is>
      </c>
      <c r="E117" s="7" t="inlineStr">
        <is>
          <t>감사위원회 개별이사 출석률(최근3개년,%)</t>
        </is>
      </c>
      <c r="F117" s="15" t="inlineStr">
        <is>
          <t>숫자</t>
        </is>
      </c>
      <c r="G117" s="7" t="inlineStr">
        <is>
          <t>기업지배구조보고서</t>
        </is>
      </c>
      <c r="H117" s="6" t="inlineStr">
        <is>
          <t>G-5-1, G-5-2</t>
        </is>
      </c>
      <c r="I117" s="7" t="inlineStr">
        <is>
          <t>표 9-2-1</t>
        </is>
      </c>
      <c r="J117" s="16" t="n"/>
    </row>
    <row r="118">
      <c r="A118" s="9" t="n">
        <v>116</v>
      </c>
      <c r="B118" s="7" t="inlineStr">
        <is>
          <t>핵심원칙10_외부감사인</t>
        </is>
      </c>
      <c r="C118" s="6" t="inlineStr">
        <is>
          <t>10-①_선임시독립성전문성</t>
        </is>
      </c>
      <c r="D118" s="15" t="inlineStr">
        <is>
          <t>1001</t>
        </is>
      </c>
      <c r="E118" s="7" t="inlineStr">
        <is>
          <t>외부감사인 선임 관련 정책 마련 여부</t>
        </is>
      </c>
      <c r="F118" s="15" t="inlineStr">
        <is>
          <t>OX</t>
        </is>
      </c>
      <c r="G118" s="7" t="inlineStr">
        <is>
          <t>기업지배구조보고서</t>
        </is>
      </c>
      <c r="H118" s="6" t="inlineStr">
        <is>
          <t>G-5-1(외부감사 보강)</t>
        </is>
      </c>
      <c r="I118" s="7" t="n"/>
      <c r="J118" s="16" t="n"/>
    </row>
    <row r="119">
      <c r="A119" s="9" t="n">
        <v>117</v>
      </c>
      <c r="B119" s="7" t="inlineStr">
        <is>
          <t>핵심원칙10_외부감사인</t>
        </is>
      </c>
      <c r="C119" s="6" t="inlineStr">
        <is>
          <t>10-①_선임시독립성전문성</t>
        </is>
      </c>
      <c r="D119" s="15" t="inlineStr">
        <is>
          <t>1002</t>
        </is>
      </c>
      <c r="E119" s="7" t="inlineStr">
        <is>
          <t>외부감사인 독립성 훼손우려 상황 유무</t>
        </is>
      </c>
      <c r="F119" s="15" t="inlineStr">
        <is>
          <t>OX</t>
        </is>
      </c>
      <c r="G119" s="7" t="inlineStr">
        <is>
          <t>기업지배구조보고서</t>
        </is>
      </c>
      <c r="H119" s="6" t="inlineStr">
        <is>
          <t>G-5-1(외부감사 보강)</t>
        </is>
      </c>
      <c r="I119" s="7" t="inlineStr">
        <is>
          <t>비감사용역 사전승인 등 4가지 기준</t>
        </is>
      </c>
      <c r="J119" s="16" t="n"/>
    </row>
    <row r="120">
      <c r="A120" s="9" t="n">
        <v>118</v>
      </c>
      <c r="B120" s="7" t="inlineStr">
        <is>
          <t>핵심원칙10_외부감사인</t>
        </is>
      </c>
      <c r="C120" s="6" t="inlineStr">
        <is>
          <t>10-②_주기적의사소통</t>
        </is>
      </c>
      <c r="D120" s="15" t="inlineStr">
        <is>
          <t>1003</t>
        </is>
      </c>
      <c r="E120" s="7" t="inlineStr">
        <is>
          <t>내부감사기구-외부감사인 분기1회 이상 경영진 없이 소통 시행여부</t>
        </is>
      </c>
      <c r="F120" s="15" t="inlineStr">
        <is>
          <t>OX</t>
        </is>
      </c>
      <c r="G120" s="7" t="inlineStr">
        <is>
          <t>기업지배구조보고서</t>
        </is>
      </c>
      <c r="H120" s="6" t="inlineStr">
        <is>
          <t>G-5-1(외부감사 보강)</t>
        </is>
      </c>
      <c r="I120" s="7" t="inlineStr">
        <is>
          <t>핵심지표 H14</t>
        </is>
      </c>
      <c r="J120" s="16" t="n"/>
    </row>
    <row r="121">
      <c r="A121" s="9" t="n">
        <v>119</v>
      </c>
      <c r="B121" s="7" t="inlineStr">
        <is>
          <t>핵심원칙10_외부감사인</t>
        </is>
      </c>
      <c r="C121" s="6" t="inlineStr">
        <is>
          <t>10-②_주기적의사소통</t>
        </is>
      </c>
      <c r="D121" s="15" t="inlineStr">
        <is>
          <t>1004</t>
        </is>
      </c>
      <c r="E121" s="7" t="inlineStr">
        <is>
          <t>재무제표 정기주총 6주 전 제공 여부</t>
        </is>
      </c>
      <c r="F121" s="15" t="inlineStr">
        <is>
          <t>OX</t>
        </is>
      </c>
      <c r="G121" s="7" t="inlineStr">
        <is>
          <t>기업지배구조보고서</t>
        </is>
      </c>
      <c r="H121" s="6" t="inlineStr">
        <is>
          <t>G-5-1(외부감사 보강)</t>
        </is>
      </c>
      <c r="I121" s="7" t="n"/>
      <c r="J121" s="16" t="n"/>
    </row>
    <row r="122">
      <c r="A122" s="9" t="n">
        <v>120</v>
      </c>
      <c r="B122" s="7" t="inlineStr">
        <is>
          <t>핵심원칙10_외부감사인</t>
        </is>
      </c>
      <c r="C122" s="6" t="inlineStr">
        <is>
          <t>10-②_주기적의사소통</t>
        </is>
      </c>
      <c r="D122" s="15" t="inlineStr">
        <is>
          <t>1005</t>
        </is>
      </c>
      <c r="E122" s="7" t="inlineStr">
        <is>
          <t>연결재무제표 정기주총 4주 전 제공 여부</t>
        </is>
      </c>
      <c r="F122" s="15" t="inlineStr">
        <is>
          <t>OX</t>
        </is>
      </c>
      <c r="G122" s="7" t="inlineStr">
        <is>
          <t>기업지배구조보고서</t>
        </is>
      </c>
      <c r="H122" s="6" t="inlineStr">
        <is>
          <t>G-5-1(외부감사 보강)</t>
        </is>
      </c>
      <c r="I122" s="7" t="n"/>
      <c r="J122" s="16" t="n"/>
    </row>
    <row r="123">
      <c r="A123" s="9" t="n">
        <v>121</v>
      </c>
      <c r="B123" s="7" t="inlineStr">
        <is>
          <t>기타_기업가치제고계획</t>
        </is>
      </c>
      <c r="C123" s="6" t="inlineStr">
        <is>
          <t>11_기업가치제고계획</t>
        </is>
      </c>
      <c r="D123" s="15" t="inlineStr">
        <is>
          <t>1101</t>
        </is>
      </c>
      <c r="E123" s="7" t="inlineStr">
        <is>
          <t>기업가치 제고 계획 자율공시 여부</t>
        </is>
      </c>
      <c r="F123" s="15" t="inlineStr">
        <is>
          <t>OX</t>
        </is>
      </c>
      <c r="G123" s="7" t="inlineStr">
        <is>
          <t>사업보고서(DART)</t>
        </is>
      </c>
      <c r="H123" s="6" t="inlineStr">
        <is>
          <t>GAP(밸류업 프로그램-K-ESG 미대응)</t>
        </is>
      </c>
      <c r="I123" s="7" t="inlineStr">
        <is>
          <t>밸류업 프로그램</t>
        </is>
      </c>
      <c r="J123" s="16" t="n"/>
    </row>
    <row r="124">
      <c r="A124" s="9" t="n">
        <v>122</v>
      </c>
      <c r="B124" s="7" t="inlineStr">
        <is>
          <t>기타_기업가치제고계획</t>
        </is>
      </c>
      <c r="C124" s="6" t="inlineStr">
        <is>
          <t>11_기업가치제고계획</t>
        </is>
      </c>
      <c r="D124" s="15" t="inlineStr">
        <is>
          <t>1102</t>
        </is>
      </c>
      <c r="E124" s="7" t="inlineStr">
        <is>
          <t>기업가치 제고 계획 수립·공시 과정 이사회 참여 여부</t>
        </is>
      </c>
      <c r="F124" s="15" t="inlineStr">
        <is>
          <t>OX</t>
        </is>
      </c>
      <c r="G124" s="7" t="inlineStr">
        <is>
          <t>사업보고서(DART)</t>
        </is>
      </c>
      <c r="H124" s="6" t="inlineStr">
        <is>
          <t>GAP(밸류업 프로그램-K-ESG 미대응)</t>
        </is>
      </c>
      <c r="I124" s="7" t="n"/>
      <c r="J124" s="16" t="n"/>
    </row>
    <row r="125">
      <c r="A125" s="9" t="n">
        <v>123</v>
      </c>
      <c r="B125" s="7" t="inlineStr">
        <is>
          <t>기타_기업가치제고계획</t>
        </is>
      </c>
      <c r="C125" s="6" t="inlineStr">
        <is>
          <t>11_기업가치제고계획</t>
        </is>
      </c>
      <c r="D125" s="15" t="inlineStr">
        <is>
          <t>1103</t>
        </is>
      </c>
      <c r="E125" s="7" t="inlineStr">
        <is>
          <t>기업가치 제고 계획 주주·시장 소통 실적 여부</t>
        </is>
      </c>
      <c r="F125" s="15" t="inlineStr">
        <is>
          <t>OX</t>
        </is>
      </c>
      <c r="G125" s="7" t="inlineStr">
        <is>
          <t>사업보고서(DART)</t>
        </is>
      </c>
      <c r="H125" s="6" t="inlineStr">
        <is>
          <t>GAP(밸류업 프로그램-K-ESG 미대응)</t>
        </is>
      </c>
      <c r="I125" s="7" t="n"/>
      <c r="J125" s="16" t="n"/>
    </row>
    <row r="126">
      <c r="A126" s="9" t="n">
        <v>124</v>
      </c>
      <c r="B126" s="7" t="inlineStr">
        <is>
          <t>지속가능경영보고서_공시일반</t>
        </is>
      </c>
      <c r="C126" s="6" t="inlineStr">
        <is>
          <t>보고서발간여부</t>
        </is>
      </c>
      <c r="D126" s="15" t="inlineStr">
        <is>
          <t>S01</t>
        </is>
      </c>
      <c r="E126" s="7" t="inlineStr">
        <is>
          <t>당해연도 지속가능경영보고서 발간 여부</t>
        </is>
      </c>
      <c r="F126" s="15" t="inlineStr">
        <is>
          <t>OX</t>
        </is>
      </c>
      <c r="G126" s="7" t="inlineStr">
        <is>
          <t>지속가능경영보고서</t>
        </is>
      </c>
      <c r="H126" s="6" t="inlineStr">
        <is>
          <t>P-1-1</t>
        </is>
      </c>
      <c r="I126" s="7" t="inlineStr">
        <is>
          <t>핵심 종속변수(도표5 등에 사용)</t>
        </is>
      </c>
      <c r="J126" s="16" t="n"/>
    </row>
    <row r="127">
      <c r="A127" s="9" t="n">
        <v>125</v>
      </c>
      <c r="B127" s="7" t="inlineStr">
        <is>
          <t>지속가능경영보고서_공시일반</t>
        </is>
      </c>
      <c r="C127" s="6" t="inlineStr">
        <is>
          <t>보고서발간여부</t>
        </is>
      </c>
      <c r="D127" s="15" t="inlineStr">
        <is>
          <t>S02</t>
        </is>
      </c>
      <c r="E127" s="7" t="inlineStr">
        <is>
          <t>발간 채널(자사 홈페이지 게시 / 거래소(KIND) 공시)</t>
        </is>
      </c>
      <c r="F127" s="15" t="inlineStr">
        <is>
          <t>범주</t>
        </is>
      </c>
      <c r="G127" s="7" t="inlineStr">
        <is>
          <t>지속가능경영보고서</t>
        </is>
      </c>
      <c r="H127" s="6" t="inlineStr">
        <is>
          <t>P-1-1</t>
        </is>
      </c>
      <c r="I127" s="7" t="inlineStr">
        <is>
          <t>Report vs ReportKRX 구분</t>
        </is>
      </c>
      <c r="J127" s="16" t="n"/>
    </row>
    <row r="128">
      <c r="A128" s="9" t="n">
        <v>126</v>
      </c>
      <c r="B128" s="7" t="inlineStr">
        <is>
          <t>지속가능경영보고서_공시일반</t>
        </is>
      </c>
      <c r="C128" s="6" t="inlineStr">
        <is>
          <t>보고서발간여부</t>
        </is>
      </c>
      <c r="D128" s="15" t="inlineStr">
        <is>
          <t>S03</t>
        </is>
      </c>
      <c r="E128" s="7" t="inlineStr">
        <is>
          <t>보고서 분량(단어수/페이지수)</t>
        </is>
      </c>
      <c r="F128" s="15" t="inlineStr">
        <is>
          <t>숫자</t>
        </is>
      </c>
      <c r="G128" s="7" t="inlineStr">
        <is>
          <t>지속가능경영보고서</t>
        </is>
      </c>
      <c r="H128" s="6" t="inlineStr">
        <is>
          <t>P-1-1</t>
        </is>
      </c>
      <c r="I128" s="7" t="inlineStr">
        <is>
          <t>정보량 대리변수</t>
        </is>
      </c>
      <c r="J128" s="16" t="n"/>
    </row>
    <row r="129">
      <c r="A129" s="9" t="n">
        <v>127</v>
      </c>
      <c r="B129" s="7" t="inlineStr">
        <is>
          <t>지속가능경영보고서_공시일반</t>
        </is>
      </c>
      <c r="C129" s="6" t="inlineStr">
        <is>
          <t>보고서발간여부</t>
        </is>
      </c>
      <c r="D129" s="15" t="inlineStr">
        <is>
          <t>S04</t>
        </is>
      </c>
      <c r="E129" s="7" t="inlineStr">
        <is>
          <t>GRI Standards Index 수록 여부</t>
        </is>
      </c>
      <c r="F129" s="15" t="inlineStr">
        <is>
          <t>OX</t>
        </is>
      </c>
      <c r="G129" s="7" t="inlineStr">
        <is>
          <t>지속가능경영보고서</t>
        </is>
      </c>
      <c r="H129" s="6" t="inlineStr">
        <is>
          <t>P-2-1</t>
        </is>
      </c>
      <c r="I129" s="7" t="n"/>
      <c r="J129" s="16" t="n"/>
    </row>
    <row r="130">
      <c r="A130" s="9" t="n">
        <v>128</v>
      </c>
      <c r="B130" s="7" t="inlineStr">
        <is>
          <t>지속가능경영보고서_공시일반</t>
        </is>
      </c>
      <c r="C130" s="6" t="inlineStr">
        <is>
          <t>보고서발간여부</t>
        </is>
      </c>
      <c r="D130" s="15" t="inlineStr">
        <is>
          <t>S05</t>
        </is>
      </c>
      <c r="E130" s="7" t="inlineStr">
        <is>
          <t>제3자 검증(외부 검증) 여부</t>
        </is>
      </c>
      <c r="F130" s="15" t="inlineStr">
        <is>
          <t>OX</t>
        </is>
      </c>
      <c r="G130" s="7" t="inlineStr">
        <is>
          <t>지속가능경영보고서</t>
        </is>
      </c>
      <c r="H130" s="6" t="inlineStr">
        <is>
          <t>P-3-1</t>
        </is>
      </c>
      <c r="I130" s="7" t="n"/>
      <c r="J130" s="16" t="n"/>
    </row>
    <row r="131">
      <c r="A131" s="9" t="n">
        <v>129</v>
      </c>
      <c r="B131" s="7" t="inlineStr">
        <is>
          <t>지속가능경영보고서_공시일반</t>
        </is>
      </c>
      <c r="C131" s="6" t="inlineStr">
        <is>
          <t>보고서발간여부</t>
        </is>
      </c>
      <c r="D131" s="15" t="inlineStr">
        <is>
          <t>S06</t>
        </is>
      </c>
      <c r="E131" s="7" t="inlineStr">
        <is>
          <t>ESG위원회/거버넌스 조직도 수록 여부</t>
        </is>
      </c>
      <c r="F131" s="15" t="inlineStr">
        <is>
          <t>OX</t>
        </is>
      </c>
      <c r="G131" s="7" t="inlineStr">
        <is>
          <t>지속가능경영보고서</t>
        </is>
      </c>
      <c r="H131" s="6" t="inlineStr">
        <is>
          <t>G-1-1</t>
        </is>
      </c>
      <c r="I131" s="7" t="n"/>
      <c r="J131" s="16" t="n"/>
    </row>
    <row r="132">
      <c r="A132" s="9" t="n"/>
      <c r="B132" s="7" t="n"/>
      <c r="C132" s="6" t="n"/>
      <c r="D132" s="15" t="n"/>
      <c r="E132" s="7" t="n"/>
      <c r="F132" s="15" t="n"/>
      <c r="G132" s="7" t="n"/>
      <c r="H132" s="6" t="n"/>
      <c r="I132" s="7" t="n"/>
      <c r="J132" s="16" t="n"/>
    </row>
    <row r="133">
      <c r="A133" s="9" t="inlineStr">
        <is>
          <t>출처: 3_ESG_지배구조_크롤링_체크리스트.xlsx (한국거래소 「기업지배구조보고서 가이드라인」 2025년 개정판 기준)</t>
        </is>
      </c>
      <c r="B133" s="7" t="n"/>
      <c r="C133" s="6" t="n"/>
      <c r="D133" s="15" t="n"/>
      <c r="E133" s="7" t="n"/>
      <c r="F133" s="15" t="n"/>
      <c r="G133" s="7" t="n"/>
      <c r="H133" s="6" t="n"/>
      <c r="I133" s="7" t="n"/>
      <c r="J133" s="16" t="n"/>
    </row>
    <row r="134">
      <c r="A134" s="9" t="inlineStr">
        <is>
          <t>"연계 K-ESG 분류코드"가 GAP으로 표시된 항목은 K-ESG v2.0에 대응 항목이 없는 지표입니다 (예: 기업가치제고계획/밸류업 프로그램).</t>
        </is>
      </c>
      <c r="B134" s="7" t="n"/>
      <c r="C134" s="6" t="n"/>
      <c r="D134" s="15" t="n"/>
      <c r="E134" s="7" t="n"/>
      <c r="F134" s="15" t="n"/>
      <c r="G134" s="7" t="n"/>
      <c r="H134" s="6" t="n"/>
      <c r="I134" s="7" t="n"/>
      <c r="J134" s="16" t="n"/>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G10"/>
  <sheetViews>
    <sheetView workbookViewId="0">
      <selection activeCell="A1" sqref="A1"/>
    </sheetView>
  </sheetViews>
  <sheetFormatPr baseColWidth="8" defaultRowHeight="15"/>
  <cols>
    <col width="3" customWidth="1" min="1" max="1"/>
    <col width="30" customWidth="1" min="2" max="2"/>
    <col width="12" customWidth="1" min="3" max="3"/>
    <col width="12" customWidth="1" min="4" max="4"/>
    <col width="18" customWidth="1" min="5" max="5"/>
    <col width="12" customWidth="1" min="6" max="6"/>
    <col width="12" customWidth="1" min="7" max="7"/>
  </cols>
  <sheetData>
    <row r="2">
      <c r="B2" s="17" t="inlineStr">
        <is>
          <t>KSSB 대비 GAP 분석 (분리본: G(지배구조)+P(정보공시)+반도체특화)</t>
        </is>
      </c>
    </row>
    <row r="3">
      <c r="B3" t="inlineStr">
        <is>
          <t>KSSB(한국지속가능성기준위원회) 지속가능성 공시기준서 제1호(일반요구사항)·제2호(기후) 대비 K-ESG 가이드라인 v2.0의 대응 현황</t>
        </is>
      </c>
    </row>
    <row r="4">
      <c r="B4" s="1" t="inlineStr">
        <is>
          <t>※ 「ESG_핵심지표_채점기준표_전체」 01시트를 G(지배구조)+P(정보공시)+반도체특화 기준으로 재분류한 파일입니다. 아래 표는 01시트 입력값에 실시간 연동되는 수식입니다 (반도체특화문항은 영역과 무관하게 G 파일에 포함).</t>
        </is>
      </c>
    </row>
    <row r="6">
      <c r="A6" s="18" t="n"/>
      <c r="B6" s="19" t="inlineStr">
        <is>
          <t>영역</t>
        </is>
      </c>
      <c r="C6" s="19" t="inlineStr">
        <is>
          <t>완전대응</t>
        </is>
      </c>
      <c r="D6" s="19" t="inlineStr">
        <is>
          <t>부분대응</t>
        </is>
      </c>
      <c r="E6" s="19" t="inlineStr">
        <is>
          <t>GAP(대응지표 없음)</t>
        </is>
      </c>
      <c r="F6" s="19" t="inlineStr">
        <is>
          <t>항목수 합계</t>
        </is>
      </c>
      <c r="G6" s="19" t="inlineStr">
        <is>
          <t>완전대응율</t>
        </is>
      </c>
    </row>
    <row r="7">
      <c r="A7" s="20" t="n"/>
      <c r="B7" s="20" t="inlineStr">
        <is>
          <t>정보공시(P)</t>
        </is>
      </c>
      <c r="C7" s="20">
        <f>COUNTIFS('01_ESG통합진단마스터'!$D$3:$D$32,"정보공시",'01_ESG통합진단마스터'!$P$3:$P$32,"완전대응")</f>
        <v/>
      </c>
      <c r="D7" s="20">
        <f>COUNTIFS('01_ESG통합진단마스터'!$D$3:$D$32,"정보공시",'01_ESG통합진단마스터'!$P$3:$P$32,"부분대응")</f>
        <v/>
      </c>
      <c r="E7" s="20">
        <f>COUNTIFS('01_ESG통합진단마스터'!$D$3:$D$32,"정보공시",'01_ESG통합진단마스터'!$P$3:$P$32,"GAP(대응지표 없음)")</f>
        <v/>
      </c>
      <c r="F7" s="20">
        <f>C7+D7+E7</f>
        <v/>
      </c>
      <c r="G7" s="21">
        <f>IFERROR(C7/F7,0)</f>
        <v/>
      </c>
    </row>
    <row r="8">
      <c r="A8" s="20" t="n"/>
      <c r="B8" s="20" t="inlineStr">
        <is>
          <t>지배구조(G)</t>
        </is>
      </c>
      <c r="C8" s="20">
        <f>COUNTIFS('01_ESG통합진단마스터'!$D$3:$D$32,"지배구조",'01_ESG통합진단마스터'!$C$3:$C$32,"&lt;&gt;업종특화(반도체 v1.0)",'01_ESG통합진단마스터'!$P$3:$P$32,"완전대응")</f>
        <v/>
      </c>
      <c r="D8" s="20">
        <f>COUNTIFS('01_ESG통합진단마스터'!$D$3:$D$32,"지배구조",'01_ESG통합진단마스터'!$C$3:$C$32,"&lt;&gt;업종특화(반도체 v1.0)",'01_ESG통합진단마스터'!$P$3:$P$32,"부분대응")</f>
        <v/>
      </c>
      <c r="E8" s="20">
        <f>COUNTIFS('01_ESG통합진단마스터'!$D$3:$D$32,"지배구조",'01_ESG통합진단마스터'!$C$3:$C$32,"&lt;&gt;업종특화(반도체 v1.0)",'01_ESG통합진단마스터'!$P$3:$P$32,"GAP(대응지표 없음)")</f>
        <v/>
      </c>
      <c r="F8" s="20">
        <f>C8+D8+E8</f>
        <v/>
      </c>
      <c r="G8" s="21">
        <f>IFERROR(C8/F8,0)</f>
        <v/>
      </c>
    </row>
    <row r="9">
      <c r="A9" s="20" t="n"/>
      <c r="B9" s="20" t="inlineStr">
        <is>
          <t>업종특화(반도체)</t>
        </is>
      </c>
      <c r="C9" s="20">
        <f>COUNTIFS('01_ESG통합진단마스터'!$C$3:$C$32,"업종특화(반도체 v1.0)",'01_ESG통합진단마스터'!$P$3:$P$32,"완전대응")</f>
        <v/>
      </c>
      <c r="D9" s="20">
        <f>COUNTIFS('01_ESG통합진단마스터'!$C$3:$C$32,"업종특화(반도체 v1.0)",'01_ESG통합진단마스터'!$P$3:$P$32,"부분대응")</f>
        <v/>
      </c>
      <c r="E9" s="20">
        <f>COUNTIFS('01_ESG통합진단마스터'!$C$3:$C$32,"업종특화(반도체 v1.0)",'01_ESG통합진단마스터'!$P$3:$P$32,"GAP(대응지표 없음)")</f>
        <v/>
      </c>
      <c r="F9" s="20">
        <f>C9+D9+E9</f>
        <v/>
      </c>
      <c r="G9" s="21">
        <f>IFERROR(C9/F9,0)</f>
        <v/>
      </c>
    </row>
    <row r="10">
      <c r="A10" s="20" t="n"/>
      <c r="B10" s="22" t="inlineStr">
        <is>
          <t>전체(G(지배구조)+P(정보공시)+반도체특화)</t>
        </is>
      </c>
      <c r="C10" s="22">
        <f>SUM(C7:C9)</f>
        <v/>
      </c>
      <c r="D10" s="22">
        <f>SUM(D7:D9)</f>
        <v/>
      </c>
      <c r="E10" s="22">
        <f>SUM(E7:E9)</f>
        <v/>
      </c>
      <c r="F10" s="22">
        <f>SUM(F7:F9)</f>
        <v/>
      </c>
      <c r="G10" s="23">
        <f>IFERROR(C10/F10,0)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27"/>
  <sheetViews>
    <sheetView workbookViewId="0">
      <selection activeCell="A1" sqref="A1"/>
    </sheetView>
  </sheetViews>
  <sheetFormatPr baseColWidth="8" defaultRowHeight="15"/>
  <cols>
    <col width="3" customWidth="1" min="1" max="1"/>
    <col width="30" customWidth="1" min="2" max="2"/>
    <col width="12" customWidth="1" min="3" max="3"/>
    <col width="14" customWidth="1" min="4" max="4"/>
    <col width="16" customWidth="1" min="5" max="5"/>
    <col width="14" customWidth="1" min="6" max="6"/>
    <col width="14" customWidth="1" min="7" max="7"/>
  </cols>
  <sheetData>
    <row r="2">
      <c r="B2" s="17" t="inlineStr">
        <is>
          <t>ESG 통합진단 요약 대시보드 (분리본: G(지배구조)+P(정보공시)+반도체특화)</t>
        </is>
      </c>
    </row>
    <row r="3">
      <c r="B3" s="1" t="inlineStr">
        <is>
          <t>01_ESG통합진단마스터 시트의 입력값에 실시간 연동되는 수식입니다 (해당 시트에 점수를 입력하면 아래 표가 자동 갱신됩니다)</t>
        </is>
      </c>
    </row>
    <row r="5">
      <c r="B5" s="24" t="inlineStr">
        <is>
          <t>1. 진단 완료 현황</t>
        </is>
      </c>
    </row>
    <row r="6">
      <c r="B6" t="inlineStr">
        <is>
          <t>전체 진단항목 수</t>
        </is>
      </c>
      <c r="C6">
        <f>COUNTA('01_ESG통합진단마스터'!$B$3:$B$32)</f>
        <v/>
      </c>
    </row>
    <row r="7">
      <c r="B7" t="inlineStr">
        <is>
          <t>점수 입력 완료 항목 수</t>
        </is>
      </c>
      <c r="C7">
        <f>COUNT('01_ESG통합진단마스터'!$X$3:$X$32)</f>
        <v/>
      </c>
    </row>
    <row r="8">
      <c r="B8" t="inlineStr">
        <is>
          <t>입력 완료율</t>
        </is>
      </c>
      <c r="C8" s="25">
        <f>IFERROR(C7/C6,0)</f>
        <v/>
      </c>
    </row>
    <row r="10">
      <c r="B10" s="24" t="inlineStr">
        <is>
          <t>2. 영역별 평균 점수 (G(지배구조)+P(정보공시)+반도체특화 기준, 동일가중 단순평균 — 각 항목 100점 기준)</t>
        </is>
      </c>
    </row>
    <row r="11">
      <c r="A11" s="18" t="n"/>
      <c r="B11" s="19" t="inlineStr">
        <is>
          <t>영역</t>
        </is>
      </c>
      <c r="C11" s="19" t="inlineStr">
        <is>
          <t>항목 수</t>
        </is>
      </c>
      <c r="D11" s="19" t="inlineStr">
        <is>
          <t>점수입력 완료수</t>
        </is>
      </c>
      <c r="E11" s="19" t="inlineStr">
        <is>
          <t>평균점수(100점 환산)</t>
        </is>
      </c>
      <c r="F11" s="19" t="inlineStr">
        <is>
          <t>완전대응(KSSB)</t>
        </is>
      </c>
      <c r="G11" s="19" t="inlineStr">
        <is>
          <t>GAP(KSSB)</t>
        </is>
      </c>
    </row>
    <row r="12">
      <c r="A12" s="20" t="n"/>
      <c r="B12" s="20" t="inlineStr">
        <is>
          <t>정보공시(P)</t>
        </is>
      </c>
      <c r="C12" s="20">
        <f>COUNTIFS('01_ESG통합진단마스터'!$D$3:$D$32,"정보공시")</f>
        <v/>
      </c>
      <c r="D12" s="20">
        <f>SUMPRODUCT(('01_ESG통합진단마스터'!$D$3:$D$32="정보공시")*ISNUMBER('01_ESG통합진단마스터'!$X$3:$X$32))</f>
        <v/>
      </c>
      <c r="E12" s="20">
        <f>IFERROR(AVERAGEIFS('01_ESG통합진단마스터'!$X$3:$X$32,'01_ESG통합진단마스터'!$D$3:$D$32,"정보공시"),"미입력")</f>
        <v/>
      </c>
      <c r="F12" s="20">
        <f>COUNTIFS('01_ESG통합진단마스터'!$D$3:$D$32,"정보공시",'01_ESG통합진단마스터'!$P$3:$P$32,"완전대응")</f>
        <v/>
      </c>
      <c r="G12" s="20">
        <f>COUNTIFS('01_ESG통합진단마스터'!$D$3:$D$32,"정보공시",'01_ESG통합진단마스터'!$P$3:$P$32,"GAP(대응지표 없음)")</f>
        <v/>
      </c>
    </row>
    <row r="13">
      <c r="A13" s="20" t="n"/>
      <c r="B13" s="20" t="inlineStr">
        <is>
          <t>지배구조(G)</t>
        </is>
      </c>
      <c r="C13" s="20">
        <f>COUNTIFS('01_ESG통합진단마스터'!$D$3:$D$32,"지배구조",'01_ESG통합진단마스터'!$C$3:$C$32,"&lt;&gt;업종특화(반도체 v1.0)")</f>
        <v/>
      </c>
      <c r="D13" s="20">
        <f>SUMPRODUCT(('01_ESG통합진단마스터'!$D$3:$D$32="지배구조")*('01_ESG통합진단마스터'!$C$3:$C$32&lt;&gt;"업종특화(반도체 v1.0)")*ISNUMBER('01_ESG통합진단마스터'!$X$3:$X$32))</f>
        <v/>
      </c>
      <c r="E13" s="20">
        <f>IFERROR(AVERAGEIFS('01_ESG통합진단마스터'!$X$3:$X$32,'01_ESG통합진단마스터'!$D$3:$D$32,"지배구조",'01_ESG통합진단마스터'!$C$3:$C$32,"&lt;&gt;업종특화(반도체 v1.0)"),"미입력")</f>
        <v/>
      </c>
      <c r="F13" s="20">
        <f>COUNTIFS('01_ESG통합진단마스터'!$D$3:$D$32,"지배구조",'01_ESG통합진단마스터'!$C$3:$C$32,"&lt;&gt;업종특화(반도체 v1.0)",'01_ESG통합진단마스터'!$P$3:$P$32,"완전대응")</f>
        <v/>
      </c>
      <c r="G13" s="20">
        <f>COUNTIFS('01_ESG통합진단마스터'!$D$3:$D$32,"지배구조",'01_ESG통합진단마스터'!$C$3:$C$32,"&lt;&gt;업종특화(반도체 v1.0)",'01_ESG통합진단마스터'!$P$3:$P$32,"GAP(대응지표 없음)")</f>
        <v/>
      </c>
    </row>
    <row r="14">
      <c r="A14" s="20" t="n"/>
      <c r="B14" s="20" t="inlineStr">
        <is>
          <t>업종특화(반도체)</t>
        </is>
      </c>
      <c r="C14" s="20">
        <f>COUNTIFS('01_ESG통합진단마스터'!$C$3:$C$32,"업종특화(반도체 v1.0)")</f>
        <v/>
      </c>
      <c r="D14" s="20">
        <f>SUMPRODUCT(('01_ESG통합진단마스터'!$C$3:$C$32="업종특화(반도체 v1.0)")*ISNUMBER('01_ESG통합진단마스터'!$X$3:$X$32))</f>
        <v/>
      </c>
      <c r="E14" s="20">
        <f>IFERROR(AVERAGEIFS('01_ESG통합진단마스터'!$X$3:$X$32,'01_ESG통합진단마스터'!$C$3:$C$32,"업종특화(반도체 v1.0)"),"미입력")</f>
        <v/>
      </c>
      <c r="F14" s="20">
        <f>COUNTIFS('01_ESG통합진단마스터'!$C$3:$C$32,"업종특화(반도체 v1.0)",'01_ESG통합진단마스터'!$P$3:$P$32,"완전대응")</f>
        <v/>
      </c>
      <c r="G14" s="20">
        <f>COUNTIFS('01_ESG통합진단마스터'!$C$3:$C$32,"업종특화(반도체 v1.0)",'01_ESG통합진단마스터'!$P$3:$P$32,"GAP(대응지표 없음)")</f>
        <v/>
      </c>
    </row>
    <row r="15">
      <c r="A15" s="20" t="n"/>
      <c r="B15" s="22" t="inlineStr">
        <is>
          <t>전체(종합)</t>
        </is>
      </c>
      <c r="C15" s="22">
        <f>SUM(C12:C14)</f>
        <v/>
      </c>
      <c r="D15" s="22">
        <f>SUM(D12:D14)</f>
        <v/>
      </c>
      <c r="E15" s="22">
        <f>IFERROR(AVERAGE('01_ESG통합진단마스터'!$X$3:$X$32),"미입력")</f>
        <v/>
      </c>
      <c r="F15" s="22">
        <f>SUM(F12:F14)</f>
        <v/>
      </c>
      <c r="G15" s="22">
        <f>SUM(G12:G14)</f>
        <v/>
      </c>
    </row>
    <row r="18">
      <c r="B18" s="24" t="inlineStr">
        <is>
          <t>3. 적용구분별 항목 수 (기본/추가/업종특화)</t>
        </is>
      </c>
    </row>
    <row r="19">
      <c r="A19" s="18" t="n"/>
      <c r="B19" s="19" t="inlineStr">
        <is>
          <t>적용구분</t>
        </is>
      </c>
      <c r="C19" s="19" t="inlineStr">
        <is>
          <t>항목 수</t>
        </is>
      </c>
      <c r="D19" s="19" t="inlineStr">
        <is>
          <t>점수입력 완료수</t>
        </is>
      </c>
      <c r="E19" s="19" t="inlineStr">
        <is>
          <t>평균점수</t>
        </is>
      </c>
    </row>
    <row r="20">
      <c r="A20" s="20" t="n"/>
      <c r="B20" s="20" t="inlineStr">
        <is>
          <t>기본진단항목(v2.0)</t>
        </is>
      </c>
      <c r="C20" s="20">
        <f>COUNTIF('01_ESG통합진단마스터'!$C$3:$C$32,"기본진단항목(v2.0)")</f>
        <v/>
      </c>
      <c r="D20" s="20">
        <f>SUMPRODUCT(('01_ESG통합진단마스터'!$C$3:$C$32="기본진단항목(v2.0)")*ISNUMBER('01_ESG통합진단마스터'!$X$3:$X$32))</f>
        <v/>
      </c>
      <c r="E20" s="20">
        <f>IFERROR(AVERAGEIFS('01_ESG통합진단마스터'!$X$3:$X$32,'01_ESG통합진단마스터'!$C$3:$C$32,"기본진단항목(v2.0)"),"미입력")</f>
        <v/>
      </c>
    </row>
    <row r="21">
      <c r="A21" s="20" t="n"/>
      <c r="B21" s="20" t="inlineStr">
        <is>
          <t>추가진단항목(v2.0)</t>
        </is>
      </c>
      <c r="C21" s="20">
        <f>COUNTIF('01_ESG통합진단마스터'!$C$3:$C$32,"추가진단항목(v2.0)")</f>
        <v/>
      </c>
      <c r="D21" s="20">
        <f>SUMPRODUCT(('01_ESG통합진단마스터'!$C$3:$C$32="추가진단항목(v2.0)")*ISNUMBER('01_ESG통합진단마스터'!$X$3:$X$32))</f>
        <v/>
      </c>
      <c r="E21" s="20">
        <f>IFERROR(AVERAGEIFS('01_ESG통합진단마스터'!$X$3:$X$32,'01_ESG통합진단마스터'!$C$3:$C$32,"추가진단항목(v2.0)"),"미입력")</f>
        <v/>
      </c>
    </row>
    <row r="22">
      <c r="A22" s="20" t="n"/>
      <c r="B22" s="20" t="inlineStr">
        <is>
          <t>업종특화(반도체 v1.0)</t>
        </is>
      </c>
      <c r="C22" s="20">
        <f>COUNTIF('01_ESG통합진단마스터'!$C$3:$C$32,"업종특화(반도체 v1.0)")</f>
        <v/>
      </c>
      <c r="D22" s="20">
        <f>SUMPRODUCT(('01_ESG통합진단마스터'!$C$3:$C$32="업종특화(반도체 v1.0)")*ISNUMBER('01_ESG통합진단마스터'!$X$3:$X$32))</f>
        <v/>
      </c>
      <c r="E22" s="20">
        <f>IFERROR(AVERAGEIFS('01_ESG통합진단마스터'!$X$3:$X$32,'01_ESG통합진단마스터'!$C$3:$C$32,"업종특화(반도체 v1.0)"),"미입력")</f>
        <v/>
      </c>
    </row>
    <row r="25">
      <c r="B25" s="24" t="inlineStr">
        <is>
          <t>4. 참고</t>
        </is>
      </c>
    </row>
    <row r="26">
      <c r="B26" t="inlineStr">
        <is>
          <t>평균점수는 각 영역 내 모든 항목에 동일 가중치(1/N)를 부여한 단순평균이며, 점수 미입력 항목은 제외하고 계산합니다.</t>
        </is>
      </c>
    </row>
    <row r="27">
      <c r="B27" t="inlineStr">
        <is>
          <t>본 파일은 「ESG_핵심지표_채점기준표_전체」에서 G(지배구조)+P(정보공시)+반도체특화 기준으로 분리된 작업본입니다. 03_지배구조세부점검(KRX) 시트는 G 파일에만 포함됩니다.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2026-08-31T12:06:22Z</dcterms:created>
  <dcterms:modified xsi:type="dcterms:W3CDTF">2026-09-03T08:01:55Z</dcterms:modified>
</cp:coreProperties>
</file>