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500" firstSheet="1" activeTab="1" autoFilterDateGrouping="1"/>
  </bookViews>
  <sheets>
    <sheet name="00_사용안내" sheetId="1" state="visible" r:id="rId1"/>
    <sheet name="01_ESG통합진단마스터" sheetId="2" state="visible" r:id="rId2"/>
    <sheet name="02_점수산정참고표" sheetId="3" state="visible" r:id="rId3"/>
    <sheet name="03_지배구조세부점검(KRX)" sheetId="4" state="visible" r:id="rId4"/>
    <sheet name="04_KSSB갭분석" sheetId="5" state="visible" r:id="rId5"/>
    <sheet name="05_요약대시보드" sheetId="6" state="visible" r:id="rId6"/>
  </sheets>
  <definedNames/>
  <calcPr calcId="191029" fullCalcOnLoad="1" iterateDelta="0.0001"/>
</workbook>
</file>

<file path=xl/styles.xml><?xml version="1.0" encoding="utf-8"?>
<styleSheet xmlns="http://schemas.openxmlformats.org/spreadsheetml/2006/main">
  <numFmts count="1">
    <numFmt numFmtId="164" formatCode="0.0"/>
  </numFmts>
  <fonts count="29">
    <font>
      <name val="Calibri"/>
      <charset val="1"/>
      <family val="2"/>
      <color theme="1"/>
      <sz val="11"/>
    </font>
    <font>
      <name val="Arial"/>
      <family val="2"/>
      <sz val="10"/>
    </font>
    <font>
      <name val="Arial"/>
      <family val="2"/>
      <b val="1"/>
      <color rgb="FF1F4E78"/>
      <sz val="20"/>
    </font>
    <font>
      <name val="Noto Sans CJK SC"/>
      <family val="2"/>
      <b val="1"/>
      <color rgb="FF1F4E78"/>
      <sz val="20"/>
    </font>
    <font>
      <name val="Arial"/>
      <family val="2"/>
      <i val="1"/>
      <color rgb="FF555555"/>
      <sz val="11"/>
    </font>
    <font>
      <name val="Noto Sans CJK SC"/>
      <family val="2"/>
      <i val="1"/>
      <color rgb="FF555555"/>
      <sz val="11"/>
    </font>
    <font>
      <name val="Arial"/>
      <family val="2"/>
      <b val="1"/>
      <color rgb="FF1F4E78"/>
      <sz val="12"/>
    </font>
    <font>
      <name val="Noto Sans CJK SC"/>
      <family val="2"/>
      <b val="1"/>
      <color rgb="FF1F4E78"/>
      <sz val="12"/>
    </font>
    <font>
      <name val="Noto Sans CJK SC"/>
      <family val="2"/>
      <sz val="9.5"/>
    </font>
    <font>
      <name val="Arial"/>
      <family val="2"/>
      <sz val="9.5"/>
    </font>
    <font>
      <name val="Noto Sans CJK SC"/>
      <charset val="1"/>
      <family val="2"/>
      <sz val="9.5"/>
    </font>
    <font>
      <name val="Noto Sans CJK SC"/>
      <charset val="1"/>
      <color rgb="FF777777"/>
      <sz val="9"/>
    </font>
    <font>
      <name val="Noto Sans CJK SC"/>
      <charset val="1"/>
      <family val="2"/>
      <i val="1"/>
      <color rgb="FF777777"/>
      <sz val="9"/>
    </font>
    <font>
      <name val="Arial"/>
      <family val="2"/>
      <b val="1"/>
      <color rgb="FFFFFFFF"/>
      <sz val="9.5"/>
    </font>
    <font>
      <name val="Noto Sans CJK SC"/>
      <charset val="1"/>
      <family val="2"/>
      <b val="1"/>
      <color rgb="FFFFFFFF"/>
      <sz val="9.5"/>
    </font>
    <font>
      <name val="Noto Sans CJK SC"/>
      <family val="2"/>
      <b val="1"/>
      <color rgb="FFFFFFFF"/>
      <sz val="9.5"/>
    </font>
    <font>
      <name val="Noto Sans CJK SC"/>
      <charset val="1"/>
      <family val="2"/>
      <b val="1"/>
      <sz val="9.5"/>
    </font>
    <font>
      <name val="Arial"/>
      <family val="2"/>
      <b val="1"/>
      <color rgb="FF0000FF"/>
      <sz val="9.5"/>
    </font>
    <font>
      <name val="Arial"/>
      <family val="2"/>
      <b val="1"/>
      <color rgb="FF1F4E78"/>
      <sz val="10"/>
    </font>
    <font>
      <name val="Noto Sans CJK SC"/>
      <family val="2"/>
      <sz val="10"/>
    </font>
    <font>
      <name val="Arial"/>
      <family val="2"/>
      <i val="1"/>
      <color rgb="FF777777"/>
      <sz val="9"/>
    </font>
    <font>
      <name val="Noto Sans CJK SC"/>
      <family val="2"/>
      <i val="1"/>
      <color rgb="FF777777"/>
      <sz val="9"/>
    </font>
    <font>
      <name val="Arial"/>
      <family val="2"/>
      <b val="1"/>
      <color rgb="FF1F4E78"/>
      <sz val="16"/>
    </font>
    <font>
      <name val="Noto Sans CJK SC"/>
      <family val="2"/>
      <b val="1"/>
      <color rgb="FF1F4E78"/>
      <sz val="16"/>
    </font>
    <font>
      <name val="Noto Sans CJK SC"/>
      <charset val="1"/>
      <i val="1"/>
      <color rgb="FFC00000"/>
      <sz val="9"/>
    </font>
    <font>
      <name val="Arial"/>
      <family val="2"/>
      <b val="1"/>
      <sz val="9.5"/>
    </font>
    <font>
      <name val="돋움"/>
      <charset val="129"/>
      <family val="3"/>
      <sz val="8"/>
    </font>
    <font>
      <name val="맑은 고딕"/>
      <charset val="129"/>
      <family val="3"/>
      <sz val="9.5"/>
    </font>
    <font>
      <name val="Noto Sans CJK SC"/>
      <charset val="129"/>
      <family val="3"/>
      <sz val="9.5"/>
    </font>
  </fonts>
  <fills count="13">
    <fill>
      <patternFill/>
    </fill>
    <fill>
      <patternFill patternType="gray125"/>
    </fill>
    <fill>
      <patternFill patternType="solid">
        <fgColor rgb="FF1F4E78"/>
        <bgColor rgb="FF003366"/>
      </patternFill>
    </fill>
    <fill>
      <patternFill patternType="solid">
        <fgColor rgb="FFF5F8FC"/>
        <bgColor rgb="FFFFFFFF"/>
      </patternFill>
    </fill>
    <fill>
      <patternFill patternType="solid">
        <fgColor rgb="FFFFF2CC"/>
        <bgColor rgb="FFFCE4D6"/>
      </patternFill>
    </fill>
    <fill>
      <patternFill patternType="solid">
        <fgColor rgb="FFFFEB9C"/>
        <bgColor rgb="FFFFF2CC"/>
      </patternFill>
    </fill>
    <fill>
      <patternFill patternType="solid">
        <fgColor rgb="FFFFFDE7"/>
        <bgColor rgb="FFFFFFFF"/>
      </patternFill>
    </fill>
    <fill>
      <patternFill patternType="solid">
        <fgColor rgb="FFC6EFCE"/>
        <bgColor rgb="FFE2EFD9"/>
      </patternFill>
    </fill>
    <fill>
      <patternFill patternType="solid">
        <fgColor rgb="FFD9E6F2"/>
        <bgColor rgb="FFE2EFD9"/>
      </patternFill>
    </fill>
    <fill>
      <patternFill patternType="solid">
        <fgColor rgb="FFFFC7CE"/>
        <bgColor rgb="FFFCE4D6"/>
      </patternFill>
    </fill>
    <fill>
      <patternFill patternType="solid">
        <fgColor rgb="FFE2EFD9"/>
        <bgColor rgb="FFD9E6F2"/>
      </patternFill>
    </fill>
    <fill>
      <patternFill patternType="solid">
        <fgColor rgb="FFFCE4D6"/>
        <bgColor rgb="FFFFF2CC"/>
      </patternFill>
    </fill>
    <fill>
      <patternFill patternType="solid">
        <fgColor rgb="FFD9D9D9"/>
        <bgColor rgb="FFD9E6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2">
    <xf numFmtId="0" fontId="0" fillId="0" borderId="0" pivotButton="0" quotePrefix="0" xfId="0"/>
    <xf numFmtId="0" fontId="2" fillId="0" borderId="0" pivotButton="0" quotePrefix="0" xfId="0"/>
    <xf numFmtId="0" fontId="4" fillId="0" borderId="0" pivotButton="0" quotePrefix="0" xfId="0"/>
    <xf numFmtId="0" fontId="6" fillId="0" borderId="0" pivotButton="0" quotePrefix="0" xfId="0"/>
    <xf numFmtId="0" fontId="8" fillId="0" borderId="0" applyAlignment="1" pivotButton="0" quotePrefix="0" xfId="0">
      <alignment vertical="top" wrapText="1"/>
    </xf>
    <xf numFmtId="0" fontId="10" fillId="0" borderId="0" applyAlignment="1" pivotButton="0" quotePrefix="0" xfId="0">
      <alignment vertical="top" wrapText="1"/>
    </xf>
    <xf numFmtId="0" fontId="6" fillId="0" borderId="0" applyAlignment="1" pivotButton="0" quotePrefix="0" xfId="0">
      <alignment vertical="top" wrapText="1"/>
    </xf>
    <xf numFmtId="0" fontId="9" fillId="0" borderId="0" pivotButton="0" quotePrefix="0" xfId="0"/>
    <xf numFmtId="0" fontId="9" fillId="0" borderId="0" applyAlignment="1" pivotButton="0" quotePrefix="0" xfId="0">
      <alignment vertical="top" wrapText="1"/>
    </xf>
    <xf numFmtId="0" fontId="8"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2" borderId="1" applyAlignment="1" pivotButton="0" quotePrefix="0" xfId="0">
      <alignment horizontal="center" vertical="top" wrapText="1"/>
    </xf>
    <xf numFmtId="0" fontId="14" fillId="2" borderId="1" applyAlignment="1" pivotButton="0" quotePrefix="0" xfId="0">
      <alignment horizontal="center" vertical="top" wrapText="1"/>
    </xf>
    <xf numFmtId="0" fontId="14" fillId="2" borderId="0" applyAlignment="1" pivotButton="0" quotePrefix="0" xfId="0">
      <alignment horizontal="center" vertical="top" wrapText="1"/>
    </xf>
    <xf numFmtId="0" fontId="9" fillId="3" borderId="1" applyAlignment="1" pivotButton="0" quotePrefix="0" xfId="0">
      <alignment horizontal="center" vertical="center"/>
    </xf>
    <xf numFmtId="0" fontId="9" fillId="3" borderId="1" applyAlignment="1" pivotButton="0" quotePrefix="0" xfId="0">
      <alignment horizontal="left" vertical="top" wrapText="1"/>
    </xf>
    <xf numFmtId="0" fontId="10" fillId="3" borderId="1" applyAlignment="1" pivotButton="0" quotePrefix="0" xfId="0">
      <alignment horizontal="left" vertical="top" wrapText="1"/>
    </xf>
    <xf numFmtId="0" fontId="16" fillId="4" borderId="1" applyAlignment="1" pivotButton="0" quotePrefix="0" xfId="0">
      <alignment horizontal="center" vertical="top" wrapText="1"/>
    </xf>
    <xf numFmtId="0" fontId="10" fillId="3" borderId="1" applyAlignment="1" pivotButton="0" quotePrefix="0" xfId="0">
      <alignment horizontal="center" vertical="top" wrapText="1"/>
    </xf>
    <xf numFmtId="0" fontId="10" fillId="5" borderId="1" applyAlignment="1" pivotButton="0" quotePrefix="0" xfId="0">
      <alignment horizontal="center" vertical="top" wrapText="1"/>
    </xf>
    <xf numFmtId="0" fontId="17" fillId="6" borderId="1" applyAlignment="1" pivotButton="0" quotePrefix="0" xfId="0">
      <alignment horizontal="center" vertical="center"/>
    </xf>
    <xf numFmtId="0" fontId="17" fillId="3" borderId="1" applyAlignment="1" pivotButton="0" quotePrefix="0" xfId="0">
      <alignment horizontal="center" vertical="center"/>
    </xf>
    <xf numFmtId="1" fontId="18" fillId="3" borderId="1" applyAlignment="1" pivotButton="0" quotePrefix="0" xfId="0">
      <alignment horizontal="center" vertical="center"/>
    </xf>
    <xf numFmtId="0" fontId="10" fillId="0" borderId="0" applyAlignment="1" pivotButton="0" quotePrefix="0" xfId="0">
      <alignment horizontal="left" vertical="top" wrapText="1"/>
    </xf>
    <xf numFmtId="0" fontId="9" fillId="0" borderId="1" applyAlignment="1" pivotButton="0" quotePrefix="0" xfId="0">
      <alignment horizontal="center" vertical="center"/>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10" fillId="0" borderId="1" applyAlignment="1" pivotButton="0" quotePrefix="0" xfId="0">
      <alignment horizontal="center" vertical="top" wrapText="1"/>
    </xf>
    <xf numFmtId="1" fontId="18" fillId="0" borderId="1" applyAlignment="1" pivotButton="0" quotePrefix="0" xfId="0">
      <alignment horizontal="center" vertical="center"/>
    </xf>
    <xf numFmtId="0" fontId="10" fillId="7" borderId="1" applyAlignment="1" pivotButton="0" quotePrefix="0" xfId="0">
      <alignment horizontal="center" vertical="top" wrapText="1"/>
    </xf>
    <xf numFmtId="0" fontId="16" fillId="8" borderId="1" applyAlignment="1" pivotButton="0" quotePrefix="0" xfId="0">
      <alignment horizontal="center" vertical="top" wrapText="1"/>
    </xf>
    <xf numFmtId="0" fontId="9" fillId="9" borderId="1" applyAlignment="1" pivotButton="0" quotePrefix="0" xfId="0">
      <alignment horizontal="center" vertical="top" wrapText="1"/>
    </xf>
    <xf numFmtId="0" fontId="12" fillId="3" borderId="1" applyAlignment="1" pivotButton="0" quotePrefix="0" xfId="0">
      <alignment horizontal="center" vertical="center"/>
    </xf>
    <xf numFmtId="1" fontId="17" fillId="6" borderId="1" applyAlignment="1" pivotButton="0" quotePrefix="0" xfId="0">
      <alignment horizontal="center" vertical="center"/>
    </xf>
    <xf numFmtId="0" fontId="16" fillId="10" borderId="1" applyAlignment="1" pivotButton="0" quotePrefix="0" xfId="0">
      <alignment horizontal="center" vertical="top" wrapText="1"/>
    </xf>
    <xf numFmtId="0" fontId="16" fillId="11" borderId="1" applyAlignment="1" pivotButton="0" quotePrefix="0" xfId="0">
      <alignment horizontal="center" vertical="top" wrapText="1"/>
    </xf>
    <xf numFmtId="0" fontId="9" fillId="3" borderId="1" applyAlignment="1" pivotButton="0" quotePrefix="0" xfId="0">
      <alignment horizontal="center" vertical="top" wrapText="1"/>
    </xf>
    <xf numFmtId="0" fontId="17" fillId="6" borderId="1" applyAlignment="1" pivotButton="0" quotePrefix="0" xfId="0">
      <alignment horizontal="left" vertical="top" wrapText="1"/>
    </xf>
    <xf numFmtId="0" fontId="9" fillId="0" borderId="1" applyAlignment="1" pivotButton="0" quotePrefix="0" xfId="0">
      <alignment horizontal="center" vertical="top" wrapText="1"/>
    </xf>
    <xf numFmtId="0" fontId="9" fillId="9" borderId="1" applyAlignment="1" pivotButton="0" quotePrefix="0" xfId="0">
      <alignment horizontal="left" vertical="top" wrapText="1"/>
    </xf>
    <xf numFmtId="0" fontId="20" fillId="0" borderId="0" pivotButton="0" quotePrefix="0" xfId="0"/>
    <xf numFmtId="0" fontId="22" fillId="0" borderId="0" pivotButton="0" quotePrefix="0" xfId="0"/>
    <xf numFmtId="0" fontId="24" fillId="0" borderId="0" pivotButton="0" quotePrefix="0" xfId="0"/>
    <xf numFmtId="0" fontId="14" fillId="2" borderId="1" applyAlignment="1" pivotButton="0" quotePrefix="0" xfId="0">
      <alignment horizontal="center" vertical="center"/>
    </xf>
    <xf numFmtId="0" fontId="13" fillId="2" borderId="1" applyAlignment="1" pivotButton="0" quotePrefix="0" xfId="0">
      <alignment horizontal="center" vertical="center"/>
    </xf>
    <xf numFmtId="0" fontId="16" fillId="4" borderId="1" applyAlignment="1" pivotButton="0" quotePrefix="0" xfId="0">
      <alignment horizontal="center" vertical="center"/>
    </xf>
    <xf numFmtId="9" fontId="9" fillId="0" borderId="1" applyAlignment="1" pivotButton="0" quotePrefix="0" xfId="0">
      <alignment horizontal="center" vertical="center"/>
    </xf>
    <xf numFmtId="0" fontId="16" fillId="8" borderId="1" applyAlignment="1" pivotButton="0" quotePrefix="0" xfId="0">
      <alignment horizontal="center" vertical="center"/>
    </xf>
    <xf numFmtId="0" fontId="16" fillId="10" borderId="1" applyAlignment="1" pivotButton="0" quotePrefix="0" xfId="0">
      <alignment horizontal="center" vertical="center"/>
    </xf>
    <xf numFmtId="0" fontId="16" fillId="11" borderId="1" applyAlignment="1" pivotButton="0" quotePrefix="0" xfId="0">
      <alignment horizontal="center" vertical="center"/>
    </xf>
    <xf numFmtId="0" fontId="16" fillId="12" borderId="1" applyAlignment="1" pivotButton="0" quotePrefix="0" xfId="0">
      <alignment horizontal="center" vertical="center"/>
    </xf>
    <xf numFmtId="9" fontId="25" fillId="12" borderId="1" applyAlignment="1" pivotButton="0" quotePrefix="0" xfId="0">
      <alignment horizontal="center" vertical="center"/>
    </xf>
    <xf numFmtId="0" fontId="25" fillId="0" borderId="0" pivotButton="0" quotePrefix="0" xfId="0"/>
    <xf numFmtId="9" fontId="25" fillId="0" borderId="0" pivotButton="0" quotePrefix="0" xfId="0"/>
    <xf numFmtId="164" fontId="9" fillId="0" borderId="1" applyAlignment="1" pivotButton="0" quotePrefix="0" xfId="0">
      <alignment horizontal="center" vertical="center"/>
    </xf>
    <xf numFmtId="164" fontId="25" fillId="12" borderId="1" applyAlignment="1" pivotButton="0" quotePrefix="0" xfId="0">
      <alignment horizontal="center" vertical="center"/>
    </xf>
    <xf numFmtId="0" fontId="10" fillId="0" borderId="1" applyAlignment="1" pivotButton="0" quotePrefix="0" xfId="0">
      <alignment horizontal="center" vertical="center"/>
    </xf>
    <xf numFmtId="0" fontId="28" fillId="3" borderId="1" applyAlignment="1" pivotButton="0" quotePrefix="0" xfId="0">
      <alignment horizontal="left" vertical="top" wrapText="1"/>
    </xf>
    <xf numFmtId="164" fontId="9" fillId="0" borderId="1" applyAlignment="1" pivotButton="0" quotePrefix="0" xfId="0">
      <alignment horizontal="center" vertical="center"/>
    </xf>
    <xf numFmtId="164" fontId="25" fillId="12" borderId="1" applyAlignment="1" pivotButton="0" quotePrefix="0" xfId="0">
      <alignment horizontal="center" vertical="center"/>
    </xf>
  </cellXfs>
  <cellStyles count="1">
    <cellStyle name="표준" xfId="0" builtinId="0"/>
  </cellStyles>
  <tableStyles count="0" defaultTableStyle="TableStyleMedium2" defaultPivotStyle="PivotStyleLight16"/>
  <colors>
    <indexedColors>
      <rgbColor rgb="FF000000"/>
      <rgbColor rgb="FFFFFFFF"/>
      <rgbColor rgb="FFC00000"/>
      <rgbColor rgb="FF00FF00"/>
      <rgbColor rgb="FF0000FF"/>
      <rgbColor rgb="FFFFF2CC"/>
      <rgbColor rgb="FFFF00FF"/>
      <rgbColor rgb="FF00FFFF"/>
      <rgbColor rgb="FF800000"/>
      <rgbColor rgb="FF008000"/>
      <rgbColor rgb="FF000080"/>
      <rgbColor rgb="FF548235"/>
      <rgbColor rgb="FF800080"/>
      <rgbColor rgb="FF008080"/>
      <rgbColor rgb="FFBFBFBF"/>
      <rgbColor rgb="FF777777"/>
      <rgbColor rgb="FF9999FF"/>
      <rgbColor rgb="FF993366"/>
      <rgbColor rgb="FFFFFDE7"/>
      <rgbColor rgb="FFD9E6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2EFD9"/>
      <rgbColor rgb="FFC6EFCE"/>
      <rgbColor rgb="FFFFEB9C"/>
      <rgbColor rgb="FFF5F8FC"/>
      <rgbColor rgb="FFFCE4D6"/>
      <rgbColor rgb="FFCC99FF"/>
      <rgbColor rgb="FFFFC7CE"/>
      <rgbColor rgb="FF2E75B6"/>
      <rgbColor rgb="FF33CCCC"/>
      <rgbColor rgb="FF99CC00"/>
      <rgbColor rgb="FFFFCC00"/>
      <rgbColor rgb="FFFF9900"/>
      <rgbColor rgb="FFED7D31"/>
      <rgbColor rgb="FF555555"/>
      <rgbColor rgb="FFA6A6A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Unknown Author</author>
  </authors>
  <commentList>
    <comment ref="X12" authorId="0" shapeId="0">
      <text>
        <t>복합가중형 항목: 점검기준 상세를 참고해 0~100 사이 점수를 직접 입력하세요.</t>
      </text>
    </comment>
    <comment ref="X25" authorId="0" shapeId="0">
      <text>
        <t>복합가중형 항목: 점검기준 상세를 참고해 0~100 사이 점수를 직접 입력하세요.</t>
      </text>
    </comment>
    <comment ref="X28" authorId="0" shapeId="0">
      <text>
        <t>복합가중형 항목: 점검기준 상세를 참고해 0~100 사이 점수를 직접 입력하세요.</t>
      </text>
    </comment>
    <comment ref="X33" authorId="0" shapeId="0">
      <text>
        <t>복합가중형 항목: 점검기준 상세를 참고해 0~100 사이 점수를 직접 입력하세요.</t>
      </text>
    </comment>
    <comment ref="X54" authorId="0" shapeId="0">
      <text>
        <t>복합가중형 항목: 점검기준 상세를 참고해 0~100 사이 점수를 직접 입력하세요.</t>
      </text>
    </comment>
    <comment ref="X65" authorId="0" shapeId="0">
      <text>
        <t>복합가중형 항목: 점검기준 상세를 참고해 0~100 사이 점수를 직접 입력하세요.</t>
      </text>
    </comment>
    <comment ref="X74" authorId="0" shapeId="0">
      <text>
        <t>복합가중형 항목: 점검기준 상세를 참고해 0~100 사이 점수를 직접 입력하세요.</t>
      </text>
    </comment>
    <comment ref="X75" authorId="0" shapeId="0">
      <text>
        <t>복합가중형 항목: 점검기준 상세를 참고해 0~100 사이 점수를 직접 입력하세요.</t>
      </text>
    </comment>
    <comment ref="X77" authorId="0" shapeId="0">
      <text>
        <t>복합가중형 항목: 점검기준 상세를 참고해 0~100 사이 점수를 직접 입력하세요.</t>
      </text>
    </comment>
    <comment ref="X81" authorId="0" shapeId="0">
      <text>
        <t>복합가중형 항목: 점검기준 상세를 참고해 0~100 사이 점수를 직접 입력하세요.</t>
      </text>
    </comment>
    <comment ref="X82" authorId="0" shapeId="0">
      <text>
        <t>복합가중형 항목: 점검기준 상세를 참고해 0~100 사이 점수를 직접 입력하세요.</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FF1F4E78"/>
    <outlinePr summaryBelow="1" summaryRight="1"/>
    <pageSetUpPr/>
  </sheetPr>
  <dimension ref="B2:B61"/>
  <sheetViews>
    <sheetView showGridLines="0" zoomScaleNormal="100" workbookViewId="0">
      <selection activeCell="A1" sqref="A1"/>
    </sheetView>
  </sheetViews>
  <sheetFormatPr baseColWidth="8" defaultColWidth="8.6640625" defaultRowHeight="14.4"/>
  <cols>
    <col width="3" customWidth="1" min="1" max="1"/>
    <col width="100" customWidth="1" min="2" max="2"/>
  </cols>
  <sheetData>
    <row r="2" ht="39.75" customHeight="1">
      <c r="B2" s="1" t="inlineStr">
        <is>
          <t>ESG 핵심지표 채점 기준표</t>
        </is>
      </c>
    </row>
    <row r="3" ht="16.5" customHeight="1">
      <c r="B3" s="2" t="inlineStr">
        <is>
          <t>K-ESG 가이드라인 v2.0 기반 통합 채점 도구</t>
        </is>
      </c>
    </row>
    <row r="5" ht="18.75" customHeight="1">
      <c r="B5" s="3" t="inlineStr">
        <is>
          <t>1. 목적</t>
        </is>
      </c>
    </row>
    <row r="6" ht="15.75" customHeight="1">
      <c r="B6" s="4" t="inlineStr">
        <is>
          <t>기업의 ESG 현황을 공식 가이드라인 기준으로 정량 진단·채점하고, KSSB 공시기준 대비 GAP을 분석하는 컨설팅용 도구입니다.</t>
        </is>
      </c>
    </row>
    <row r="7" ht="15.75" customHeight="1">
      <c r="B7" s="5" t="n"/>
    </row>
    <row r="8" ht="15.75" customHeight="1">
      <c r="B8" s="6" t="inlineStr">
        <is>
          <t>2. 적용 기준 (공식 출처)</t>
        </is>
      </c>
    </row>
    <row r="9" ht="15" customHeight="1">
      <c r="B9" s="7" t="inlineStr">
        <is>
          <t>· 기본 69 + 추가 16개(85개) 배점: K-ESG 가이드라인 v2.0 (산업통상자원부·한국생산성본부, 2024.12)</t>
        </is>
      </c>
    </row>
    <row r="10" ht="18.75" customHeight="1">
      <c r="B10" s="7" t="inlineStr">
        <is>
          <t>· 반도체 특화 6개: 업종별 K-ESG 가이드라인(반도체, 2023.12) — v2.0 기본체계에 보완지표로 적용</t>
        </is>
      </c>
    </row>
    <row r="11" ht="15.75" customHeight="1">
      <c r="B11" s="8" t="inlineStr">
        <is>
          <t>· 지배구조 세부지표(129개, 03번 시트): 한국거래소 기업지배구조보고서 가이드라인(2025.2 개정본)</t>
        </is>
      </c>
    </row>
    <row r="12" ht="15.75" customHeight="1">
      <c r="B12" s="8" t="inlineStr">
        <is>
          <t>· 공시 GAP 분석(04번 시트): KSSB(한국회계기준원 산하) 지속가능성 공시기준서 제1호·제2호(2026.2.26 최종 제정)</t>
        </is>
      </c>
    </row>
    <row r="13" ht="15.75" customHeight="1">
      <c r="B13" s="6" t="n"/>
    </row>
    <row r="14" ht="15.75" customHeight="1">
      <c r="B14" s="6" t="inlineStr">
        <is>
          <t>3. 점수 체계</t>
        </is>
      </c>
    </row>
    <row r="15" ht="15.75" customHeight="1">
      <c r="B15" s="8" t="inlineStr">
        <is>
          <t>· 채점 유형 구성: 단계형·선택형 74개 / 복합가중형 11개 / 감점형 6개 (총 91개)</t>
        </is>
      </c>
    </row>
    <row r="16" ht="15.75" customHeight="1">
      <c r="B16" s="8" t="inlineStr">
        <is>
          <t>· 단계형/선택형: 단계 수에 따라 0~100점 균등 배분 (원문 그대로)</t>
        </is>
      </c>
    </row>
    <row r="17" ht="15.75" customHeight="1">
      <c r="B17" s="8" t="inlineStr">
        <is>
          <t>· 감점형(6개): 기준 100점에서 위반유형별 차감(-50/-30/-10점, 중복 합산), 최저 0점</t>
        </is>
      </c>
    </row>
    <row r="18" ht="15.75" customHeight="1">
      <c r="B18" s="8" t="inlineStr">
        <is>
          <t>· 복합가중형(11개): 세부요소 균등가중평균 — X열에 자사취득점수 수동 입력</t>
        </is>
      </c>
    </row>
    <row r="19" ht="15.75" customHeight="1">
      <c r="B19" s="8" t="inlineStr">
        <is>
          <t>· 가중치: 항목당 동일가중(1/N) 적용 — K-ESG v2.0은 별도 기본 가중치를 규정하지 않으며, 동일가중은</t>
        </is>
      </c>
    </row>
    <row r="20" ht="15" customHeight="1">
      <c r="B20" s="9" t="inlineStr">
        <is>
          <t xml:space="preserve">   원문이 허용하는 채택 가능 방식 중 하나입니다.</t>
        </is>
      </c>
    </row>
    <row r="21" ht="18.75" customHeight="1">
      <c r="B21" s="10" t="n"/>
    </row>
    <row r="22" ht="15.75" customHeight="1">
      <c r="B22" s="6" t="inlineStr">
        <is>
          <t>4. KSSB 대비 GAP 분석</t>
        </is>
      </c>
    </row>
    <row r="23" ht="15.75" customHeight="1">
      <c r="B23" s="8" t="inlineStr">
        <is>
          <t>K-ESG 항목과 KSSB 제1호·제2호 공시기준서를 대조해 완전대응/부분대응/GAP 여부를 항목별로 표기했습니다.</t>
        </is>
      </c>
    </row>
    <row r="24" ht="15.75" customHeight="1">
      <c r="B24" s="4" t="inlineStr">
        <is>
          <t>대응 지표가 없는 9건은 04번 시트에 정리했으며, KSSB 외 GRI·TNFD·한국거래소 기준도 일부 포함됩니다.</t>
        </is>
      </c>
    </row>
    <row r="25" ht="15.75" customHeight="1">
      <c r="B25" s="4" t="n"/>
    </row>
    <row r="26" ht="15.75" customHeight="1">
      <c r="B26" s="6" t="inlineStr">
        <is>
          <t>5. 사용 방법</t>
        </is>
      </c>
    </row>
    <row r="27" ht="15.75" customHeight="1">
      <c r="B27" s="8" t="inlineStr">
        <is>
          <t>① 01번 시트 파란 글씨(입력 셀)에 자사 현황 입력: T열(단계) · U~W열(위반유형) · X열(복합가중형 수동점수)</t>
        </is>
      </c>
    </row>
    <row r="28" ht="15.75" customHeight="1">
      <c r="B28" s="8" t="inlineStr">
        <is>
          <t>② X열 점수가 자동 계산되며, AA열의 실사 진단 질문으로 현장 확인·자료요청을 진행하세요.</t>
        </is>
      </c>
    </row>
    <row r="29" ht="15.75" customHeight="1">
      <c r="B29" s="8" t="inlineStr">
        <is>
          <t>③ 05번 시트에서 영역별(E/S/G/P) 평균 점수, KSSB 대응 현황, 입력 완료율을 확인하세요.</t>
        </is>
      </c>
    </row>
    <row r="30" ht="15.75" customHeight="1">
      <c r="B30" s="4" t="inlineStr">
        <is>
          <t>④ 본 워크북은 컨설팅 참고용 자가진단 도구이며, 공식 K-ESG 인증·평가 결과를 대체하지 않습니다.</t>
        </is>
      </c>
    </row>
    <row r="31" ht="15.75" customHeight="1">
      <c r="B31" s="5" t="n"/>
    </row>
    <row r="33" ht="18.75" customHeight="1">
      <c r="B33" s="11" t="inlineStr">
        <is>
          <t>문서 구성: 00_사용안내 · 01_ESG통합진단마스터 · 02_점수산정참고표 · 03_지배구조세부점검(KRX) · 04_KSSB갭분석 · 05_요약대시보드</t>
        </is>
      </c>
    </row>
    <row r="34" ht="15.75" customHeight="1">
      <c r="B34" s="5" t="n"/>
    </row>
    <row r="35" ht="15.75" customHeight="1">
      <c r="B35" s="5" t="n"/>
    </row>
    <row r="36" ht="15.75" customHeight="1">
      <c r="B36" s="5" t="n"/>
    </row>
    <row r="37" ht="15.75" customHeight="1">
      <c r="B37" s="5" t="n"/>
    </row>
    <row r="38" ht="15.75" customHeight="1">
      <c r="B38" s="5" t="n"/>
    </row>
    <row r="39" ht="15.75" customHeight="1">
      <c r="B39" s="5" t="n"/>
    </row>
    <row r="41" ht="18.75" customHeight="1">
      <c r="B41" s="3" t="n"/>
    </row>
    <row r="42" ht="15.75" customHeight="1">
      <c r="B42" s="5" t="n"/>
    </row>
    <row r="43" ht="15.75" customHeight="1">
      <c r="B43" s="5" t="n"/>
    </row>
    <row r="44" ht="15.75" customHeight="1">
      <c r="B44" s="5" t="n"/>
    </row>
    <row r="45" ht="15.75" customHeight="1">
      <c r="B45" s="5" t="n"/>
    </row>
    <row r="46" ht="15.75" customHeight="1">
      <c r="B46" s="5" t="n"/>
    </row>
    <row r="47" ht="15.75" customHeight="1">
      <c r="B47" s="5" t="n"/>
    </row>
    <row r="48" ht="15.75" customHeight="1">
      <c r="B48" s="5" t="n"/>
    </row>
    <row r="49" ht="15" customHeight="1">
      <c r="B49" s="10" t="n"/>
    </row>
    <row r="50" ht="15" customHeight="1">
      <c r="B50" s="10" t="n"/>
    </row>
    <row r="51" ht="15" customHeight="1"/>
    <row r="52" ht="18.75" customHeight="1">
      <c r="B52" s="3" t="n"/>
    </row>
    <row r="53" ht="15" customHeight="1">
      <c r="B53" s="10" t="n"/>
    </row>
    <row r="54" ht="15" customHeight="1">
      <c r="B54" s="10" t="n"/>
    </row>
    <row r="55" ht="15" customHeight="1">
      <c r="B55" s="10" t="n"/>
    </row>
    <row r="56" ht="15" customHeight="1">
      <c r="B56" s="10" t="n"/>
    </row>
    <row r="57" ht="15" customHeight="1">
      <c r="B57" s="10" t="n"/>
    </row>
    <row r="58" ht="15" customHeight="1">
      <c r="B58" s="10" t="n"/>
    </row>
    <row r="61" ht="15" customHeight="1">
      <c r="B61" s="12" t="n"/>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rgb="FF2E75B6"/>
    <outlinePr summaryBelow="1" summaryRight="1"/>
    <pageSetUpPr/>
  </sheetPr>
  <dimension ref="A1:AB92"/>
  <sheetViews>
    <sheetView showGridLines="0" tabSelected="1" zoomScaleNormal="100" workbookViewId="0">
      <pane xSplit="2" ySplit="1" topLeftCell="C2" activePane="bottomRight" state="frozen"/>
      <selection pane="topRight" activeCell="C1" sqref="C1"/>
      <selection pane="bottomLeft" activeCell="A2" sqref="A2"/>
      <selection pane="bottomRight" activeCell="E8" sqref="E8"/>
    </sheetView>
  </sheetViews>
  <sheetFormatPr baseColWidth="8" defaultColWidth="8.6640625" defaultRowHeight="14.4"/>
  <cols>
    <col width="5" customWidth="1" min="1" max="1"/>
    <col width="12" customWidth="1" min="2" max="2"/>
    <col width="16" customWidth="1" min="3" max="3"/>
    <col width="8" customWidth="1" min="4" max="4"/>
    <col width="16" customWidth="1" min="5" max="5"/>
    <col width="22" customWidth="1" min="6" max="6"/>
    <col width="34" customWidth="1" min="7" max="7"/>
    <col width="26" customWidth="1" min="8" max="8"/>
    <col width="12" customWidth="1" min="9" max="9"/>
    <col width="16" customWidth="1" min="10" max="10"/>
    <col width="26" customWidth="1" min="11" max="11"/>
    <col width="10" customWidth="1" min="12" max="12"/>
    <col width="8" customWidth="1" min="13" max="13"/>
    <col width="26" customWidth="1" min="14" max="14"/>
    <col width="46" customWidth="1" min="15" max="15"/>
    <col width="12" customWidth="1" min="16" max="16"/>
    <col width="30" customWidth="1" min="17" max="17"/>
    <col width="24" customWidth="1" min="18" max="18"/>
    <col width="20" customWidth="1" min="19" max="19"/>
    <col width="12" customWidth="1" min="20" max="20"/>
    <col width="10" customWidth="1" min="21" max="23"/>
    <col width="12" customWidth="1" min="24" max="24"/>
    <col width="34" customWidth="1" min="25" max="25"/>
    <col width="14" customWidth="1" min="26" max="26"/>
    <col width="42" customWidth="1" min="27" max="27"/>
    <col width="18" customWidth="1" min="28" max="28"/>
    <col width="30" customWidth="1" min="29" max="29"/>
  </cols>
  <sheetData>
    <row r="1" ht="45.75" customHeight="1">
      <c r="A1" s="13" t="inlineStr">
        <is>
          <t>No</t>
        </is>
      </c>
      <c r="B1" s="14" t="inlineStr">
        <is>
          <t>분류코드</t>
        </is>
      </c>
      <c r="C1" s="14" t="inlineStr">
        <is>
          <t>적용구분</t>
        </is>
      </c>
      <c r="D1" s="14" t="inlineStr">
        <is>
          <t>영역</t>
        </is>
      </c>
      <c r="E1" s="14" t="inlineStr">
        <is>
          <t>범주</t>
        </is>
      </c>
      <c r="F1" s="14" t="inlineStr">
        <is>
          <t>진단항목명</t>
        </is>
      </c>
      <c r="G1" s="14" t="inlineStr">
        <is>
          <t>항목설명</t>
        </is>
      </c>
      <c r="H1" s="14" t="inlineStr">
        <is>
          <t>데이터원천(수집처)</t>
        </is>
      </c>
      <c r="I1" s="14" t="inlineStr">
        <is>
          <t>데이터기간</t>
        </is>
      </c>
      <c r="J1" s="14" t="inlineStr">
        <is>
          <t>데이터범위</t>
        </is>
      </c>
      <c r="K1" s="14" t="inlineStr">
        <is>
          <t>데이터산식(정량화공식)</t>
        </is>
      </c>
      <c r="L1" s="14" t="inlineStr">
        <is>
          <t>채점유형</t>
        </is>
      </c>
      <c r="M1" s="14" t="inlineStr">
        <is>
          <t>최대단계수</t>
        </is>
      </c>
      <c r="N1" s="14" t="inlineStr">
        <is>
          <t>배점구조 요약</t>
        </is>
      </c>
      <c r="O1" s="14" t="inlineStr">
        <is>
          <t>점검기준 상세(K-ESG v2.0 원문)</t>
        </is>
      </c>
      <c r="P1" s="13" t="inlineStr">
        <is>
          <t>KSSB 대응현황</t>
        </is>
      </c>
      <c r="Q1" s="13" t="inlineStr">
        <is>
          <t>KSSB 참고근거</t>
        </is>
      </c>
      <c r="R1" s="14" t="inlineStr">
        <is>
          <t>기타 참고기준(GRI/SASB/TCFD/KCGS 등)</t>
        </is>
      </c>
      <c r="S1" s="14" t="inlineStr">
        <is>
          <t>원본 출처파일</t>
        </is>
      </c>
      <c r="T1" s="13" t="inlineStr">
        <is>
          <t>[입력]충족단계/요건수</t>
        </is>
      </c>
      <c r="U1" s="13" t="inlineStr">
        <is>
          <t>[입력]위반유형1</t>
        </is>
      </c>
      <c r="V1" s="13" t="inlineStr">
        <is>
          <t>[입력]위반유형2</t>
        </is>
      </c>
      <c r="W1" s="13" t="inlineStr">
        <is>
          <t>[입력]위반유형3</t>
        </is>
      </c>
      <c r="X1" s="14" t="inlineStr">
        <is>
          <t>자사취득점수(0~100)</t>
        </is>
      </c>
      <c r="Y1" s="14" t="inlineStr">
        <is>
          <t>개선 가이드</t>
        </is>
      </c>
      <c r="Z1" s="14" t="inlineStr">
        <is>
          <t>비고</t>
        </is>
      </c>
      <c r="AA1" s="15" t="inlineStr">
        <is>
          <t>실사 진단 질문</t>
        </is>
      </c>
      <c r="AB1" s="15" t="inlineStr">
        <is>
          <t>답변형식</t>
        </is>
      </c>
    </row>
    <row r="2" ht="91.5" customHeight="1">
      <c r="A2" s="16" t="n">
        <v>1</v>
      </c>
      <c r="B2" s="17" t="inlineStr">
        <is>
          <t>P-1-1</t>
        </is>
      </c>
      <c r="C2" s="18" t="inlineStr">
        <is>
          <t>기본진단항목(v2.0)</t>
        </is>
      </c>
      <c r="D2" s="19" t="inlineStr">
        <is>
          <t>정보공시</t>
        </is>
      </c>
      <c r="E2" s="18" t="inlineStr">
        <is>
          <t>정보공시 형식</t>
        </is>
      </c>
      <c r="F2" s="17" t="inlineStr">
        <is>
          <t>ESG 정보공시 방식</t>
        </is>
      </c>
      <c r="G2" s="18" t="inlineStr">
        <is>
          <t> 조직이 ESG 정보공시 동향에 맞추어 정보 수요자의 접근성을 고려한 ESG 정보공시 방식을 정립하고 있는지 점검  ESG 정보를 종합한 온/오프라인 채널 운영 및 ESG 정보공시 외부 확산/전파 등 정보 접근성 향상 측면의 노력을 확인</t>
        </is>
      </c>
      <c r="H2" s="18" t="inlineStr">
        <is>
          <t>홈페이지, 지속가능경영보고서, 사업보고서, 기타간행물, 전자공시시스템 上 ‘자율공시’</t>
        </is>
      </c>
      <c r="I2" s="18" t="inlineStr">
        <is>
          <t>직전 회계연도</t>
        </is>
      </c>
      <c r="J2" s="17" t="inlineStr">
        <is>
          <t>N/A</t>
        </is>
      </c>
      <c r="K2" s="17" t="inlineStr">
        <is>
          <t>N/A</t>
        </is>
      </c>
      <c r="L2" s="20" t="inlineStr">
        <is>
          <t>단계형</t>
        </is>
      </c>
      <c r="M2" s="16" t="n">
        <v>5</v>
      </c>
      <c r="N2" s="18" t="inlineStr">
        <is>
          <t>단계형: 1단계=0점 / 2단계=25점 / 3단계=50점 / 4단계=75점 / 5단계=100점</t>
        </is>
      </c>
      <c r="O2" s="17" t="inlineStr">
        <is>
          <t>1단계 |  조직이 어떠한 방식으로든 ESG 정보를 공시하지 않는 경우 |  2단계 |  조직의 홈페이지, 지속가능경영보고서, 사업보고서, 기타 간행물 등에 ESG 정보를 분산하여 공시하고 있는 경우 |  3단계 |  조직의 홈페이지, 지속가능경영보고서, 사업보고서, 기타 간행물 등에 ESG 정보를 통합하여 공시하고 있는 경우 |  4단계 |  ESG 정보를 통합한 조직의 홈페이지, 지속가능경영보고서, 사업보고서, 기타 간행물 등을 지정된 장소에 비치하거나, |  특정 URL에 담고 있는 경우 |  5단계 |  ESG 정보를 통합한 조직의 홈페이지, 지속가능경영보고서, 사업보고서, 기타 간행물 등의 발행여부를 ‘전자공시시스템-자율공시’ |  사항으로 알리는 경우</t>
        </is>
      </c>
      <c r="P2" s="21" t="inlineStr">
        <is>
          <t>부분대응</t>
        </is>
      </c>
      <c r="Q2" s="17" t="inlineStr">
        <is>
          <t>KSSB 제1호 문단 64~70(보고시기·장소), 21~24(연계된 정보)</t>
        </is>
      </c>
      <c r="R2" s="17" t="inlineStr">
        <is>
          <t>GRI 2-3</t>
        </is>
      </c>
      <c r="S2" s="17" t="inlineStr">
        <is>
          <t>1_2_0_업종별 K-ESG 가이드라인(v2.0) 진단항목</t>
        </is>
      </c>
      <c r="T2" s="22" t="n"/>
      <c r="U2" s="23" t="n"/>
      <c r="V2" s="23" t="n"/>
      <c r="W2" s="23" t="n"/>
      <c r="X2" s="24">
        <f>IF(T2="","",MAX(1,SUMPRODUCT(('02_점수산정참고표'!$A$2:$A$314=$B2)*('02_점수산정참고표'!$C$2:$C$314=T2)*'02_점수산정참고표'!$E$2:$E$314)))</f>
        <v/>
      </c>
      <c r="Y2" s="17" t="inlineStr">
        <is>
          <t> ESG 정보공시란 투자자를 비롯한 다양한 이해관계자의 의사결정 및 가치판단에 영향을 미칠 수 있는 환경, 사회, 지배구조와 관련된 정보를 공개적으로 널리 알리는 행위를 의미한다. 조직은 정기적으로 특정한 정보공시 창구(홈페이지, 사업보고서, 지속가능경영보고서, 기타 간행물 등)에 ESG 관련 정보를 종합적으로 수록하고 있으며, 해당 정보공시 창구를 통해 이해관계자 누구나 ESG 정보를 접근/열람할 수 있고, 정보공시 여부를 대내외에 알리는 행위를 한 경우 ESG 정보공시를 하였다고 정의한다.  ESG 정보란 중대성 평가(Materiality Test) 결과에 따른 핵심이슈, 또는 조직의 사업운영 과정에서 지속적 관리가 필요한 ESG 이슈별로 ‘전략’, ‘조직’,…</t>
        </is>
      </c>
      <c r="Z2" s="18" t="n"/>
      <c r="AA2" s="25" t="inlineStr">
        <is>
          <t>정보 수요자의 접근성을 고려하여 홈페이지, 지속가능경영보고서 등을 통해 ESG 정보를 통합 공시하고 있습니까?</t>
        </is>
      </c>
      <c r="AB2" s="25" t="inlineStr">
        <is>
          <t>단계(1~5)</t>
        </is>
      </c>
    </row>
    <row r="3" ht="91.5" customHeight="1">
      <c r="A3" s="26" t="n">
        <v>2</v>
      </c>
      <c r="B3" s="27" t="inlineStr">
        <is>
          <t>P-1-2</t>
        </is>
      </c>
      <c r="C3" s="28" t="inlineStr">
        <is>
          <t>기본진단항목(v2.0)</t>
        </is>
      </c>
      <c r="D3" s="19" t="inlineStr">
        <is>
          <t>정보공시</t>
        </is>
      </c>
      <c r="E3" s="28" t="inlineStr">
        <is>
          <t>정보공시 형식</t>
        </is>
      </c>
      <c r="F3" s="27" t="inlineStr">
        <is>
          <t>ESG 정보공시 주기</t>
        </is>
      </c>
      <c r="G3" s="28" t="inlineStr">
        <is>
          <t> 투자자, 고객 등 정보 수요자의 의사결정 및 가치판단에 필요한 최신 ESG 정보를 적시에 제공하고 있는지 점검  조직의 ESG 데이터 취합/분석/마감 기간을 고려하여 1년 단위로 ESG 정보공시 주기를 설정하고 있는지 확인</t>
        </is>
      </c>
      <c r="H3" s="27" t="inlineStr">
        <is>
          <t>ESG 정보공시 일자, 지속가능경영보고서 발간 주기</t>
        </is>
      </c>
      <c r="I3" s="28" t="inlineStr">
        <is>
          <t>최근 4개년 회계연도 * 3개년 이하 데이터 보유 시 해당 데이터로 추세 산정</t>
        </is>
      </c>
      <c r="J3" s="27" t="inlineStr">
        <is>
          <t>N/A</t>
        </is>
      </c>
      <c r="K3" s="27" t="inlineStr">
        <is>
          <t>N/A</t>
        </is>
      </c>
      <c r="L3" s="29" t="inlineStr">
        <is>
          <t>단계형</t>
        </is>
      </c>
      <c r="M3" s="26" t="n">
        <v>3</v>
      </c>
      <c r="N3" s="28" t="inlineStr">
        <is>
          <t>단계형: 1단계=0점 / 2단계=50점 / 3단계=100점</t>
        </is>
      </c>
      <c r="O3" s="27" t="inlineStr">
        <is>
          <t>1단계 |  ESG 정보공시 주기를 특정할 수 없거나, 명시하고 있지 않는 경우 |  2단계 |  2년 단위로 보고서 발간 및 ESG 정보를 공시하는 경우 |  3단계 |  1년 단위로 보고서 발간 및 ESG 정보를 공시하는 경우</t>
        </is>
      </c>
      <c r="P3" s="21" t="inlineStr">
        <is>
          <t>부분대응</t>
        </is>
      </c>
      <c r="Q3" s="27" t="inlineStr">
        <is>
          <t>KSSB 제1호 문단 60~63(보고빈도)</t>
        </is>
      </c>
      <c r="R3" s="27" t="inlineStr">
        <is>
          <t>GRI 2-3</t>
        </is>
      </c>
      <c r="S3" s="27" t="inlineStr">
        <is>
          <t>1_2_0_업종별 K-ESG 가이드라인(v2.0) 진단항목</t>
        </is>
      </c>
      <c r="T3" s="22" t="n"/>
      <c r="U3" s="23" t="n"/>
      <c r="V3" s="23" t="n"/>
      <c r="W3" s="23" t="n"/>
      <c r="X3" s="30">
        <f>IF(T3="","",MAX(1,SUMPRODUCT(('02_점수산정참고표'!$A$2:$A$314=$B3)*('02_점수산정참고표'!$C$2:$C$314=T3)*'02_점수산정참고표'!$E$2:$E$314)))</f>
        <v/>
      </c>
      <c r="Y3" s="27" t="inlineStr">
        <is>
          <t> ESG 정보 수요자가 조직의 ESG 정보를 효과적으로 활용하기 위해서는, 조직이 ESG 정보를 주기적으로 공시하는 것이 중요하다. ESG 정보가 적시성을 확보하기 위해서는 ESG 정보공시 주기를 재무정보 공시주기와 동일하게 하거나, 재무정보 공시 이후 최대한 빠른 시기에 ESG 정보를 공시할 필요가 있다. 또한, ESG 정보 수요자에 상당한 영향력을 미칠 수 있는 정보는 이를 확인한 즉시 대외공시할 것을 권장한다.  조직은 ESG 정보공시 주기를 자율적으로 정할 수 있다. 일부 조직은 주요한 ESG 성과가 창출되는 시점마다 공시하기도 하며, 어떠한 조직은 ESG 정보공시에 따른 업무/비용 부담을 고려하여 격년 주기로 공시하기도 한다. 반면 ESG 정보공시 규제 및…</t>
        </is>
      </c>
      <c r="Z3" s="28" t="n"/>
      <c r="AA3" s="25" t="inlineStr">
        <is>
          <t>최신 ESG 정보를 적시에 제공하기 위해 1년 단위로 정기 공시합니까?</t>
        </is>
      </c>
      <c r="AB3" s="25" t="inlineStr">
        <is>
          <t>단계(1~5)</t>
        </is>
      </c>
    </row>
    <row r="4" ht="91.5" customHeight="1">
      <c r="A4" s="16" t="n">
        <v>3</v>
      </c>
      <c r="B4" s="17" t="inlineStr">
        <is>
          <t>P-1-3</t>
        </is>
      </c>
      <c r="C4" s="18" t="inlineStr">
        <is>
          <t>기본진단항목(v2.0)</t>
        </is>
      </c>
      <c r="D4" s="19" t="inlineStr">
        <is>
          <t>정보공시</t>
        </is>
      </c>
      <c r="E4" s="18" t="inlineStr">
        <is>
          <t>정보공시 형식</t>
        </is>
      </c>
      <c r="F4" s="17" t="inlineStr">
        <is>
          <t>ESG 정보공시 범위</t>
        </is>
      </c>
      <c r="G4" s="17" t="inlineStr">
        <is>
          <t> ESG 정보공시 제도화 움직임에 따라, 조직의 ESG 활동 및 성과를 충분히 대표하고 나타낼 수 있는 정보가 공시되고 있는지 점검  조직의 영향력과 통제력이 미치는 사업장(자회사 포함)의 ESG 정보가 최대한 공시되고 있는지 확인</t>
        </is>
      </c>
      <c r="H4" s="18" t="inlineStr">
        <is>
          <t>홈페이지, 지속가능경영보고서, 사업보고서, 전자공시시스템 上 ‘자율공시’</t>
        </is>
      </c>
      <c r="I4" s="18" t="inlineStr">
        <is>
          <t>직전 회계연도</t>
        </is>
      </c>
      <c r="J4" s="18" t="inlineStr">
        <is>
          <t>사업적 영향력 및 통제력을 행사하는 사업장 및 기타 연결실체</t>
        </is>
      </c>
      <c r="K4" s="17" t="inlineStr">
        <is>
          <t>ESG 정보공시 범위 = ESG 정보공시에 포함된 사업장 등의 (매출액 등) / 전체 조직의 (매출액 등)</t>
        </is>
      </c>
      <c r="L4" s="20" t="inlineStr">
        <is>
          <t>단계형</t>
        </is>
      </c>
      <c r="M4" s="16" t="n">
        <v>5</v>
      </c>
      <c r="N4" s="18" t="inlineStr">
        <is>
          <t>단계형: 1단계=0점 / 2단계=25점 / 3단계=50점 / 4단계=75점 / 5단계=100점</t>
        </is>
      </c>
      <c r="O4" s="17" t="inlineStr">
        <is>
          <t>1단계 |  ESG 정보공시 범위를 특정할 수 없거나, 명시하고 있지 않는 경우 |  2단계 |  조직이 법적으로 직접 소유하고 있는 사업장(ex. 별도재무제표 기준)의 일부 또는 모든 ESG 정보를 공시하고 있는 경우 |  3단계 |  조직의 영향력과 통제력 범위에 있는 곳(자회사, 종속법인, 연결실체 등)의 일부 ESG 정보를 공시하고 있는 경우 |  4단계 |  조직의 영향력과 통제력 범위에 있는 곳(자회사, 종속법인, 연결실체 등)의 일부 ESG 정보를 공시하고 있는 경우. |  단, 조직의 영향력과 통제력 범위로 ESG 정보공시 범위를 확대한다는 계획을 제시하고 있는 경우 |  5단계 |  조직의 영향력과 통제력 범위에 있는 곳(자회사, 종속법인, 연결실체 등)의 모든 ESG 정보를 공시하고 있는 경우</t>
        </is>
      </c>
      <c r="P4" s="21" t="inlineStr">
        <is>
          <t>부분대응</t>
        </is>
      </c>
      <c r="Q4" s="17" t="inlineStr">
        <is>
          <t>KSSB 제1호 문단 21~24(연계된 정보)</t>
        </is>
      </c>
      <c r="R4" s="17" t="inlineStr">
        <is>
          <t>GRI 2-2</t>
        </is>
      </c>
      <c r="S4" s="17" t="inlineStr">
        <is>
          <t>1_2_0_업종별 K-ESG 가이드라인(v2.0) 진단항목</t>
        </is>
      </c>
      <c r="T4" s="22" t="n"/>
      <c r="U4" s="23" t="n"/>
      <c r="V4" s="23" t="n"/>
      <c r="W4" s="23" t="n"/>
      <c r="X4" s="24">
        <f>IF(T4="","",MAX(1,SUMPRODUCT(('02_점수산정참고표'!$A$2:$A$314=$B4)*('02_점수산정참고표'!$C$2:$C$314=T4)*'02_점수산정참고표'!$E$2:$E$314)))</f>
        <v/>
      </c>
      <c r="Y4" s="18" t="inlineStr">
        <is>
          <t> 조직은 ESG 정보공시 전 어떠한 범위까지 성과관리를 할 것인지, 또는 성과관리가 가능한지 등 최대 범위를 설정해야 한다. ESG 개념을 조직의 재무적 정보를 기반으로 투자의사결정을 하는 자본시장에서 등장하였기 때문에, 장기적으로 ESG 성과관리 및 정보공시 최대범위는 ‘(연결)재무제표’에 포함되는 ‘재무정보’ 범위와 동일시하려는 논의가 진행될 것으로 예상된다. 따라서 조직은 아래의 ‘영향력’과 ‘통제력’이 행사되는 범위에서 발생하는 환경, 사회, 지배구조 관련 정보를 공시할 필요가 있다. (예를 들어, US GAAP, IFRS 회계지침에는 20% 이상 지분을 보유한 조직을 상당한 영향력이 행사되는 조직으로 간주한다.) 1) ESG 정보를 공시하는 조직이 직접적으로…</t>
        </is>
      </c>
      <c r="Z4" s="18" t="n"/>
      <c r="AA4" s="25" t="inlineStr">
        <is>
          <t>조직 통제력이 미치는 종속/연결실체 등 최대 범위를 공시합니까?</t>
        </is>
      </c>
      <c r="AB4" s="25" t="inlineStr">
        <is>
          <t>단계(1~5)</t>
        </is>
      </c>
    </row>
    <row r="5" ht="91.5" customHeight="1">
      <c r="A5" s="26" t="n">
        <v>4</v>
      </c>
      <c r="B5" s="27" t="inlineStr">
        <is>
          <t>P-2-1</t>
        </is>
      </c>
      <c r="C5" s="28" t="inlineStr">
        <is>
          <t>기본진단항목(v2.0)</t>
        </is>
      </c>
      <c r="D5" s="19" t="inlineStr">
        <is>
          <t>정보공시</t>
        </is>
      </c>
      <c r="E5" s="28" t="inlineStr">
        <is>
          <t>정보공시 내용</t>
        </is>
      </c>
      <c r="F5" s="27" t="inlineStr">
        <is>
          <t>ESG 핵심이슈 및 KPI</t>
        </is>
      </c>
      <c r="G5" s="28" t="inlineStr">
        <is>
          <t> 조직의 사업성과 및 환경/사회에 상당한 영향력을 미치는 핵심이슈를 명확히 정의하고, 이를 관리하기 위한 시스템 및 절차를 갖추고 있는지 확인  조직이 인식하고 관리하고 있는 핵심 ESG 이슈에 대한 조직의 정보공시 수준을 점검</t>
        </is>
      </c>
      <c r="H5" s="28" t="inlineStr">
        <is>
          <t>홈페이지, 지속가능경영보고서, 사업보고서, 전자공시시스템 上 ‘자율공시’</t>
        </is>
      </c>
      <c r="I5" s="28" t="inlineStr">
        <is>
          <t>직전 회계연도</t>
        </is>
      </c>
      <c r="J5" s="27" t="inlineStr">
        <is>
          <t>N/A</t>
        </is>
      </c>
      <c r="K5" s="27" t="inlineStr">
        <is>
          <t>N/A</t>
        </is>
      </c>
      <c r="L5" s="29" t="inlineStr">
        <is>
          <t>단계형</t>
        </is>
      </c>
      <c r="M5" s="26" t="n">
        <v>5</v>
      </c>
      <c r="N5" s="28" t="inlineStr">
        <is>
          <t>단계형: 1단계=0점 / 2단계=25점 / 3단계=50점 / 4단계=75점 / 5단계=100점</t>
        </is>
      </c>
      <c r="O5" s="27" t="inlineStr">
        <is>
          <t>1단계 |  중대성 평가 결과 또는 ESG 핵심이슈를 공시하고 있지 않은 경우 |  2단계 |  중대성 평가 결과와 핵심이슈를 명확히 정의하고 있는 경우 |  3단계 |  2단계 + 핵심이슈에 대해 조직이 관리하고 있는 성과지표를 설명하고 있는 경우 |  (예를 들어, 기후변화가 핵심이슈일 경우, 온실가스 배출량 데이터 제시) |  4단계 |  3단계 + 핵심이슈가 사업적/사회적 관점에서 중요한 사유를 설명하고 있는 경우 |  (예를 들어, 사업적/사회적 관점의 기회 요인과 리스크 요인 등) |  5단계 |  4단계 + 핵심이슈를 관리하기 위한 시스템 및 절차를 설명하고 있는 경우 |  (조직, 전략 및 계획, 고충처리체계, 활동 및 교육 등)</t>
        </is>
      </c>
      <c r="P5" s="21" t="inlineStr">
        <is>
          <t>부분대응</t>
        </is>
      </c>
      <c r="Q5" s="27" t="inlineStr">
        <is>
          <t>KSSB 제1호 문단 17~19(중요성 판단, 이중중대성 개념 미흡)</t>
        </is>
      </c>
      <c r="R5" s="27" t="inlineStr">
        <is>
          <t>GRI 3(중대성평가)</t>
        </is>
      </c>
      <c r="S5" s="27" t="inlineStr">
        <is>
          <t>1_2_0_업종별 K-ESG 가이드라인(v2.0) 진단항목</t>
        </is>
      </c>
      <c r="T5" s="22" t="n"/>
      <c r="U5" s="23" t="n"/>
      <c r="V5" s="23" t="n"/>
      <c r="W5" s="23" t="n"/>
      <c r="X5" s="30">
        <f>IF(T5="","",MAX(1,SUMPRODUCT(('02_점수산정참고표'!$A$2:$A$314=$B5)*('02_점수산정참고표'!$C$2:$C$314=T5)*'02_점수산정참고표'!$E$2:$E$314)))</f>
        <v/>
      </c>
      <c r="Y5" s="28" t="inlineStr">
        <is>
          <t> 조직의 중요한 경제적, 환경적, 사회적 영향을 반영하는 측면 또는 이해관계자들의 평가와 의사결정에 실질적으로 영향을 미치는 측면을 모두 고려하여 보고서에서 다룰 가치가 있다고 판단되는 주제를 선정하는 과정을 거쳐야 한다. 이러한 이슈의 중대성을 판별하기 위한 방법으로는 일반적으로 ‘중대성 평가(Materiality Assessment)’ 또는 ‘이중 중대성 평가(Double Materiality Assessment)’가 있으며, 중대 측면을 정의하는 데 있어 조직이 참작해야 할 요인들은 다음과 같다. - 지속가능성에 영향, 위험, 기회 요소가 될 수 있는 항목(ex. 지구 온난화, 에이즈, 빈곤 등) 중 합리적 평가가 가능하고, 전문가나 해당 분야에 자격을 갖춘 전문…</t>
        </is>
      </c>
      <c r="Z5" s="28" t="n"/>
      <c r="AA5" s="25" t="inlineStr">
        <is>
          <t>이중 중대성 평가 기반 핵심이슈, 위기/기회, KPI를 공시합니까?</t>
        </is>
      </c>
      <c r="AB5" s="25" t="inlineStr">
        <is>
          <t>단계(1~5)</t>
        </is>
      </c>
    </row>
    <row r="6" ht="91.5" customHeight="1">
      <c r="A6" s="16" t="n">
        <v>5</v>
      </c>
      <c r="B6" s="17" t="inlineStr">
        <is>
          <t>P-3-1</t>
        </is>
      </c>
      <c r="C6" s="18" t="inlineStr">
        <is>
          <t>기본진단항목(v2.0)</t>
        </is>
      </c>
      <c r="D6" s="19" t="inlineStr">
        <is>
          <t>정보공시</t>
        </is>
      </c>
      <c r="E6" s="18" t="inlineStr">
        <is>
          <t>정보공시 검증</t>
        </is>
      </c>
      <c r="F6" s="17" t="inlineStr">
        <is>
          <t>ESG 정보공시 검증</t>
        </is>
      </c>
      <c r="G6" s="18" t="inlineStr">
        <is>
          <t> 조직의 ESG 정보를 직접적으로 또는 가공하여 활용하는 이해관계자가 증가함에 따라, 조직이 대외공시하는 ESG 정보가 타당성/신뢰성/투명성을 확보하고 있는지 확인  조직이 대외공시하는 정보에 관해 제3자 기관으로부터 검증을 받는 경우, 해당 검증의견이 갖추어야 할 형식적 요건을 점검</t>
        </is>
      </c>
      <c r="H6" s="17" t="inlineStr">
        <is>
          <t>ESG 정보 검증의견서, 지속가능경영보고서 검증의견서</t>
        </is>
      </c>
      <c r="I6" s="18" t="inlineStr">
        <is>
          <t>직전 회계연도</t>
        </is>
      </c>
      <c r="J6" s="17" t="inlineStr">
        <is>
          <t>N/A</t>
        </is>
      </c>
      <c r="K6" s="17" t="inlineStr">
        <is>
          <t>N/A</t>
        </is>
      </c>
      <c r="L6" s="20" t="inlineStr">
        <is>
          <t>선택형</t>
        </is>
      </c>
      <c r="M6" s="16" t="n">
        <v>5</v>
      </c>
      <c r="N6" s="18" t="inlineStr">
        <is>
          <t>선택형: 요건1=0점 / 요건2=25점 / 요건3=50점 / 요건4=75점 / 요건5=100점</t>
        </is>
      </c>
      <c r="O6" s="18" t="inlineStr">
        <is>
          <t>요건1 |  검증의견서에 검증기관(또는 검증인)이 명시되어 있는 경우 |  (또는, 검증기관이 License Number를 보유하고 있는 경우) |  요건2 |  검증의견서에 검증기관과의 독립성 성명이 포함되어 있는 경우 |  (즉, 검증기관과 검증받는 조직간 이해관계 상충이 없음을 선언한 경우) |  요건3 |  검증의견서에 검증표준(방법론)이 제시되어 있는 경우 |  (AA1000AS, ISAE3000, 또는 제3자 검증기관이 개발한 자체 검증표준 등) |  요건4 |  검증의견서에 ESG 정보 검증수준을 공개하고 있는 경우 |  (Type1/Type2, Moderate/High, 제한적/합리적 등) |  요건5 |  검증의견서에 제3자 검증기관이 검증한 정보공시 지표가 적시되어 있는 경우 |  (즉, 조직의 모든 ESG 정보 중 어떠한 정보를 검증하였는지 명시하는 경우)</t>
        </is>
      </c>
      <c r="P6" s="31" t="inlineStr">
        <is>
          <t>완전대응</t>
        </is>
      </c>
      <c r="Q6" s="17" t="inlineStr">
        <is>
          <t>KSSB 제1호 문단 50(3)(외부검증)</t>
        </is>
      </c>
      <c r="R6" s="17" t="inlineStr">
        <is>
          <t>GRI 2-5, AA1000AS, ISAE3000</t>
        </is>
      </c>
      <c r="S6" s="17" t="inlineStr">
        <is>
          <t>1_2_0_업종별 K-ESG 가이드라인(v2.0) 진단항목</t>
        </is>
      </c>
      <c r="T6" s="22" t="n"/>
      <c r="U6" s="23" t="n"/>
      <c r="V6" s="23" t="n"/>
      <c r="W6" s="23" t="n"/>
      <c r="X6" s="24">
        <f>IF(T6="","",MAX(1,SUMPRODUCT(('02_점수산정참고표'!$A$2:$A$314=$B6)*('02_점수산정참고표'!$C$2:$C$314=T6)*'02_점수산정참고표'!$E$2:$E$314)))</f>
        <v/>
      </c>
      <c r="Y6" s="18" t="inlineStr">
        <is>
          <t> 조직은 지속가능경영보고서 발간 등 ESG 정보공시 지표 및 기준을 자율적으로 선택할 수 있으며, ESG 정보가 갖추어야 할 신뢰성을 강제할 수 있는 법적/제도적 장치도 마련되어 있지 않은 상황이다. 따라서 ESG 정보 검증은 이러한 문제점을 개선하기 위한 조직의 의지이자 자율적 활동으로 조직이 공시하는 ESG 정보의 신뢰성을 확보하는 수단으로 인정받고 있다.  ESG 정보 검증의 타당성과 신뢰성을 확인하기 위한 기준은 ‘검증기관의 적격성’, ‘검증기관과의 독립성’, ‘검증방법론의 합리성’, ‘검증수준의 명확성’, ‘검증지표의 구체성’으로 구분할 수 있다.  글로벌 시장에서 통용되는 ESG 검증표준에는 1) 지속가능경영 관련 국제표준 제정기관인…</t>
        </is>
      </c>
      <c r="Z6" s="18" t="n"/>
      <c r="AA6" s="25" t="inlineStr">
        <is>
          <t>적격/독립된 제3자 검증기관으로부터 인증을 획득했습니까?</t>
        </is>
      </c>
      <c r="AB6" s="25" t="inlineStr">
        <is>
          <t>단계(1~5)</t>
        </is>
      </c>
    </row>
    <row r="7" ht="91.5" customHeight="1">
      <c r="A7" s="26" t="n">
        <v>6</v>
      </c>
      <c r="B7" s="27" t="inlineStr">
        <is>
          <t>E-1-1</t>
        </is>
      </c>
      <c r="C7" s="28" t="inlineStr">
        <is>
          <t>기본진단항목(v2.0)</t>
        </is>
      </c>
      <c r="D7" s="32" t="inlineStr">
        <is>
          <t>환경</t>
        </is>
      </c>
      <c r="E7" s="28" t="inlineStr">
        <is>
          <t>환경경영 목표</t>
        </is>
      </c>
      <c r="F7" s="28" t="inlineStr">
        <is>
          <t>환경경영 목표 수립</t>
        </is>
      </c>
      <c r="G7" s="28" t="inlineStr">
        <is>
          <t> 조직이 책임있는 환경경영을 수행하기 위한 방향성을 명확히 설정하고 효율적인 자원 배분이 이루어지고 있는지, 또한 조직이 외부에 미치는 환경 영향을 최소화하고 내부 환경성과를 향상시키기 위한 구체적인 계획이 마련되어 있는지 점검  조직이 수립한 환경 분야 단기/중장기 목표 구체성과 내재화 수준을 확인</t>
        </is>
      </c>
      <c r="H7" s="28" t="inlineStr">
        <is>
          <t>환경 분야 목표 수립 현황</t>
        </is>
      </c>
      <c r="I7" s="28" t="inlineStr">
        <is>
          <t>직전 회계연도</t>
        </is>
      </c>
      <c r="J7" s="27" t="inlineStr">
        <is>
          <t>N/A</t>
        </is>
      </c>
      <c r="K7" s="27" t="inlineStr">
        <is>
          <t>N/A</t>
        </is>
      </c>
      <c r="L7" s="29" t="inlineStr">
        <is>
          <t>단계형</t>
        </is>
      </c>
      <c r="M7" s="26" t="n">
        <v>5</v>
      </c>
      <c r="N7" s="28" t="inlineStr">
        <is>
          <t>단계형: 1단계=0점 / 2단계=25점 / 3단계=50점 / 4단계=75점 / 5단계=100점</t>
        </is>
      </c>
      <c r="O7" s="27" t="inlineStr">
        <is>
          <t>1단계 |  단기/중장기 성과목표, 또는 조직의 환경경영 방향성을 나타내는 환경경영 미션/비전/지향점이 없는 경우 |  2단계 |  환경경영 미션/비전/지향점만 제시하고 있는 경우 |  3단계 |  2단계 + 조직의 환경 분야 핵심이슈에 대한 단기 목표만 설정하고 있는 경우 |  4단계 |  3단계 + 중장기 목표까지 수립하고 있는 경우 |  5단계 |  4단계 + 중장기 목표 달성을 위한 과제와, 이행점검 지표를 마련한 경우</t>
        </is>
      </c>
      <c r="P7" s="21" t="inlineStr">
        <is>
          <t>부분대응</t>
        </is>
      </c>
      <c r="Q7" s="27" t="inlineStr">
        <is>
          <t>KSSB 제2호 문단 33~36(목표) 준용 가능</t>
        </is>
      </c>
      <c r="R7" s="27" t="inlineStr">
        <is>
          <t>GRI 2-27</t>
        </is>
      </c>
      <c r="S7" s="27" t="inlineStr">
        <is>
          <t>1_2_0_업종별 K-ESG 가이드라인(v2.0) 진단항목</t>
        </is>
      </c>
      <c r="T7" s="22" t="n"/>
      <c r="U7" s="23" t="n"/>
      <c r="V7" s="23" t="n"/>
      <c r="W7" s="23" t="n"/>
      <c r="X7" s="30">
        <f>IF(T7="","",MAX(1,SUMPRODUCT(('02_점수산정참고표'!$A$2:$A$314=$B7)*('02_점수산정참고표'!$C$2:$C$314=T7)*'02_점수산정참고표'!$E$2:$E$314)))</f>
        <v/>
      </c>
      <c r="Y7" s="28" t="inlineStr">
        <is>
          <t> 조직은 중대성 평가(Materiality Test)를 통해 조직의 사업운영 및 외부환경에 중요한 영향력을 행사하는 핵심이슈를 도출할 수 있다. 조직은 사업운영에 해당하는 모든 직/간접 환경규제를 관리해야 함과 동시에 사업성과와 연계된 핵심이슈에 대해서는 목표에 의한 성과관리가 필요하다. 조직이 수립할 수 있는 환경 분야 목표와 관련된 핵심이슈에는 아래와 같은 이슈가 해당된다. 에너지 사용량 절감 재생에너지 투자 확대 온실가스 배출량 감축 탄소중립 기술 개발 및 관련 투자활동 폐기물 발생량 저감 플라스틱 사용량 절감 재사용 용수 확대 원자재 효율적 투입 산림 및 토양 복원 생물다양성 증진 및 관련 투자활동 친환경 공급망 구축 대기/수질/토양 오염 감소 유해물질 감소…</t>
        </is>
      </c>
      <c r="Z7" s="28" t="n"/>
      <c r="AA7" s="25" t="inlineStr">
        <is>
          <t>단기/중장기 환경경영 정량 목표 및 점검 지표를 수립했습니까?</t>
        </is>
      </c>
      <c r="AB7" s="25" t="inlineStr">
        <is>
          <t>단계(1~5)</t>
        </is>
      </c>
    </row>
    <row r="8" ht="91.5" customHeight="1">
      <c r="A8" s="16" t="n">
        <v>7</v>
      </c>
      <c r="B8" s="17" t="inlineStr">
        <is>
          <t>E-1-2</t>
        </is>
      </c>
      <c r="C8" s="18" t="inlineStr">
        <is>
          <t>기본진단항목(v2.0)</t>
        </is>
      </c>
      <c r="D8" s="32" t="inlineStr">
        <is>
          <t>환경</t>
        </is>
      </c>
      <c r="E8" s="18" t="inlineStr">
        <is>
          <t>환경경영 목표</t>
        </is>
      </c>
      <c r="F8" s="18" t="inlineStr">
        <is>
          <t>환경경영 추진체계</t>
        </is>
      </c>
      <c r="G8" s="18" t="inlineStr">
        <is>
          <t> 조직이 환경성과 향상과 환경 개선 등의 경영활동으로 인한 환경영향 관리, 원부자재/에너지/폐기물 등의 효율적 관리, 국제사회 등 이해관계자의 환경영역 요구 대응을 위해 체계적으로 환경경영을 추진하고 있는지 점검  국내외 규격에서 제시하는 환경경영시스템 구성요건을 기준으로 조직이 이를 따르거나, 준용하여 환경경영 추진체계를 갖추고 있는지 확인</t>
        </is>
      </c>
      <c r="H8" s="18" t="inlineStr">
        <is>
          <t>환경경영시스템, 환경경영 정책, 환경경영 가이던스</t>
        </is>
      </c>
      <c r="I8" s="18" t="inlineStr">
        <is>
          <t>직전 회계연도</t>
        </is>
      </c>
      <c r="J8" s="17" t="inlineStr">
        <is>
          <t>N/A</t>
        </is>
      </c>
      <c r="K8" s="17" t="inlineStr">
        <is>
          <t>N/A</t>
        </is>
      </c>
      <c r="L8" s="20" t="inlineStr">
        <is>
          <t>선택형</t>
        </is>
      </c>
      <c r="M8" s="16" t="n">
        <v>5</v>
      </c>
      <c r="N8" s="18" t="inlineStr">
        <is>
          <t>선택형: 요건1=0점 / 요건2=25점 / 요건3=50점 / 요건4=75점 / 요건5=100점</t>
        </is>
      </c>
      <c r="O8" s="18" t="inlineStr">
        <is>
          <t>요건1 |  환경경영 추진을 위한 전사 거버넌스 체계를 구축하고 있는 경우 |  (전담조직, 실무협의회, 경영회의 및 내부점검체계 등) |  요건2 |  환경경영 추진을 위한 전사 전담조직을 운영하고 있는 경우 |  (전사 환경경영 기획, 점검, 성과관리 등 실행업무 담당) |  요건3 |  환경경영 과제 실행에 필요한 자원을 투입하고 있는 경우 |  (환경투자 예산, 역량강화 교육, 내외부 전문인력 등) |  요건4 |  환경경영 추진 현황을 점검/분석/평가하는 시스템이 있는 경우 |  (IT기반 모니터링 시스템, 과제점검 회의, 제3자 의견수렴 등) |  요건5 |  환경경영 과제 이행현황이 경영진 포함 관련 구성원의 |  성과평가지표(KPIs)에 반영되어 있는 경우 |  * 선택 항목의 합산값으로 평가</t>
        </is>
      </c>
      <c r="P8" s="21" t="inlineStr">
        <is>
          <t>부분대응</t>
        </is>
      </c>
      <c r="Q8" s="17" t="inlineStr">
        <is>
          <t>KSSB 제2호 문단 6(거버넌스) 준용 가능</t>
        </is>
      </c>
      <c r="R8" s="17" t="inlineStr">
        <is>
          <t>GRI 2-27, K-ESG</t>
        </is>
      </c>
      <c r="S8" s="17" t="inlineStr">
        <is>
          <t>1_2_0_업종별 K-ESG 가이드라인(v2.0) 진단항목</t>
        </is>
      </c>
      <c r="T8" s="22" t="n"/>
      <c r="U8" s="23" t="n"/>
      <c r="V8" s="23" t="n"/>
      <c r="W8" s="23" t="n"/>
      <c r="X8" s="24">
        <f>IF(T8="","",MAX(1,SUMPRODUCT(('02_점수산정참고표'!$A$2:$A$314=$B8)*('02_점수산정참고표'!$C$2:$C$314=T8)*'02_점수산정참고표'!$E$2:$E$314)))</f>
        <v/>
      </c>
      <c r="Y8" s="18" t="inlineStr">
        <is>
          <t> 환경경영이란 조직의 사업운영 전 과정에 걸쳐 발생하는 환경영향을 최소화하면서 환경적으로 건전하고, 경제적으로 지속가능한 발전을 도모하고자 하는 경영활동이다. 조직의 환경경영 체계란 환경경영을 효과적으로 추진하기 위해 환경방침 개발, 이행, 달성, 검토 및 유지관리 할 수 있는 조직, 책임, 자원, 절차, 과정 및 성과관리 등을 종합적으로 구축한 것을 의미한다.  조직은 환경경영을 위해 아래와 같은 추진체계를 구축할 수 있으며, 해당 정보는 이해관계자와 공유할 필요가 있다. ; 1) 조직은 목표 달성과 관련된 제반업무를 관장하는 거버넌스 및 업무분장 체계를 구축해야 한다. 2) 목표 달성을 위한 추진과제와 실행계획을 수립해야 한다. 3) 목표 달성에 필요한 새로운…</t>
        </is>
      </c>
      <c r="Z8" s="18" t="n"/>
      <c r="AA8" s="25" t="inlineStr">
        <is>
          <t>거버넌스, 전담조직, 예산 투입, 구성원 KPI 연계 체계가 있습니까?</t>
        </is>
      </c>
      <c r="AB8" s="25" t="inlineStr">
        <is>
          <t>단계(1~5)</t>
        </is>
      </c>
    </row>
    <row r="9" ht="91.5" customHeight="1">
      <c r="A9" s="26" t="n">
        <v>8</v>
      </c>
      <c r="B9" s="27" t="inlineStr">
        <is>
          <t>E-2-1</t>
        </is>
      </c>
      <c r="C9" s="28" t="inlineStr">
        <is>
          <t>기본진단항목(v2.0)</t>
        </is>
      </c>
      <c r="D9" s="32" t="inlineStr">
        <is>
          <t>환경</t>
        </is>
      </c>
      <c r="E9" s="28" t="inlineStr">
        <is>
          <t>원부자재</t>
        </is>
      </c>
      <c r="F9" s="28" t="inlineStr">
        <is>
          <t>원부자재 사용량</t>
        </is>
      </c>
      <c r="G9" s="28" t="inlineStr">
        <is>
          <t> 조직이 이윤을 창출하기 위한 재화를 생산하는 과정에서 자연으로부터 가져온 원부자재를 효율적으로 관리하고 있는지 점검  조직 규모 차이(매출액, 생산량 등) 또는 사업 변동(구조조정, 인수합병 등)을 고려하여 상대적 비교가능성이 높은 ‘원단위’ 개념을 기반으로 원부자재의 물리적·화학적 특성을 포괄한 사용량을 점검</t>
        </is>
      </c>
      <c r="H9" s="28" t="inlineStr">
        <is>
          <t>‘조직별 홈페이지’ 上 지속가능경영보고서, 환경정보공개시스템&gt;자원/에너지&gt;원부자재 사용량, 조직의 원부자재 구매 및 사용량 실적</t>
        </is>
      </c>
      <c r="I9" s="28" t="inlineStr">
        <is>
          <t>최근 4개 회계연도</t>
        </is>
      </c>
      <c r="J9" s="28" t="inlineStr">
        <is>
          <t>국내외 사업장 및 기타 연결실체</t>
        </is>
      </c>
      <c r="K9" s="28" t="inlineStr">
        <is>
          <t>총 원단위 원부자재 사용량 = 총 원부자재 사용량(재생불가능한, 재생가능한, 재생/재활용) / 원단위 활용 분모 (매출액 등)</t>
        </is>
      </c>
      <c r="L9" s="29" t="inlineStr">
        <is>
          <t>단계형</t>
        </is>
      </c>
      <c r="M9" s="26" t="n">
        <v>3</v>
      </c>
      <c r="N9" s="28" t="inlineStr">
        <is>
          <t>단계형: 1단계=0점 / 2단계=50점 / 3단계=100점</t>
        </is>
      </c>
      <c r="O9" s="27" t="inlineStr">
        <is>
          <t>1단계 |  지난 4개년 원단위 원부자재 사용량 증가 추세 |  2단계 |  지난 4개년 원단위 원부자재 사용량 변동 없음 |  3단계 |  지난 4개년 원단위 원부자재 사용량 감소 추세 |  * 원단위 원부자재 사용량을 관리하지 않는 경우 0점 적용 |  * 3개년 이하 데이터 보유 시 해당 데이터로 추세 산정 |  * '유지 추세'로 판단할 경우 2단계로 적용하여 평가</t>
        </is>
      </c>
      <c r="P9" s="33" t="inlineStr">
        <is>
          <t>GAP(대응지표 없음)</t>
        </is>
      </c>
      <c r="Q9" s="27" t="inlineStr">
        <is>
          <t>KSSB 원부자재 지표 미규정</t>
        </is>
      </c>
      <c r="R9" s="27" t="inlineStr">
        <is>
          <t>GRI 301</t>
        </is>
      </c>
      <c r="S9" s="27" t="inlineStr">
        <is>
          <t>1_2_0_업종별 K-ESG 가이드라인(v2.0) 진단항목</t>
        </is>
      </c>
      <c r="T9" s="22" t="n"/>
      <c r="U9" s="23" t="n"/>
      <c r="V9" s="23" t="n"/>
      <c r="W9" s="23" t="n"/>
      <c r="X9" s="30">
        <f>IF(T9="","",MAX(1,SUMPRODUCT(('02_점수산정참고표'!$A$2:$A$314=$B9)*('02_점수산정참고표'!$C$2:$C$314=T9)*'02_점수산정참고표'!$E$2:$E$314)))</f>
        <v/>
      </c>
      <c r="Y9" s="28" t="inlineStr">
        <is>
          <t> 본 ‘원부자재 사용량’ 항목 정의서를 참고할 수 있는 산업군을 좁은 범위로 해석한다면 원부자재를 가공하여 제품을 대량 생산하는 광업, 제조업, 건설업, 전기/가스/증기업 등으로 한정할 수 있으나, 넓은 범위로 해석한다면 서비스 운용/제공하는 과정에서 광물, 종이, 플라스틱 등을 사용하는 도매/소매, 운수/창고, 정보통신, 금융/보험, 기타 전문 서비스업으로 확대할 수 있다.  원부자재는 기본적으로 재생가능 여부에 따라 재생가능한 원부자재, 재생불가능한 원부자재로 분류되며, 해당 원부자재의 원천(Source)에 따라 재생/재활용 원부자재, 천연 원부자재로 분류된다. 아래 분류별 예시를 참고하되 절대적인 기준은 아니므로 원료 특성 및 가공 방법에 따라 보편적·합리적…</t>
        </is>
      </c>
      <c r="Z9" s="28" t="n"/>
      <c r="AA9" s="25" t="inlineStr">
        <is>
          <t>원단위 원부자재 사용량이 4개년 간 감소 추세입니까?</t>
        </is>
      </c>
      <c r="AB9" s="25" t="inlineStr">
        <is>
          <t>단계(1~5)</t>
        </is>
      </c>
    </row>
    <row r="10" ht="91.5" customHeight="1">
      <c r="A10" s="16" t="n">
        <v>9</v>
      </c>
      <c r="B10" s="17" t="inlineStr">
        <is>
          <t>E-2-2</t>
        </is>
      </c>
      <c r="C10" s="18" t="inlineStr">
        <is>
          <t>기본진단항목(v2.0)</t>
        </is>
      </c>
      <c r="D10" s="32" t="inlineStr">
        <is>
          <t>환경</t>
        </is>
      </c>
      <c r="E10" s="18" t="inlineStr">
        <is>
          <t>원부자재</t>
        </is>
      </c>
      <c r="F10" s="18" t="inlineStr">
        <is>
          <t>재생 원부자재 비율</t>
        </is>
      </c>
      <c r="G10" s="18" t="inlineStr">
        <is>
          <t> 지속적인 경제 성장으로 인한 천연자원 고갈 이슈가 증가함에 따라, 원부자재 조달-투입 방식을 자원순환형 체계로 전환하고 있는지 점검  조직이 생산하는 제품 중 재생 원부자재를 적용할 수 있는 부분을 실제 재생 원부자재로 대체하는 등의 자원순환 이행성과를 확인</t>
        </is>
      </c>
      <c r="H10" s="18" t="inlineStr">
        <is>
          <t>‘전자공시시스템’ 上 사업보고서, ‘조직별 홈페이지’ 上 지속가능경영보고서, 조직의 원부자재 구매 및 사용량 실적</t>
        </is>
      </c>
      <c r="I10" s="18" t="inlineStr">
        <is>
          <t>최근 4개 회계연도</t>
        </is>
      </c>
      <c r="J10" s="18" t="inlineStr">
        <is>
          <t>국내외 사업장 및 기타 연결실체</t>
        </is>
      </c>
      <c r="K10" s="18" t="inlineStr">
        <is>
          <t>재생 원부자재 사용 비율 = 총 재생 원부자재 사용량 / 총 원부자재 사용량</t>
        </is>
      </c>
      <c r="L10" s="20" t="inlineStr">
        <is>
          <t>단계형</t>
        </is>
      </c>
      <c r="M10" s="16" t="n">
        <v>3</v>
      </c>
      <c r="N10" s="18" t="inlineStr">
        <is>
          <t>단계형: 1단계=0점 / 2단계=50점 / 3단계=100점</t>
        </is>
      </c>
      <c r="O10" s="17" t="inlineStr">
        <is>
          <t>1단계 |  지난 4개년 재생 원부자재 사용 비율 감소 추세 |  2단계 |  지난 4개년 재생 원부자재 사용 비율 변동 없음 |  3단계 |  지난 4개년 재생 원부자재 사용 비율 증가 추세 |  * 재생 원부자재를 사용하지 않는 경우 0점 적용 |  * 국내 및 해외 모든 사업장에서 재생 원부자재를 100% 사용하는 경우 100점 적용 |  * 3개년 이하 데이터 보유 시 해당 데이터로 추세 산정 |  * '유지 추세'로 판단할 경우 2단계로 적용하여 평가</t>
        </is>
      </c>
      <c r="P10" s="33" t="inlineStr">
        <is>
          <t>GAP(대응지표 없음)</t>
        </is>
      </c>
      <c r="Q10" s="17" t="inlineStr">
        <is>
          <t>KSSB 원부자재 지표 미규정</t>
        </is>
      </c>
      <c r="R10" s="17" t="inlineStr">
        <is>
          <t>GRI 301</t>
        </is>
      </c>
      <c r="S10" s="17" t="inlineStr">
        <is>
          <t>1_2_0_업종별 K-ESG 가이드라인(v2.0) 진단항목</t>
        </is>
      </c>
      <c r="T10" s="22" t="n"/>
      <c r="U10" s="23" t="n"/>
      <c r="V10" s="23" t="n"/>
      <c r="W10" s="23" t="n"/>
      <c r="X10" s="24">
        <f>IF(T10="","",MAX(1,SUMPRODUCT(('02_점수산정참고표'!$A$2:$A$314=$B10)*('02_점수산정참고표'!$C$2:$C$314=T10)*'02_점수산정참고표'!$E$2:$E$314)))</f>
        <v/>
      </c>
      <c r="Y10" s="18" t="inlineStr">
        <is>
          <t> 원료, 생산, 소비, 폐기로 이어지는 기존의 선형 경제 대안으로 유럽연합 등 선진국을 중심으로 자원순환 경제 모델(3R: Reduce, Recycle, Reuse)이 확산되고 있다. 자원순환 경제는 폐기 이후의 재활용, 자원의 절약 등을 통해 사회 전반의 순환성을 높이고 지속가능성을 추구하는 모델이다.  본 ‘재생 원부자재 비율’ 항목 정의서를 참고할 수 있는 산업군을 좁은 범위로 해석한다면 원부자재를 가공하여 제품을 대량 생산하는 광업, 제조업, 건설업, 전기/가스/증기업 등으로 한정할 수 있으나, 넓은 범위로 해석한다면 서비스 운용/제공하는 과정에서 광물, 종이, 플라스틱 등을 사용하는 도매/소매, 운수/창고, 정보통신, 금융/보험, 기타 전문 서비스업으로…</t>
        </is>
      </c>
      <c r="Z10" s="18" t="n"/>
      <c r="AA10" s="25" t="inlineStr">
        <is>
          <t>재생/재활용 투입 원부자재 비율이 4개년 간 증가 추세입니까?</t>
        </is>
      </c>
      <c r="AB10" s="25" t="inlineStr">
        <is>
          <t>단계(1~5)</t>
        </is>
      </c>
    </row>
    <row r="11" ht="91.5" customHeight="1">
      <c r="A11" s="26" t="n">
        <v>10</v>
      </c>
      <c r="B11" s="27" t="inlineStr">
        <is>
          <t>E-3-1</t>
        </is>
      </c>
      <c r="C11" s="28" t="inlineStr">
        <is>
          <t>기본진단항목(v2.0)</t>
        </is>
      </c>
      <c r="D11" s="32" t="inlineStr">
        <is>
          <t>환경</t>
        </is>
      </c>
      <c r="E11" s="28" t="inlineStr">
        <is>
          <t>온실가스</t>
        </is>
      </c>
      <c r="F11" s="28" t="inlineStr">
        <is>
          <t>온실가스 배출량 (Scope1 &amp; Scope2)</t>
        </is>
      </c>
      <c r="G11" s="28" t="inlineStr">
        <is>
          <t> 조직이 소유, 관리, 통제하는 물리적 경계(사업장 등) 내에서 에너지 사용으로 인해 발생하는 온실가스 배출(Scope1 &amp; Scope2)을 감축하고 있는지 점검  조직간 규모 차이(매출액, 생산량 등) 또는 사업 변동(구조조정, 인수합병 등)을 고려하여 상대적 비교가능성이 높은 ‘원단위’ 개념을 기반으로 온실가스 배출량을 확인</t>
        </is>
      </c>
      <c r="H11" s="28" t="inlineStr">
        <is>
          <t>‘전자공시시스템’ 上 사업보고서, ‘조직별 홈페이지’ 上 지속가능경영보고서, ‘국가온실가스종합관리 시스템’ 上 명세서배출량통계</t>
        </is>
      </c>
      <c r="I11" s="28" t="inlineStr">
        <is>
          <t>최근 4개 회계연도</t>
        </is>
      </c>
      <c r="J11" s="28" t="inlineStr">
        <is>
          <t>국내외 사업장 및 기타 연결실체</t>
        </is>
      </c>
      <c r="K11" s="28" t="inlineStr">
        <is>
          <t>원단위 온실가스 배출량 = 총 온실가스 배출량 / 원단위 활용 분모</t>
        </is>
      </c>
      <c r="L11" s="29" t="inlineStr">
        <is>
          <t>단계형</t>
        </is>
      </c>
      <c r="M11" s="26" t="n">
        <v>3</v>
      </c>
      <c r="N11" s="28" t="inlineStr">
        <is>
          <t>단계형: 1단계=0점 / 2단계=50점 / 3단계=100점</t>
        </is>
      </c>
      <c r="O11" s="27" t="inlineStr">
        <is>
          <t>1단계 |  지난 4개년 원단위 온실가스 배출량 증가 추세 |  2단계 |  지난 4개년 원단위 온실가스 배출량 변동 없음 |  3단계 |  지난 4개년 원단위 온실가스 배출량 감소 추세 |  * 원단위 온실가스 배출량을 관리하고 있지 않은 경우 0점 적용 |  * 국내 및 해외 모든 사업장이 ‘탄소중립’ 또는 ‘탄소제로’를 달성한 경우 100점 적용 |  * 3개년 이하 데이터 보유 시 해당 데이터로 추세 산정 |  * '유지 추세'로 판단할 경우 2단계로 적용하여 평가</t>
        </is>
      </c>
      <c r="P11" s="31" t="inlineStr">
        <is>
          <t>완전대응</t>
        </is>
      </c>
      <c r="Q11" s="27" t="inlineStr">
        <is>
          <t>KSSB 제2호 문단 29(1) — Scope1·2 배출량</t>
        </is>
      </c>
      <c r="R11" s="27" t="inlineStr">
        <is>
          <t>GHG Protocol, GRI 305-1,2</t>
        </is>
      </c>
      <c r="S11" s="27" t="inlineStr">
        <is>
          <t>1_2_0_업종별 K-ESG 가이드라인(v2.0) 진단항목</t>
        </is>
      </c>
      <c r="T11" s="22" t="n"/>
      <c r="U11" s="23" t="n"/>
      <c r="V11" s="23" t="n"/>
      <c r="W11" s="23" t="n"/>
      <c r="X11" s="30">
        <f>IF(T11="","",MAX(1,SUMPRODUCT(('02_점수산정참고표'!$A$2:$A$314=$B11)*('02_점수산정참고표'!$C$2:$C$314=T11)*'02_점수산정참고표'!$E$2:$E$314)))</f>
        <v/>
      </c>
      <c r="Y11" s="27" t="inlineStr">
        <is>
          <t> Scope1 온실가스 배출량 산정방법 = ∑[고정연소, 이동연소, 공정배출, 탈루배출, 폐기물처리]  Scope2 온실가스 배출량 산정방법 = ∑[구매전기, 구매 열(온수, 스팀 등)]  조직의 온실가스 배출량이 산업 내 어떠한 수준에 있는지 점검하는 방식에는 1) ‘온실가스 배출권의할당및거래에관한법률’ 등에 따른 할당량 대비, 2) ‘온실가스·에너지 목표관리제’에 따른 목표값 대비, 3) 조직의 과거년도 배출량을 기반으로 수립한 목표 대비, 4) 조직이 자체적으로 수립한 목표(SBTi* 등) 대비, 5) 조직이 벤치마킹하는 경쟁조직 대비 비교하는 방식 등이 있다. * Science Based Target Initiative : 조직의 과거년도 배출량이나, 국가별…</t>
        </is>
      </c>
      <c r="Z11" s="28" t="n"/>
      <c r="AA11" s="25" t="inlineStr">
        <is>
          <t>온실가스 배출량 (Scope1 &amp; Scope2)에 대한 현황을 관리·공시하고 있습니까?</t>
        </is>
      </c>
      <c r="AB11" s="25" t="inlineStr">
        <is>
          <t>단계(1~5)</t>
        </is>
      </c>
    </row>
    <row r="12" ht="91.5" customHeight="1">
      <c r="A12" s="16" t="n">
        <v>11</v>
      </c>
      <c r="B12" s="17" t="inlineStr">
        <is>
          <t>E-3-2</t>
        </is>
      </c>
      <c r="C12" s="18" t="inlineStr">
        <is>
          <t>기본진단항목(v2.0)</t>
        </is>
      </c>
      <c r="D12" s="32" t="inlineStr">
        <is>
          <t>환경</t>
        </is>
      </c>
      <c r="E12" s="18" t="inlineStr">
        <is>
          <t>온실가스</t>
        </is>
      </c>
      <c r="F12" s="18" t="inlineStr">
        <is>
          <t>온실가스 배출량 (Scope3)</t>
        </is>
      </c>
      <c r="G12" s="18" t="inlineStr">
        <is>
          <t> 조직이 온실가스 배출량 감축 목표를 달성하기 위해 물리적 경계 내에서 발생하는 Scope1 &amp; Scope2 배출량뿐만 아니라, 조직의 외부에서 발생하는 Scope3 배출량의 감축도 관리하고 있는지 점검  Scope3는 조직이 통제할 수 없는 범주에 속하기 때문에, 조직이 Scope3를 직접 감축하고 있는지를 확인하기보다는 Scope3의 인식/산정/검증 등 성과를 관리하는 노력 수준을 확인</t>
        </is>
      </c>
      <c r="H12" s="17" t="inlineStr">
        <is>
          <t>Scope3 측정 범주, Scope3 배출 데이터, Scope3 검증의견서</t>
        </is>
      </c>
      <c r="I12" s="18" t="inlineStr">
        <is>
          <t>직전 회계연도</t>
        </is>
      </c>
      <c r="J12" s="18" t="inlineStr">
        <is>
          <t>국내외 사업장 및 기타 연결실체</t>
        </is>
      </c>
      <c r="K12" s="17" t="inlineStr">
        <is>
          <t>N/A</t>
        </is>
      </c>
      <c r="L12" s="20" t="inlineStr">
        <is>
          <t>복합가중형</t>
        </is>
      </c>
      <c r="M12" s="16" t="n"/>
      <c r="N12" s="18" t="inlineStr">
        <is>
          <t>복합가중형: 2~3개 세부요소를 균등가중평균(예: 1/2+1/2, 1/3×3) — 세부 배점은 점검기준 상세 참조, 자사취득점수는 수동 산정</t>
        </is>
      </c>
      <c r="O12" s="17" t="inlineStr">
        <is>
          <t>Scope3 범주 인식 Scope3 배출량 산정 Scope3 배출량 검증 |  (1/3) (1/3) (1/3) |  1단계 조직의 Scope3 범주를 인식하고 조직의 Scope3 배출량을 Scope3 배출량에 대한 제3자 |  있지 않는 경우 측정하고 있지 않는 경우 검증을 하지 않는 경우 |  2단계 조직의 가치사슬 관련 일부 국내 등 일부 사업장의 일부 Scope3 범주 및 측정값에 |  Scope3 범주만 인식하고 Scope3 배출량만 측정하고 대해서만 제3자 검증을 하는 경우 |  있는 경우 있는 경우 |  3단계 조직의 가치사슬 관련 모든 조직의 모든 사업장의 Scope3 모든 Scope3 범주 및 측정값에 |  Scope3 범주를 인식하고 배출량을 측정하고 있는 경우 대해 제3자 검증을 하는 경우 |  있는 경우</t>
        </is>
      </c>
      <c r="P12" s="21" t="inlineStr">
        <is>
          <t>부분대응</t>
        </is>
      </c>
      <c r="Q12" s="17" t="inlineStr">
        <is>
          <t>KSSB 제2호 문단 29(1)(사) — Scope3 15개 카테고리 요구(K-ESG는 범주인식·산정·검증 3단계로 단순화)</t>
        </is>
      </c>
      <c r="R12" s="17" t="inlineStr">
        <is>
          <t>GHG Protocol, GRI 305-3</t>
        </is>
      </c>
      <c r="S12" s="17" t="inlineStr">
        <is>
          <t>1_2_0_업종별 K-ESG 가이드라인(v2.0) 진단항목</t>
        </is>
      </c>
      <c r="T12" s="34" t="inlineStr">
        <is>
          <t>해당없음(복합가중형)</t>
        </is>
      </c>
      <c r="U12" s="23" t="n"/>
      <c r="V12" s="23" t="n"/>
      <c r="W12" s="23" t="n"/>
      <c r="X12" s="35" t="n"/>
      <c r="Y12" s="17" t="inlineStr">
        <is>
          <t> Scope3 온실가스란 조직이 소유하고 관리하는 사업장(경계) 외 가치사슬에서 발생하는 간접적인 온실가스 배출이다. 조직의 경계 내에서 직접 배출되는 Scope1과 외부 전력 및 열 소비로 인해 배출되는 Scope2에 비해 감축의무 대상은 아니지만, 기후변화 이슈가 가속화됨에 따라 Scope3 관리 필요성도 증가하고 있다. 특히, [조달-개발-생산-유통-판매- 유지-폐기] 등 경영활동 전반을 내재화한 조직과 달리, 사업 운영의 대부분을 외주화(Outsourcing)한 조직은 Scope1 &amp; Scope2 못지않게, Scope3 관리가 중요하다. GreenHouse Gas Protocol이 제시한 ‘Corporate Value Chain(Scope3) Accounting…</t>
        </is>
      </c>
      <c r="Z12" s="18" t="n"/>
      <c r="AA12" s="25" t="inlineStr">
        <is>
          <t>가치사슬 전반 Scope 3 15개 범주를 인식/산정/검증합니까?</t>
        </is>
      </c>
      <c r="AB12" s="25" t="inlineStr">
        <is>
          <t>단계(1~5)</t>
        </is>
      </c>
    </row>
    <row r="13" ht="91.5" customHeight="1">
      <c r="A13" s="26" t="n">
        <v>12</v>
      </c>
      <c r="B13" s="27" t="inlineStr">
        <is>
          <t>E-3-3</t>
        </is>
      </c>
      <c r="C13" s="28" t="inlineStr">
        <is>
          <t>기본진단항목(v2.0)</t>
        </is>
      </c>
      <c r="D13" s="32" t="inlineStr">
        <is>
          <t>환경</t>
        </is>
      </c>
      <c r="E13" s="28" t="inlineStr">
        <is>
          <t>온실가스</t>
        </is>
      </c>
      <c r="F13" s="28" t="inlineStr">
        <is>
          <t>온실가스 배출량 검증</t>
        </is>
      </c>
      <c r="G13" s="28" t="inlineStr">
        <is>
          <t> 온실가스 배출권 거래제, 온실가스 목표관리제, 기타 온실가스 정보를 기반으로 의사결정하는 이해관계자가 증가함에 따라, 조직이 대외공시하는 온실가스 배출량 데이터가 타당성/신뢰성/투명성을 확보하고 있는지 확인  조직의 온실가스 배출량 데이터에 관해 제3자 기관으로부터 검증을 받는 경우, 해당 검증의견이 갖추어야 할 형식적 요건을 점검</t>
        </is>
      </c>
      <c r="H13" s="28" t="inlineStr">
        <is>
          <t>온실가스 배출량 검증의견서</t>
        </is>
      </c>
      <c r="I13" s="28" t="inlineStr">
        <is>
          <t>직전 회계연도</t>
        </is>
      </c>
      <c r="J13" s="27" t="inlineStr">
        <is>
          <t>N/A</t>
        </is>
      </c>
      <c r="K13" s="27" t="inlineStr">
        <is>
          <t>N/A</t>
        </is>
      </c>
      <c r="L13" s="29" t="inlineStr">
        <is>
          <t>선택형</t>
        </is>
      </c>
      <c r="M13" s="26" t="n">
        <v>5</v>
      </c>
      <c r="N13" s="28" t="inlineStr">
        <is>
          <t>선택형: 요건1=0점 / 요건2=25점 / 요건3=50점 / 요건4=75점 / 요건5=100점</t>
        </is>
      </c>
      <c r="O13" s="28" t="inlineStr">
        <is>
          <t>요건1 |  검증의견서에 검증기관(또는 검증인)이 명시되어 있는 경우 |  (또는, 검증기관이 License Number를 갖추고 있는 경우) |  요건2 |  검증의견서에 검증표준(방법론)이 제시되어 있는 경우 |  (온실가스 배출권거래제의 배출량 보고 및 인증에 관한 지침, GHG Protocol, ISO14064-1 등) |  요건3 |  검증의견서에 ESG 정보 검증수준을 공개하고 있는 경우 |  (전체/일부 데이터 검증, 제한적/합리적 보증 등) |  요건4 |  제3자 검증기관이 검증한 온실가스 배출량 검증 범위가 적시되어 있는 경우 |  (즉, 조직의 사업장 중 온실가스 배출량을 검증받은 사업장 및 지역 등) |  요건5 |  조직의 온실가스 관리에 관한 제3자 검증기관 의견이 명시되어 있는 경우 |  (온실가스 관리 시스템 개선, 향후 검증값의 변동가능성 등)</t>
        </is>
      </c>
      <c r="P13" s="31" t="inlineStr">
        <is>
          <t>완전대응</t>
        </is>
      </c>
      <c r="Q13" s="27" t="inlineStr">
        <is>
          <t>KSSB 제1호 문단 50(3)(검증)</t>
        </is>
      </c>
      <c r="R13" s="27" t="inlineStr">
        <is>
          <t>GRI 305</t>
        </is>
      </c>
      <c r="S13" s="27" t="inlineStr">
        <is>
          <t>1_2_0_업종별 K-ESG 가이드라인(v2.0) 진단항목</t>
        </is>
      </c>
      <c r="T13" s="22" t="n"/>
      <c r="U13" s="23" t="n"/>
      <c r="V13" s="23" t="n"/>
      <c r="W13" s="23" t="n"/>
      <c r="X13" s="30">
        <f>IF(T13="","",MAX(1,SUMPRODUCT(('02_점수산정참고표'!$A$2:$A$314=$B13)*('02_점수산정참고표'!$C$2:$C$314=T13)*'02_점수산정참고표'!$E$2:$E$314)))</f>
        <v/>
      </c>
      <c r="Y13" s="28" t="inlineStr">
        <is>
          <t> ｢기후위기 대응을 위한 탄소중립·녹색성장 기본법｣에 따라 국가 온실가스 감축 목표(2030년의 국가 온실가스 총배출량을 2018년의 온실가스 총배출량의 40%만큼 감축)를 달성할 수 있도록 일정 수준 이상의 온실가스를 배출하고 에너지를 소비하는 업체 및 사업장은 관리업체로 지정되며, 해당 기업은 온실가스 감축목표, 에너지 절약목표를 설정하고 관리할 의무가 있다.  2023년 12월 14일 환경부 온실가스종합정보센터의 관리업체 고시 기준 온실가스·에너지 목표관리 대상은 총 331개로 관장기관별로 국토교통부 86개, 산업통상자원부 172개, 농림축산식품부 35개, 해양수산부 15개, 환경부 23개이며, 관리업체에 대한 선정기준은 최근 3년간 연평균 온실가스 배출총량을…</t>
        </is>
      </c>
      <c r="Z13" s="28" t="n"/>
      <c r="AA13" s="25" t="inlineStr">
        <is>
          <t>온실가스 배출량에 대해 적격한 제3자 검증을 획득했습니까?</t>
        </is>
      </c>
      <c r="AB13" s="25" t="inlineStr">
        <is>
          <t>단계(1~5)</t>
        </is>
      </c>
    </row>
    <row r="14" ht="91.5" customHeight="1">
      <c r="A14" s="16" t="n">
        <v>13</v>
      </c>
      <c r="B14" s="17" t="inlineStr">
        <is>
          <t>E-4-1</t>
        </is>
      </c>
      <c r="C14" s="18" t="inlineStr">
        <is>
          <t>기본진단항목(v2.0)</t>
        </is>
      </c>
      <c r="D14" s="32" t="inlineStr">
        <is>
          <t>환경</t>
        </is>
      </c>
      <c r="E14" s="18" t="inlineStr">
        <is>
          <t>에너지</t>
        </is>
      </c>
      <c r="F14" s="18" t="inlineStr">
        <is>
          <t>에너지 사용량</t>
        </is>
      </c>
      <c r="G14" s="18" t="inlineStr">
        <is>
          <t> 조직이 소유, 관리, 통제하는 물리적 경계(사업장 등) 내에서 직접 생산하거나, 외부로부터 구매하는 에너지 사용 총량을 절감하고 있는지 점검  조직간 규모 차이(매출액, 생산량 등) 또는 각 조직의 사업 변동(구조조정, 인수합병 등)을 고려하여 상대적으로 비교가 용이한 단위 당 개념의 ‘원단위’를 기반으로 에너지 사용량을 확인</t>
        </is>
      </c>
      <c r="H14" s="18" t="inlineStr">
        <is>
          <t>‘전자공시시스템’ 上 사업보고서, ‘조직별 홈페이지’ 上 지속가능경영보고서, ‘한국에너지공단 홈페이지’ 上 산업부문 에너지 사용 및 온실가스 배출량 통계</t>
        </is>
      </c>
      <c r="I14" s="18" t="inlineStr">
        <is>
          <t>최근 4개 회계연도</t>
        </is>
      </c>
      <c r="J14" s="18" t="inlineStr">
        <is>
          <t>국내외 사업장 및 기타 연결실체</t>
        </is>
      </c>
      <c r="K14" s="18" t="inlineStr">
        <is>
          <t>원단위 에너지 사용량 = 총 에너지 사용량 / 원단위 활용 분모</t>
        </is>
      </c>
      <c r="L14" s="20" t="inlineStr">
        <is>
          <t>단계형</t>
        </is>
      </c>
      <c r="M14" s="16" t="n">
        <v>3</v>
      </c>
      <c r="N14" s="18" t="inlineStr">
        <is>
          <t>단계형: 1단계=0점 / 2단계=50점 / 3단계=100점</t>
        </is>
      </c>
      <c r="O14" s="17" t="inlineStr">
        <is>
          <t>1단계 |  지난 4개년 원단위 에너지 사용량이 증가 추세 |  2단계 |  지난 4개년 원단위 에너지 사용량이 변동 없음 |  3단계 |  지난 4개년 원단위 에너지 사용량이 감소 추세 |  * 원단위 에너지 사용량을 관리하지 않고 있는 경우 0점 적용 |  * 3개년 이하 데이터 보유 시 해당 데이터로 추세 산정 |  * '유지 추세'로 판단할 경우 2단계로 적용하여 평가</t>
        </is>
      </c>
      <c r="P14" s="21" t="inlineStr">
        <is>
          <t>부분대응</t>
        </is>
      </c>
      <c r="Q14" s="17" t="inlineStr">
        <is>
          <t>KSSB 제2호 문단 29 부속 에너지 사용 관련 준용</t>
        </is>
      </c>
      <c r="R14" s="17" t="inlineStr">
        <is>
          <t>GRI 302-1</t>
        </is>
      </c>
      <c r="S14" s="17" t="inlineStr">
        <is>
          <t>1_2_0_업종별 K-ESG 가이드라인(v2.0) 진단항목</t>
        </is>
      </c>
      <c r="T14" s="22" t="n"/>
      <c r="U14" s="23" t="n"/>
      <c r="V14" s="23" t="n"/>
      <c r="W14" s="23" t="n"/>
      <c r="X14" s="24">
        <f>IF(T14="","",MAX(1,SUMPRODUCT(('02_점수산정참고표'!$A$2:$A$314=$B14)*('02_점수산정참고표'!$C$2:$C$314=T14)*'02_점수산정참고표'!$E$2:$E$314)))</f>
        <v/>
      </c>
      <c r="Y14" s="18" t="inlineStr">
        <is>
          <t> 에너지 사용량 = ‘조직에서 직접 사용한 화석연료’ + ‘조직에서 직접 사용한 재생연료’ + ‘외부로부터 구매한 전기, 열 등’ + ‘조직에서 생산한 전기, 열(스팀) 등’ - ‘조직에서 사용하지 않고 외부로 판매한 전기, 열 등’  (고체, 기체, 액체 연료) 에너지 사용량 환산방법 = 연료 사용량 × 총발열량  (전기) 에너지 사용량 환산방법 = 전력사용량 × 발열량(소비)  조직의 에너지 사용량이 산업 내 어떠한 수준에 있는지 점검하는 방식에는 1) ‘온실가스 배출권의할당및거래에관한법률’ 등에 따른 할당량 대비 비교, 2) ‘온실가스·에너지 목표관리제’에 따른 목표 대비 비교, 3) 조직의 과거년도 배출량을 기반으로 설정한 목표 대비 비교, 4) RE100…</t>
        </is>
      </c>
      <c r="Z14" s="18" t="n"/>
      <c r="AA14" s="25" t="inlineStr">
        <is>
          <t>원단위 에너지 사용량이 최근 4개년 간 절감 추세입니까?</t>
        </is>
      </c>
      <c r="AB14" s="25" t="inlineStr">
        <is>
          <t>단계(1~5)</t>
        </is>
      </c>
    </row>
    <row r="15" ht="91.5" customHeight="1">
      <c r="A15" s="26" t="n">
        <v>14</v>
      </c>
      <c r="B15" s="27" t="inlineStr">
        <is>
          <t>E-4-2</t>
        </is>
      </c>
      <c r="C15" s="28" t="inlineStr">
        <is>
          <t>기본진단항목(v2.0)</t>
        </is>
      </c>
      <c r="D15" s="32" t="inlineStr">
        <is>
          <t>환경</t>
        </is>
      </c>
      <c r="E15" s="28" t="inlineStr">
        <is>
          <t>에너지</t>
        </is>
      </c>
      <c r="F15" s="28" t="inlineStr">
        <is>
          <t>재생에너지 사용 비율</t>
        </is>
      </c>
      <c r="G15" s="28" t="inlineStr">
        <is>
          <t> 조직이 에너지 체계를 재생에너지로 전환하고 있는지 확인  조직의 총 에너지 사용량 대비 신에너지 및 재생에너지가 차지하는 비율로 해당 항목을 점검  국내 ‘신에너지 및 재생에너지 개발·이용·보급촉진법’ 上 2025년까지 대규모 발전소가 공급하는 신재생에너지공급의무비율 (RPS)은 25%로써 수요 대비 한계가 있으므로, 해당 지표에서 다루는 재생에너지 범위는 ‘자가 재생에너지 발전’, ‘녹색프리미엄 요금제 사용’, ‘재생에너지 크레딧 구매’, ‘재생에너지 발전사업 지분 참여’, ‘제3자 전력구매계약’ 등을 포괄함</t>
        </is>
      </c>
      <c r="H15" s="28" t="inlineStr">
        <is>
          <t>‘조직별 홈페이지’ 上 지속가능경영보고서</t>
        </is>
      </c>
      <c r="I15" s="28" t="inlineStr">
        <is>
          <t>최근 4개 회계연도</t>
        </is>
      </c>
      <c r="J15" s="28" t="inlineStr">
        <is>
          <t>국내외 사업장 및 기타 연결실체</t>
        </is>
      </c>
      <c r="K15" s="28" t="inlineStr">
        <is>
          <t>재생에너지 사용 비율 = 총 재생에너지 사용량 / 총 에너지 사용량 * 신에너지 사용량 포함</t>
        </is>
      </c>
      <c r="L15" s="29" t="inlineStr">
        <is>
          <t>단계형</t>
        </is>
      </c>
      <c r="M15" s="26" t="n">
        <v>3</v>
      </c>
      <c r="N15" s="28" t="inlineStr">
        <is>
          <t>단계형: 1단계=0점 / 2단계=50점 / 3단계=100점</t>
        </is>
      </c>
      <c r="O15" s="27" t="inlineStr">
        <is>
          <t>1단계 |  지난 4개년 재생에너지 사용비율이 감소 추세 |  2단계 |  지난 4개년 재생에너지 사용비율이 변동 없음 |  3단계 |  지난 4개년 재생에너지 사용비율이 증가 추세 |  * 재생에너지를 사용하고 있지 않은 경우 0점 적용 |  * 국내 및 해외 모든 사업장에서 재생에너지를 100% 사용하는 경우 100점 적용 |  * 3개년 이하 데이터 보유 시 해당 데이터로 추세 산정 |  * '유지 추세'로 판단할 경우 2단계로 적용하여 평가</t>
        </is>
      </c>
      <c r="P15" s="21" t="inlineStr">
        <is>
          <t>부분대응</t>
        </is>
      </c>
      <c r="Q15" s="27" t="inlineStr">
        <is>
          <t>KSSB 제2호 문단 29(4) 친환경 기회 관련 준용</t>
        </is>
      </c>
      <c r="R15" s="27" t="inlineStr">
        <is>
          <t>GRI 302-1</t>
        </is>
      </c>
      <c r="S15" s="27" t="inlineStr">
        <is>
          <t>1_2_0_업종별 K-ESG 가이드라인(v2.0) 진단항목</t>
        </is>
      </c>
      <c r="T15" s="22" t="n"/>
      <c r="U15" s="23" t="n"/>
      <c r="V15" s="23" t="n"/>
      <c r="W15" s="23" t="n"/>
      <c r="X15" s="30">
        <f>IF(T15="","",MAX(1,SUMPRODUCT(('02_점수산정참고표'!$A$2:$A$314=$B15)*('02_점수산정참고표'!$C$2:$C$314=T15)*'02_점수산정참고표'!$E$2:$E$314)))</f>
        <v/>
      </c>
      <c r="Y15" s="28" t="inlineStr">
        <is>
          <t> ‘신에너지 및 재생에너지 개발·이용·보급촉진법’ 제2조에서는 신재생에너지를 “기존의 화석연료를 변환시켜 이용하거나 햇빛·물·지열·강수·생물유기체 등을 포함하여 재생가능한 에너지를 변환시켜 이용하는 에너지”로 정의하고 있으며, 신재생에너지의 종류는 다음과 같다. - 신에너지 : 연료전지, 수소, 석탄액화·가스화 및 중질잔사유 가스화 - 재생에너지 : 태양광, 태양열, 바이오, 풍력, 수력, 해양, 폐기물, 지열  조직이 사업을 영위하는 국가 또는 지역의 에너지 체계에 따라, 또는 태양광, 대기, 조류 등의 양적/질적 조건에 따라 재생에너지 사용 비율을 확대하는데 한계가 있다. 반면, 국가별 재생에너지 이용·보급·확산을 위해 조직이 재생에너지를 직접 구매·생산하지…</t>
        </is>
      </c>
      <c r="Z15" s="28" t="n"/>
      <c r="AA15" s="25" t="inlineStr">
        <is>
          <t>재생에너지(PPA, REC 등) 사용 비율이 4개년 간 증가 추세입니까?</t>
        </is>
      </c>
      <c r="AB15" s="25" t="inlineStr">
        <is>
          <t>단계(1~5)</t>
        </is>
      </c>
    </row>
    <row r="16" ht="91.5" customHeight="1">
      <c r="A16" s="16" t="n">
        <v>15</v>
      </c>
      <c r="B16" s="17" t="inlineStr">
        <is>
          <t>E-5-1</t>
        </is>
      </c>
      <c r="C16" s="18" t="inlineStr">
        <is>
          <t>기본진단항목(v2.0)</t>
        </is>
      </c>
      <c r="D16" s="32" t="inlineStr">
        <is>
          <t>환경</t>
        </is>
      </c>
      <c r="E16" s="18" t="inlineStr">
        <is>
          <t>용수</t>
        </is>
      </c>
      <c r="F16" s="18" t="inlineStr">
        <is>
          <t>용수 사용량</t>
        </is>
      </c>
      <c r="G16" s="18" t="inlineStr">
        <is>
          <t> 조직이 용수를 공급받는 취수원을 보호하고 있는지, 또는 사업장이 위치한 지역의 수자원 고갈 리스크에 대비하고 있는지를 간접적으로 점검할 수 있는 항목으로써, 조직이 사용하는 용수 총량(신규 취수량, 내부 재사용량)을 효율적으로 관리하고 있는지 확인  조직간 규모 차이(매출액, 생산량 등) 또는 각 조직의 사업 변동(구조조정, 인수합병 등)을 고려하여 상대적 비교가능성이 높은 ‘원단위’ 개념을 기반으로 용수 사용량을 점검</t>
        </is>
      </c>
      <c r="H16" s="18" t="inlineStr">
        <is>
          <t>‘조직별 홈페이지’ 上 지속가능경영보고서, ‘한국에너지공단 물정보포털(My Water)’ 上 GIS 수자원</t>
        </is>
      </c>
      <c r="I16" s="18" t="inlineStr">
        <is>
          <t>최근 4개 회계연도</t>
        </is>
      </c>
      <c r="J16" s="18" t="inlineStr">
        <is>
          <t>국내외 사업장 및 기타 연결실체</t>
        </is>
      </c>
      <c r="K16" s="18" t="inlineStr">
        <is>
          <t>원단위 용수 사용량 = 총 용수 사용량 / 원단위 활용 분모</t>
        </is>
      </c>
      <c r="L16" s="20" t="inlineStr">
        <is>
          <t>단계형</t>
        </is>
      </c>
      <c r="M16" s="16" t="n">
        <v>3</v>
      </c>
      <c r="N16" s="18" t="inlineStr">
        <is>
          <t>단계형: 1단계=0점 / 2단계=50점 / 3단계=100점</t>
        </is>
      </c>
      <c r="O16" s="17" t="inlineStr">
        <is>
          <t>1단계 |  지난 4개년 원단위 용수 사용량이 증가 추세 |  2단계 |  지난 4개년 원단위 용수 사용량이 변동 없음 |  3단계 |  지난 4개년 원단위 용수 사용량이 감소 추세 |  * 원단위 용수 사용량을 관리하고 있지 않은 경우 0점 적용 |  * 3개년 이하 데이터 보유 시 해당 데이터로 추세 산정 |  * '유지 추세'로 판단할 경우 2단계로 적용하여 평가</t>
        </is>
      </c>
      <c r="P16" s="33" t="inlineStr">
        <is>
          <t>GAP(대응지표 없음)</t>
        </is>
      </c>
      <c r="Q16" s="17" t="inlineStr">
        <is>
          <t>KSSB 제2호 직접 규정 없음(업종기반지표로만 요구 가능)</t>
        </is>
      </c>
      <c r="R16" s="17" t="inlineStr">
        <is>
          <t>GRI 303, CDSB 물 적용지침</t>
        </is>
      </c>
      <c r="S16" s="17" t="inlineStr">
        <is>
          <t>1_2_0_업종별 K-ESG 가이드라인(v2.0) 진단항목</t>
        </is>
      </c>
      <c r="T16" s="22" t="n"/>
      <c r="U16" s="23" t="n"/>
      <c r="V16" s="23" t="n"/>
      <c r="W16" s="23" t="n"/>
      <c r="X16" s="24">
        <f>IF(T16="","",MAX(1,SUMPRODUCT(('02_점수산정참고표'!$A$2:$A$314=$B16)*('02_점수산정참고표'!$C$2:$C$314=T16)*'02_점수산정참고표'!$E$2:$E$314)))</f>
        <v/>
      </c>
      <c r="Y16" s="17" t="inlineStr">
        <is>
          <t> UN의 환경경제 통합계정(System of Integrated Environmental and Economic Accounting, SEEA, 1993)에 따른 ‘용수 사용량’은 다음과 같이 정의할 수 있다. - 용수 사용량 = 환경에서 유입한 취수량 + 조직 내 재사용량 + 다른 조직에서 전달받은 폐수량 * 취수에 해당하는 경우 : 공업용수 外 표층수, 지하수, 토양수, 강우포집, 해양취수  용수 사용량은 산업분류, 사업특성, 생산규모에 따라 영향을 받는다. 따라서 조직의 용수 사용량이 산업 내 어떠한 수준에 있는지 점검하는 방식에는 1) 조직이 취수받는 수원별 공급능력 대비, 2) 조직의 사업장이 위치한 지역별 수자원 부존량 대비, 3) 조직의 과거년도 사용량…</t>
        </is>
      </c>
      <c r="Z16" s="18" t="n"/>
      <c r="AA16" s="25" t="inlineStr">
        <is>
          <t>수자원 취수 원단위 총 용수 사용량이 감소 추세입니까?</t>
        </is>
      </c>
      <c r="AB16" s="25" t="inlineStr">
        <is>
          <t>단계(1~5)</t>
        </is>
      </c>
    </row>
    <row r="17" ht="91.5" customHeight="1">
      <c r="A17" s="26" t="n">
        <v>16</v>
      </c>
      <c r="B17" s="27" t="inlineStr">
        <is>
          <t>E-5-2</t>
        </is>
      </c>
      <c r="C17" s="28" t="inlineStr">
        <is>
          <t>기본진단항목(v2.0)</t>
        </is>
      </c>
      <c r="D17" s="32" t="inlineStr">
        <is>
          <t>환경</t>
        </is>
      </c>
      <c r="E17" s="28" t="inlineStr">
        <is>
          <t>용수</t>
        </is>
      </c>
      <c r="F17" s="28" t="inlineStr">
        <is>
          <t>재사용 용수 비율</t>
        </is>
      </c>
      <c r="G17" s="28" t="inlineStr">
        <is>
          <t> 조직이 도시화와 산업화 진전으로 인해 발생되는 수자원 부족 문제에 대비하여, 지속가능한 용수 순환 체계를 구축하고 있는지 확인  조직이 소유, 관리, 통제하는 물리적 경계(사업장 등) 내에서 중수도, 하·폐수처리수 재이용시설 등을 설치하여 오수(汚水), 하수, 폐수를 효과적으로 순환·재사용하는지 점검</t>
        </is>
      </c>
      <c r="H17" s="28" t="inlineStr">
        <is>
          <t>‘조직별 홈페이지’ 上 지속가능경영보고서</t>
        </is>
      </c>
      <c r="I17" s="28" t="inlineStr">
        <is>
          <t>최근 4개 회계연도</t>
        </is>
      </c>
      <c r="J17" s="28" t="inlineStr">
        <is>
          <t>국내외 사업장 및 기타 연결실체</t>
        </is>
      </c>
      <c r="K17" s="28" t="inlineStr">
        <is>
          <t>재사용 용수 비율 = 총 재사용 용수량 / 총 용수 사용량</t>
        </is>
      </c>
      <c r="L17" s="29" t="inlineStr">
        <is>
          <t>단계형</t>
        </is>
      </c>
      <c r="M17" s="26" t="n">
        <v>3</v>
      </c>
      <c r="N17" s="28" t="inlineStr">
        <is>
          <t>단계형: 1단계=0점 / 2단계=50점 / 3단계=100점</t>
        </is>
      </c>
      <c r="O17" s="27" t="inlineStr">
        <is>
          <t>1단계 |  지난 4개년 재사용 용수 비율이 감소 추세 |  2단계 |  지난 4개년 재사용 용수 비율이 변동 없음 |  3단계 |  지난 4개년 재사용 용수 비율이 증가 추세 |  * 용수를 재사용하지 않고 있는 경우 0점 적용 |  * 국내 및 해외 모든 사업장이 폐수 무방류 시스템을 구축한 경우 100점 적용 |  * 3개년 이하 데이터 보유 시 해당 데이터로 추세 산정 |  * '유지 추세'로 판단할 경우 2단계로 적용하여 평가</t>
        </is>
      </c>
      <c r="P17" s="33" t="inlineStr">
        <is>
          <t>GAP(대응지표 없음)</t>
        </is>
      </c>
      <c r="Q17" s="27" t="inlineStr">
        <is>
          <t>KSSB 제2호 직접 규정 없음</t>
        </is>
      </c>
      <c r="R17" s="27" t="inlineStr">
        <is>
          <t>GRI 303</t>
        </is>
      </c>
      <c r="S17" s="27" t="inlineStr">
        <is>
          <t>1_2_0_업종별 K-ESG 가이드라인(v2.0) 진단항목</t>
        </is>
      </c>
      <c r="T17" s="22" t="n"/>
      <c r="U17" s="23" t="n"/>
      <c r="V17" s="23" t="n"/>
      <c r="W17" s="23" t="n"/>
      <c r="X17" s="30">
        <f>IF(T17="","",MAX(1,SUMPRODUCT(('02_점수산정참고표'!$A$2:$A$314=$B17)*('02_점수산정참고표'!$C$2:$C$314=T17)*'02_점수산정참고표'!$E$2:$E$314)))</f>
        <v/>
      </c>
      <c r="Y17" s="28" t="inlineStr">
        <is>
          <t> 물의 순환 개념은 ‘우수→하천→취수→[1회사용]→배출→하천→해양’으로써, 용수 재사용이란 인공적인 순환을 개념을 추가한 ‘우수→하천→취수→[사용→처리→재사용]→배출→하천→해양’이라 할 수 있다. 해당 지표에서 정의하는 재사용은 재생처리된 폐수를 방류한 후 이를 다시 취수하는 간접 재사용(Indirect Reuse)을 의미하는 것이 아니라, 재생처리된 폐수를 방류하지 않고 조직의 사업 및 영업 행위에 다시 사용하는 직접 재사용(Direct Reuse)을 의미한다.  조직의 사업 특성에 따라 재사용 또는 재활용 불가능한 수준의 오수, 하수, 폐수가 발생할 수 있으나, 해당 오수, 하수, 폐수를 재사용 또는 재활용할 수 있는 수처리 기술도 발전하고 있다. 따라서 재사용…</t>
        </is>
      </c>
      <c r="Z17" s="28" t="n"/>
      <c r="AA17" s="25" t="inlineStr">
        <is>
          <t>사용한 용수를 직접 재사용/순환하는 비율이 증가 추세입니까?</t>
        </is>
      </c>
      <c r="AB17" s="25" t="inlineStr">
        <is>
          <t>단계(1~5)</t>
        </is>
      </c>
    </row>
    <row r="18" ht="91.5" customHeight="1">
      <c r="A18" s="16" t="n">
        <v>17</v>
      </c>
      <c r="B18" s="17" t="inlineStr">
        <is>
          <t>E-6-1</t>
        </is>
      </c>
      <c r="C18" s="18" t="inlineStr">
        <is>
          <t>기본진단항목(v2.0)</t>
        </is>
      </c>
      <c r="D18" s="32" t="inlineStr">
        <is>
          <t>환경</t>
        </is>
      </c>
      <c r="E18" s="18" t="inlineStr">
        <is>
          <t>폐기물</t>
        </is>
      </c>
      <c r="F18" s="18" t="inlineStr">
        <is>
          <t>폐기물 배출량</t>
        </is>
      </c>
      <c r="G18" s="18" t="inlineStr">
        <is>
          <t> 조직이 소유, 관리, 통제하는 물리적 경계(사업장 등) 내에서 사업 및 영업 활동(ex. 연구개발, 제품 생산/가공/포장 등 포함, 소비자가 사용 이후 폐기한 폐제품은 제외)에 따라 발생하는 폐기물을 저감하고 있는지 확인  조직간 규모 차이(매출액, 생산량 등) 또는 각 조직의 사업 변동(구조조정, 인수합병 등)을 고려하여 상대적 비교가능성 높은 ‘원단위’ 개념을 기반으로 폐기물 배출량을 점검</t>
        </is>
      </c>
      <c r="H18" s="18" t="inlineStr">
        <is>
          <t>‘조직별 홈페이지’ 上 지속가능경영보고서, ‘한국환경공단’&gt;자원순환정보시스템&gt;연도별 전국 폐기물 발생 및 처리현황</t>
        </is>
      </c>
      <c r="I18" s="18" t="inlineStr">
        <is>
          <t>최근 4개 회계연도</t>
        </is>
      </c>
      <c r="J18" s="18" t="inlineStr">
        <is>
          <t>국내외 사업장 및 기타 연결실체</t>
        </is>
      </c>
      <c r="K18" s="18" t="inlineStr">
        <is>
          <t>원단위 폐기물 배출량 = 총 폐기물 배출량 / 원단위 활용 분모</t>
        </is>
      </c>
      <c r="L18" s="20" t="inlineStr">
        <is>
          <t>단계형</t>
        </is>
      </c>
      <c r="M18" s="16" t="n">
        <v>3</v>
      </c>
      <c r="N18" s="18" t="inlineStr">
        <is>
          <t>단계형: 1단계=0점 / 2단계=50점 / 3단계=100점</t>
        </is>
      </c>
      <c r="O18" s="17" t="inlineStr">
        <is>
          <t>1단계 |  지난 4개년 원단위 폐기물 배출량이 증가 추세 |  2단계 |  지난 4개년 원단위 폐기물 배출량이 변동 없음 |  3단계 |  지난 4개년 원단위 폐기물 배출량이 감소 추세 |  * 원단위 폐기물 배출량을 관리하지 않고 있는 경우 0점 적용 |  * 3개년 이하 데이터 보유 시 해당 데이터로 추세 산정 |  * '유지 추세'로 판단할 경우 2단계로 적용하여 평가</t>
        </is>
      </c>
      <c r="P18" s="33" t="inlineStr">
        <is>
          <t>GAP(대응지표 없음)</t>
        </is>
      </c>
      <c r="Q18" s="17" t="inlineStr">
        <is>
          <t>KSSB 제2호 직접 규정 없음(업종기반지표로만 요구 가능)</t>
        </is>
      </c>
      <c r="R18" s="17" t="inlineStr">
        <is>
          <t>GRI 306</t>
        </is>
      </c>
      <c r="S18" s="17" t="inlineStr">
        <is>
          <t>1_2_0_업종별 K-ESG 가이드라인(v2.0) 진단항목</t>
        </is>
      </c>
      <c r="T18" s="22" t="n"/>
      <c r="U18" s="23" t="n"/>
      <c r="V18" s="23" t="n"/>
      <c r="W18" s="23" t="n"/>
      <c r="X18" s="24">
        <f>IF(T18="","",MAX(1,SUMPRODUCT(('02_점수산정참고표'!$A$2:$A$314=$B18)*('02_점수산정참고표'!$C$2:$C$314=T18)*'02_점수산정참고표'!$E$2:$E$314)))</f>
        <v/>
      </c>
      <c r="Y18" s="18" t="inlineStr">
        <is>
          <t> 폐기물이란 쓰레기, 연소재, 오니, 폐유, 폐산, 폐알칼리 및 동물사체 등으로 사람의 생활이나 사업활동에 필요하지 않게 된 물질을 말하며, 조직에서 발생하는 폐기물의 종류는 ‘사업장배출시설계폐기물’, ‘사업장생활계폐기물’, ‘지정폐기물’, ‘건설폐기물’로 구분된다. - 조직이 배출하는 폐기물의 종류와 배출량은 ‘환경부-폐기물적법처리시스템(Allbaro)’, ‘환경부-환경정보 공개시스템’에서 확인 가능하다.  폐기물 배출량은 산업분류, 사업특성, 생산규모에 따라 영향을 받는다. 따라서 조직의 폐기물 배출량이 산업 내 어떠한 수준에 있는지 점검하는 방식에는 1) 업종별 총 폐기물 배출량 대비, 2) 조직의 사업장이 위치한 지역의 총 폐기물 배출량 대비, 3) 조직의…</t>
        </is>
      </c>
      <c r="Z18" s="18" t="n"/>
      <c r="AA18" s="25" t="inlineStr">
        <is>
          <t>지정/일반 폐기물 발생 총량의 원단위 감축 추세입니까?</t>
        </is>
      </c>
      <c r="AB18" s="25" t="inlineStr">
        <is>
          <t>단계(1~5)</t>
        </is>
      </c>
    </row>
    <row r="19" ht="91.5" customHeight="1">
      <c r="A19" s="26" t="n">
        <v>18</v>
      </c>
      <c r="B19" s="27" t="inlineStr">
        <is>
          <t>E-6-2</t>
        </is>
      </c>
      <c r="C19" s="28" t="inlineStr">
        <is>
          <t>기본진단항목(v2.0)</t>
        </is>
      </c>
      <c r="D19" s="32" t="inlineStr">
        <is>
          <t>환경</t>
        </is>
      </c>
      <c r="E19" s="28" t="inlineStr">
        <is>
          <t>폐기물</t>
        </is>
      </c>
      <c r="F19" s="28" t="inlineStr">
        <is>
          <t>폐기물 재활용 비율</t>
        </is>
      </c>
      <c r="G19" s="28" t="inlineStr">
        <is>
          <t> 조직이 자원순환 경제로 전환에 동참하기 위해, 생산 단계에서부터 폐기물을 원천 감량하는 것을 넘어, 폐기물의 순환이용을 높이고 있는지 확인  조직이 가공-생산-보관-유통 과정에서 발생하는 폐기물이 생산 과정에 재투입되거나, 조직 내/외부에서 2차 자원으로 재활용 되고 있는지 점검</t>
        </is>
      </c>
      <c r="H19" s="28" t="inlineStr">
        <is>
          <t>‘조직별 홈페이지’ 上 지속가능경영보고서, ‘한국환경공단’ 연도별 전국 폐기물 발생 및 처리현황, 폐기물 재활용 실적 및 업체현황, 재활용지정사업자 재활용실적, 포장재폐기물 발생량 및 재활용량</t>
        </is>
      </c>
      <c r="I19" s="28" t="inlineStr">
        <is>
          <t>최근 4개 회계연도</t>
        </is>
      </c>
      <c r="J19" s="28" t="inlineStr">
        <is>
          <t>국내외 사업장 및 기타 연결실체</t>
        </is>
      </c>
      <c r="K19" s="28" t="inlineStr">
        <is>
          <t>폐기물 재활용 비율 = 폐기물 재활용량(재사용 포함) / 재활용(재사용 포함) 대상 폐기물 발생량</t>
        </is>
      </c>
      <c r="L19" s="29" t="inlineStr">
        <is>
          <t>단계형</t>
        </is>
      </c>
      <c r="M19" s="26" t="n">
        <v>3</v>
      </c>
      <c r="N19" s="28" t="inlineStr">
        <is>
          <t>단계형: 1단계=0점 / 2단계=50점 / 3단계=100점</t>
        </is>
      </c>
      <c r="O19" s="27" t="inlineStr">
        <is>
          <t>1단계 |  지난 4개년 폐기물 재활용 비율이 감소 추세 |  2단계 |  지난 4개년 폐기물 재활용 비율이 변동 없음 |  3단계 |  지난 4개년 폐기물 재활용 비율이 증가 추세 |  * 폐기물 재활용 비율을 관리하지 않고 있는 경우 0점 적용 |  * 국내 및 해외 모든 사업장이 재활용 및 재사용 가능한 폐기물 전부를 재활용 및 재사용하고 있는 경우 100점 적용 |  * 3개년 이하 데이터 보유 시 해당 데이터로 추세 산정 |  * '유지 추세'로 판단할 경우 2단계로 적용하여 평가</t>
        </is>
      </c>
      <c r="P19" s="33" t="inlineStr">
        <is>
          <t>GAP(대응지표 없음)</t>
        </is>
      </c>
      <c r="Q19" s="27" t="inlineStr">
        <is>
          <t>KSSB 제2호 직접 규정 없음</t>
        </is>
      </c>
      <c r="R19" s="27" t="inlineStr">
        <is>
          <t>GRI 306</t>
        </is>
      </c>
      <c r="S19" s="27" t="inlineStr">
        <is>
          <t>1_2_0_업종별 K-ESG 가이드라인(v2.0) 진단항목</t>
        </is>
      </c>
      <c r="T19" s="22" t="n"/>
      <c r="U19" s="23" t="n"/>
      <c r="V19" s="23" t="n"/>
      <c r="W19" s="23" t="n"/>
      <c r="X19" s="30">
        <f>IF(T19="","",MAX(1,SUMPRODUCT(('02_점수산정참고표'!$A$2:$A$314=$B19)*('02_점수산정참고표'!$C$2:$C$314=T19)*'02_점수산정참고표'!$E$2:$E$314)))</f>
        <v/>
      </c>
      <c r="Y19" s="28" t="inlineStr">
        <is>
          <t> 폐기물 재사용이란 원부자재 또는 재공품의 본래 용도 및 사용 목적과 같은 목적으로 사용하는 것을 의미하며, 폐기물 재활용이란 폐기된 원부자재 또는 재공품에서 유용한 자원을 회수하여 활용하는 것을 의미한다. 폐기물 재활용은 크게 아래와 같은 3가지 기준으로 구분할 수 있다. - 물질적 회수 : 폐기물이나 부산물을 처리하여 유가금속, 철스크랩, 종이류, 목재 등 특정 2차 물질을 회수하여 재활용하는 방식 - 화학적 회수 : 폐기물이나 부산물의 분자구조를 변형시키는 것으로 이전에는 실질적으로 재활용할 수 없었던 것을 재활용 할 수 있도록 변형하는 방식 - 에너지 전환 : 폐기물이나 부산물로부터 고형연료, 메탄가스 또는 기타 에너지원을 회수하여 새로운 에너지원으로 전환하는…</t>
        </is>
      </c>
      <c r="Z19" s="28" t="n"/>
      <c r="AA19" s="25" t="inlineStr">
        <is>
          <t>물질/화학적 회수를 통한 전체 폐기물 재활용률이 증가 추세입니까?</t>
        </is>
      </c>
      <c r="AB19" s="25" t="inlineStr">
        <is>
          <t>단계(1~5)</t>
        </is>
      </c>
    </row>
    <row r="20" ht="91.5" customHeight="1">
      <c r="A20" s="16" t="n">
        <v>19</v>
      </c>
      <c r="B20" s="17" t="inlineStr">
        <is>
          <t>E-7-1</t>
        </is>
      </c>
      <c r="C20" s="18" t="inlineStr">
        <is>
          <t>기본진단항목(v2.0)</t>
        </is>
      </c>
      <c r="D20" s="32" t="inlineStr">
        <is>
          <t>환경</t>
        </is>
      </c>
      <c r="E20" s="18" t="inlineStr">
        <is>
          <t>오염물질</t>
        </is>
      </c>
      <c r="F20" s="18" t="inlineStr">
        <is>
          <t>대기오염물질 배출량</t>
        </is>
      </c>
      <c r="G20" s="18" t="inlineStr">
        <is>
          <t> 조직이 소유, 관리, 통제하는 물리적 경계(사업장 등) 내에서 발생하는 대기오염물질을 지속적으로 저감하는 등 대기환경 개선을 위한 노력을 이행하고 있는지 확인  ｢대기환경보전법｣ 上 64개 대기오염물질 중 대다수를 구성하는 질소산화물, 황산화물, 미세먼지 배출농도를 기간별 비교하는 방식으로 점검</t>
        </is>
      </c>
      <c r="H20" s="18" t="inlineStr">
        <is>
          <t>‘조직별 홈페이지’ 上 지속가능경영보고서, ‘한국환경공단-에어코리아’ 上 실시간 자료조회</t>
        </is>
      </c>
      <c r="I20" s="18" t="inlineStr">
        <is>
          <t>최근 4개년 회계연도</t>
        </is>
      </c>
      <c r="J20" s="18" t="inlineStr">
        <is>
          <t>국내외 사업장 및 기타 연결실체</t>
        </is>
      </c>
      <c r="K20" s="18" t="inlineStr">
        <is>
          <t>대기오염물질 배출 = 질소산화물, 황산화물, 미세먼지의 배출농도(PPM, mg/㎥)</t>
        </is>
      </c>
      <c r="L20" s="20" t="inlineStr">
        <is>
          <t>단계형</t>
        </is>
      </c>
      <c r="M20" s="16" t="n">
        <v>3</v>
      </c>
      <c r="N20" s="18" t="inlineStr">
        <is>
          <t>단계형: 1단계=0점 / 2단계=50점 / 3단계=100점</t>
        </is>
      </c>
      <c r="O20" s="17" t="inlineStr">
        <is>
          <t>1단계 |  지난 4개년 대기오염물질 평균 배출농도가 증가 추세 |  2단계 |  지난 4개년 대기오염물질 평균 배출농도가 변동 없음 |  3단계 |  지난 4개년 대기오염물질 평균 배출농도가 감소 추세 |  * 대기오염물질 평균 배출농도를 관리하지 않고 있는 경우 0점 적용 |  * 국내 및 해외 모든 사업장의 대기오염물질 배출농도가 ‘0’인 경우 100점 적용 |  * 3개년 이하 데이터 보유 시 해당 데이터로 추세 산정 |  * '유지 추세'로 판단할 경우 2단계로 적용하여 평가</t>
        </is>
      </c>
      <c r="P20" s="33" t="inlineStr">
        <is>
          <t>GAP(대응지표 없음)</t>
        </is>
      </c>
      <c r="Q20" s="17" t="inlineStr">
        <is>
          <t>KSSB 제2호 직접 규정 없음</t>
        </is>
      </c>
      <c r="R20" s="17" t="inlineStr">
        <is>
          <t>GRI 305-7</t>
        </is>
      </c>
      <c r="S20" s="17" t="inlineStr">
        <is>
          <t>1_2_0_업종별 K-ESG 가이드라인(v2.0) 진단항목</t>
        </is>
      </c>
      <c r="T20" s="22" t="n"/>
      <c r="U20" s="23" t="n"/>
      <c r="V20" s="23" t="n"/>
      <c r="W20" s="23" t="n"/>
      <c r="X20" s="24">
        <f>IF(T20="","",MAX(1,SUMPRODUCT(('02_점수산정참고표'!$A$2:$A$314=$B20)*('02_점수산정참고표'!$C$2:$C$314=T20)*'02_점수산정참고표'!$E$2:$E$314)))</f>
        <v/>
      </c>
      <c r="Y20" s="18" t="inlineStr">
        <is>
          <t> 해당 항목에서 정의한 대기오염물질인 질소산화물(NOx), 황산화물(SOx), 먼지(TSP)는 환경부의 ‘사업장 대기오염물질 총량관리제도’에서 규정한 ‘관리대상 오염물질’이다. ‘사업장 대기오염물질 총량관리제도’는 사업장에 연도별로 배출허용총량을 할당하고, 이를 준수하는 사업장은 잔여 할당량을 판매할 수 있고, 이를 초과하는 사업장은 총량초과과징금을 부과한다.  대기오염물질 배출농도 및 가스유량은 ｢환경분야 시험·검사 등에 관한 법률｣ 제6조제1항에 따라 환경부장관이 정하여 고시한 환경오염공정시험기준(또는 이에 준하는 국가별 관계법령)에 따라 측정한다.  ｢대기환경보전법｣에 따른 대기오염물질 방지시설 설치 면제사업장의 경우, 동법 시행규칙 별지 제7호 서식에 따라…</t>
        </is>
      </c>
      <c r="Z20" s="18" t="n"/>
      <c r="AA20" s="25" t="inlineStr">
        <is>
          <t>NOx, SOx, 미세먼지 원단위 배출농도가 감소 추세입니까?</t>
        </is>
      </c>
      <c r="AB20" s="25" t="inlineStr">
        <is>
          <t>단계(1~5)</t>
        </is>
      </c>
    </row>
    <row r="21" ht="91.5" customHeight="1">
      <c r="A21" s="26" t="n">
        <v>20</v>
      </c>
      <c r="B21" s="27" t="inlineStr">
        <is>
          <t>E-7-2</t>
        </is>
      </c>
      <c r="C21" s="28" t="inlineStr">
        <is>
          <t>기본진단항목(v2.0)</t>
        </is>
      </c>
      <c r="D21" s="32" t="inlineStr">
        <is>
          <t>환경</t>
        </is>
      </c>
      <c r="E21" s="28" t="inlineStr">
        <is>
          <t>오염물질</t>
        </is>
      </c>
      <c r="F21" s="28" t="inlineStr">
        <is>
          <t>수질오염물질 배출량</t>
        </is>
      </c>
      <c r="G21" s="28" t="inlineStr">
        <is>
          <t> 조직이 소유, 관리, 통제하는 물리적 경계(사업장 등) 내에서 최종 발생하는 수질오염물질을 저감하는 등 수자원 보호를 위한 노력을 이행하고 있는지 확인  ｢물환경보전법｣ 上 수질오염물질을 대표하는 생물화학적 산소요구량(BOD), 총 유기탄소량(TOC), 부유물질량(SS)의 배출 농도를 기간별 비교하는 방식으로 점검</t>
        </is>
      </c>
      <c r="H21" s="28" t="inlineStr">
        <is>
          <t>‘조직별 홈페이지’ 上 지속가능경영보고서, ‘환경부-물환경정보시스템’ 上 수질측정망</t>
        </is>
      </c>
      <c r="I21" s="28" t="inlineStr">
        <is>
          <t>최근 4개 회계연도</t>
        </is>
      </c>
      <c r="J21" s="28" t="inlineStr">
        <is>
          <t>국내외 사업장 및 기타 연결실체</t>
        </is>
      </c>
      <c r="K21" s="28" t="inlineStr">
        <is>
          <t>수질오염물질 배출 = 생물화학적 산소요구량, 총 유기탄소량, 부유물질량의 배출농도(PPM, mg/l)</t>
        </is>
      </c>
      <c r="L21" s="29" t="inlineStr">
        <is>
          <t>단계형</t>
        </is>
      </c>
      <c r="M21" s="26" t="n">
        <v>3</v>
      </c>
      <c r="N21" s="28" t="inlineStr">
        <is>
          <t>단계형: 1단계=0점 / 2단계=50점 / 3단계=100점</t>
        </is>
      </c>
      <c r="O21" s="27" t="inlineStr">
        <is>
          <t>1단계 |  지난 4개년 수질오염물질 평균 배출농도가 증가 추세 |  2단계 |  지난 4개년 수질오염물질 평균 배출농도가 변동 없음 |  3단계 |  지난 4개년 수질오염물질 평균 배출농도가 감소 추세 |  * 수질오염물질 평균 배출농도를 관리하지 않고 있는 경우 0점 적용 |  * 국내 및 해외 모든 사업장의 수질오염물질 배출농도가 ‘0’인 경우 100점 적용 |  * 3개년 이하 데이터 보유 시 해당 데이터로 추세 산정 |  * '유지 추세'로 판단할 경우 2단계로 적용하여 평가</t>
        </is>
      </c>
      <c r="P21" s="33" t="inlineStr">
        <is>
          <t>GAP(대응지표 없음)</t>
        </is>
      </c>
      <c r="Q21" s="27" t="inlineStr">
        <is>
          <t>KSSB 제2호 직접 규정 없음</t>
        </is>
      </c>
      <c r="R21" s="27" t="inlineStr">
        <is>
          <t>GRI 303-4</t>
        </is>
      </c>
      <c r="S21" s="27" t="inlineStr">
        <is>
          <t>1_2_0_업종별 K-ESG 가이드라인(v2.0) 진단항목</t>
        </is>
      </c>
      <c r="T21" s="22" t="n"/>
      <c r="U21" s="23" t="n"/>
      <c r="V21" s="23" t="n"/>
      <c r="W21" s="23" t="n"/>
      <c r="X21" s="30">
        <f>IF(T21="","",MAX(1,SUMPRODUCT(('02_점수산정참고표'!$A$2:$A$314=$B21)*('02_점수산정참고표'!$C$2:$C$314=T21)*'02_점수산정참고표'!$E$2:$E$314)))</f>
        <v/>
      </c>
      <c r="Y21" s="28" t="inlineStr">
        <is>
          <t> 해당 지표에서 정의한 수질오염물질인 생물화학적 산소요구량(BOD), 총 유기탄소량(TOC), 부유물질량(SS)은 ｢물환경보전법 시행규칙｣ 별표13 上 ‘수질오염물질의 배출허용기준’ 항목이다.  수질오염물질 배출농도는 ｢환경분야 시험·검사 등에 관한 법률｣ 제6조제1항에 따라 환경부장관이 정하여 고시한 환경오염공정시험기준(또는 이에 준하는 국가별 관계법령)에 따라 측정한다.  ｢물환경보전법｣ 제35조에 따른 수질오염물질 방지시설 면제사업장에 해당하는 경우 수질오염물질 배출 성과를 점검하지 아니할 수 있다.  조직의 수질오염물질 배출 수준을 점검하는 방식에는 1) 폐수를 방류하거나, 폐수처리시설과 관련된 수계의 평균 오염농도 대비, 2) 조직의 과거년도 배출농도를…</t>
        </is>
      </c>
      <c r="Z21" s="28" t="n"/>
      <c r="AA21" s="25" t="inlineStr">
        <is>
          <t>BOD, TOC, SS 배출농도가 감소 추세입니까?</t>
        </is>
      </c>
      <c r="AB21" s="25" t="inlineStr">
        <is>
          <t>단계(1~5)</t>
        </is>
      </c>
    </row>
    <row r="22" ht="91.5" customHeight="1">
      <c r="A22" s="16" t="n">
        <v>21</v>
      </c>
      <c r="B22" s="17" t="inlineStr">
        <is>
          <t>E-8-1</t>
        </is>
      </c>
      <c r="C22" s="18" t="inlineStr">
        <is>
          <t>기본진단항목(v2.0)</t>
        </is>
      </c>
      <c r="D22" s="32" t="inlineStr">
        <is>
          <t>환경</t>
        </is>
      </c>
      <c r="E22" s="18" t="inlineStr">
        <is>
          <t>환경 법/규제 위반</t>
        </is>
      </c>
      <c r="F22" s="18" t="inlineStr">
        <is>
          <t>환경 법/규제 위반</t>
        </is>
      </c>
      <c r="G22" s="18" t="inlineStr">
        <is>
          <t> 조직이 사업을 운영하는 과정에서 준수해야 할 환경 관리 법/규제를 명확하게 인식하고, 환경 법/규제 리스크 해결을 위한 투자 및 개선활동이 효과적인지 확인  환경 관련 법/규제 위반 사건 중 조직의 재무구조 및 평판 관리에 상당한 영향력을 미치는 사법상 형벌, 행정상 처분(금전적, 비금전적)에 대해 가중치를 달리 적용하는 방식으로 ‘환경 법/규제 위반’을 점검</t>
        </is>
      </c>
      <c r="H22" s="18" t="inlineStr">
        <is>
          <t>‘전자공시시스템’ 上 사업보고서, ‘조직별 홈페이지’ 上 지속가능경영보고서</t>
        </is>
      </c>
      <c r="I22" s="18" t="inlineStr">
        <is>
          <t>최근 4개 회계연도</t>
        </is>
      </c>
      <c r="J22" s="18" t="inlineStr">
        <is>
          <t>국내외 사업장 및 기타 연결실체</t>
        </is>
      </c>
      <c r="K22" s="17" t="inlineStr">
        <is>
          <t>∑(환경 법/규제 위반 건 * 처벌수위별 감점 기준)</t>
        </is>
      </c>
      <c r="L22" s="20" t="inlineStr">
        <is>
          <t>감점형</t>
        </is>
      </c>
      <c r="M22" s="16" t="n">
        <v>3</v>
      </c>
      <c r="N22" s="59" t="inlineStr">
        <is>
          <t>감점형: 기준 100점에서 위반유형별(-50/-30/-10점) 차감(중복 적용 가능), 최저 0점</t>
        </is>
      </c>
      <c r="O22" s="59" t="inlineStr">
        <is>
          <t>유형 1 |  지난 4개년 간 환경 법/규제 위반내역 중 판결이 확정된 건수에 대해, 처벌수위가 사법상 형벌, 벌금, 과료인 경우, 또는 국가나 |  지방자치단체를 당사자로 하는 계약에서 입찰참가자격을 제한당한 경우 |  유형 2 |  지난 4개년 간 환경 법/규제 위반내역 중 판결이 확정된 건수에 대해, 처벌수위가 행정상 처분 중 금전적 처분에 해당하는 과태료, |  과징금, 이행강제금 등인 경우 |  유형 3 |  지난 4개년 간 환경 법/규제 위반내역 중 판결이 확정된 건수에 대해, 처벌수위가 행정상 처분 중 비금전적 처분에 해당하는 시정 |  명령, 시정권고, 경고 등인 경우 |  * 감점 사항이 없을 경우, 감점 없음 |  * 단, 처벌 및 조치내역의 발생횟수에 따른 감점 시 환경 분야의 총 평가 최저점은 0점으로 하한선 설정</t>
        </is>
      </c>
      <c r="P22" s="21" t="inlineStr">
        <is>
          <t>부분대응</t>
        </is>
      </c>
      <c r="Q22" s="17" t="inlineStr">
        <is>
          <t>KSSB 제1호 문단 위험관리 원칙 준용</t>
        </is>
      </c>
      <c r="R22" s="17" t="inlineStr">
        <is>
          <t>GRI 2-27(Compliance)</t>
        </is>
      </c>
      <c r="S22" s="17" t="inlineStr">
        <is>
          <t>1_2_0_업종별 K-ESG 가이드라인(v2.0) 진단항목</t>
        </is>
      </c>
      <c r="T22" s="34" t="inlineStr">
        <is>
          <t>해당없음(감점형)</t>
        </is>
      </c>
      <c r="U22" s="22" t="n">
        <v>0</v>
      </c>
      <c r="V22" s="22" t="n">
        <v>0</v>
      </c>
      <c r="W22" s="22" t="n">
        <v>0</v>
      </c>
      <c r="X22" s="24">
        <f>MAX(1,100-(N(U22)*50+N(V22)*30+N(W22)*10))</f>
        <v/>
      </c>
      <c r="Y22" s="18" t="inlineStr">
        <is>
          <t> 환경 법/규제 위반행위란 오염물질 불법배출의 가중처벌, 환경보호지역 오염행위 등의 가중처벌, 과실범, 멸종위기 야생생물의 포획 등의 가중처벌, 폐기물 불법처리의 가중처벌, 누범의 가중, 명령 불이행자에 대한 처벌의 규정에 해당하는 행위나 ｢대기환경보전법｣ 비산먼지 발생을 억제하기 위한 시설 설치 혹은 조치를 하지 않은 경우, ｢화학물질 등록 및 평가 등에 관한 법률｣ 또는 ｢화학물질관리법｣ 유해화학물질을 부적절하게 관리한 경우, ｢폐기물관리법｣ 생활폐기물을 불법 처리하는 행위 등으로써 ｢환경범죄 등의 단속 및 가중처벌에 관한 법률｣ 제3조에서 제14조를 통해 처벌수위를 규정하고 있다. - 제3조 : 오염물질 불법배출의 가중처벌 - 제4조 : 환경보호지역 오염행위 등의…</t>
        </is>
      </c>
      <c r="Z22" s="18" t="n"/>
      <c r="AA22" s="25" t="inlineStr">
        <is>
          <t>환경 관계 법령 위반 처벌 및 제재 이력이 있습니까?</t>
        </is>
      </c>
      <c r="AB22" s="25" t="inlineStr">
        <is>
          <t>단계(1~5)</t>
        </is>
      </c>
    </row>
    <row r="23" ht="91.5" customHeight="1">
      <c r="A23" s="26" t="n">
        <v>22</v>
      </c>
      <c r="B23" s="27" t="inlineStr">
        <is>
          <t>E-9-1</t>
        </is>
      </c>
      <c r="C23" s="28" t="inlineStr">
        <is>
          <t>기본진단항목(v2.0)</t>
        </is>
      </c>
      <c r="D23" s="32" t="inlineStr">
        <is>
          <t>환경</t>
        </is>
      </c>
      <c r="E23" s="28" t="inlineStr">
        <is>
          <t>환경 라벨링</t>
        </is>
      </c>
      <c r="F23" s="28" t="inlineStr">
        <is>
          <t>친환경 인증 제품 및 서비스 비율</t>
        </is>
      </c>
      <c r="G23" s="28" t="inlineStr">
        <is>
          <t> 제품의 생산 과정에서 자원·에너지 사용, 오염물질 배출, 인체·생태계 독성 등 환경영향을 파악하며, 제품의 긍정적 환경영향을 확대하고 부정적 환경영향은 축소하고 있는지 확인  ISO 등 국제인증표준에 준하거나, 환경부 등 정부기관에서 시행하고 있는 친환경 인증 획득 제품이 전체 제품에서 차지하는 비율을 점검</t>
        </is>
      </c>
      <c r="H23" s="28" t="inlineStr">
        <is>
          <t>‘전자공시시스템’ 上 사업보고서, ‘조직별 홈페이지’ 上 지속가능경영보고서</t>
        </is>
      </c>
      <c r="I23" s="28" t="inlineStr">
        <is>
          <t>직전 회계연도</t>
        </is>
      </c>
      <c r="J23" s="28" t="inlineStr">
        <is>
          <t>국내외 사업장 및 기타 연결실체</t>
        </is>
      </c>
      <c r="K23" s="28" t="inlineStr">
        <is>
          <t>친환경 인증 제품 및 서비스 비율 = (친환경 인증 제품 및 서비스 매출액 / 조직의 총 매출액)</t>
        </is>
      </c>
      <c r="L23" s="29" t="inlineStr">
        <is>
          <t>단계형</t>
        </is>
      </c>
      <c r="M23" s="26" t="n">
        <v>3</v>
      </c>
      <c r="N23" s="28" t="inlineStr">
        <is>
          <t>단계형: 1단계=100점 / 2단계=50점 / 3단계=0점</t>
        </is>
      </c>
      <c r="O23" s="27" t="inlineStr">
        <is>
          <t>1단계 |  친환경 인증을 획득한 제품 및 서비스, 또는 친환경 인증 원부자재 등이 포함된 제품군의 매출비율이 증가 추세 |  2단계 |  친환경 인증을 획득한 제품 및 서비스, 또는 친환경 인증 원부자재 등이 포함된 제품군의 매출비율이 변동 없음 |  3단계 |  친환경 인증을 획득한 제품 및 서비스, 또는 친환경 인증 원부자재 등이 포함된 제품군의 매출비율이 감소 추세 |  * 완성품이 아닌 원부자재 생산 업종의 경우 원부자재에 대한 친환경 인증을 기준으로 점검 |  * 3개년 이하 데이터 보유 시 해당 데이터로 추세 산정 |  * '유지 추세'로 판단할 경우 2단계로 적용하여 평가</t>
        </is>
      </c>
      <c r="P23" s="21" t="inlineStr">
        <is>
          <t>부분대응</t>
        </is>
      </c>
      <c r="Q23" s="27" t="inlineStr">
        <is>
          <t>KSSB 제2호 문단 29(4) 친환경 기회(택소노미 부합 매출) 취지 유사</t>
        </is>
      </c>
      <c r="R23" s="27" t="inlineStr">
        <is>
          <t>K-ESG 고유지표, K-Taxonomy</t>
        </is>
      </c>
      <c r="S23" s="27" t="inlineStr">
        <is>
          <t>1_2_0_업종별 K-ESG 가이드라인(v2.0) 진단항목</t>
        </is>
      </c>
      <c r="T23" s="22" t="n"/>
      <c r="U23" s="23" t="n"/>
      <c r="V23" s="23" t="n"/>
      <c r="W23" s="23" t="n"/>
      <c r="X23" s="30">
        <f>IF(T23="","",MAX(1,SUMPRODUCT(('02_점수산정참고표'!$A$2:$A$314=$B23)*('02_점수산정참고표'!$C$2:$C$314=T23)*'02_점수산정참고표'!$E$2:$E$314)))</f>
        <v/>
      </c>
      <c r="Y23" s="28" t="inlineStr">
        <is>
          <t> 친환경 제품 및 서비스 인증은 1) 제품 및 서비스 자체의 친환경성을 확인, 2) 제품 및 서비스가 환경에 미치는 계량적 정보를 라벨링하는 것에 대해 공신력 있는 제3자기관으로부터 인증을 획득하거나 국내외 표준규격을 준용하여 조직이 자체적으로 선언하는 것을 포함한다. 친환경 제품 및 서비스 인증표준 및 관련 제도는 국가별, 지역별 또는 제품/서비스 유형별로 다양하게 도입되고 있어, 조직은 해당 산업 내 통용되는 친환경 제품 및 서비스 인증표준 및 관련 제도를 파악하고, 해당 인증을 획득한 제품 및 서비스가 차지하는 비율을 관리할 수 있다. - 해외 주요 인증 : ISO14021, ISO14024, ISO14025, CE Marking - 국내 주요 인증 : 환경마크,…</t>
        </is>
      </c>
      <c r="Z23" s="28" t="n"/>
      <c r="AA23" s="25" t="inlineStr">
        <is>
          <t>친환경 인증 제품 및 서비스 비율을 정량적으로 산정하여 관리·공시하고 있습니까?</t>
        </is>
      </c>
      <c r="AB23" s="25" t="inlineStr">
        <is>
          <t>단계(1~5)</t>
        </is>
      </c>
    </row>
    <row r="24" ht="91.5" customHeight="1">
      <c r="A24" s="16" t="n">
        <v>23</v>
      </c>
      <c r="B24" s="17" t="inlineStr">
        <is>
          <t>E-10-1</t>
        </is>
      </c>
      <c r="C24" s="18" t="inlineStr">
        <is>
          <t>기본진단항목(v2.0)</t>
        </is>
      </c>
      <c r="D24" s="32" t="inlineStr">
        <is>
          <t>환경</t>
        </is>
      </c>
      <c r="E24" s="18" t="inlineStr">
        <is>
          <t>기후변화대응</t>
        </is>
      </c>
      <c r="F24" s="18" t="inlineStr">
        <is>
          <t>기후변화 거버넌스</t>
        </is>
      </c>
      <c r="G24" s="18" t="inlineStr">
        <is>
          <t> 조직 내 기후변화 이슈에 체계적이고 효과적으로 대응할 수 있는 관리·감독(기구) 구축 여부 점검  조직 내 기후변화 대응 목표가 핵심성과지표(KPIs)에 반영되어 있는지 점검하고, 이를 통해 인센티브를 제공하고 있는지 확인</t>
        </is>
      </c>
      <c r="H24" s="18" t="inlineStr">
        <is>
          <t>‘조직별 홈페이지’ 上 지속가능성보고서, TCFD 보고서, 기후변화 대응계획, 이사회 또는 ESG위원회(지속가능경영위원회) 조직도 및 회의록</t>
        </is>
      </c>
      <c r="I24" s="18" t="inlineStr">
        <is>
          <t>직전 회계연도 기준</t>
        </is>
      </c>
      <c r="J24" s="17" t="inlineStr">
        <is>
          <t>N/A</t>
        </is>
      </c>
      <c r="K24" s="17" t="inlineStr">
        <is>
          <t>N/A</t>
        </is>
      </c>
      <c r="L24" s="20" t="inlineStr">
        <is>
          <t>단계형</t>
        </is>
      </c>
      <c r="M24" s="16" t="n">
        <v>5</v>
      </c>
      <c r="N24" s="18" t="inlineStr">
        <is>
          <t>단계형: 1단계=0점 / 2단계=25점 / 3단계=50점 / 4단계=75점 / 5단계=100점</t>
        </is>
      </c>
      <c r="O24" s="17" t="inlineStr">
        <is>
          <t>1단계 |  기후변화 문제에 대응할 수 있는 담당자(혹은 기구)가 없음 |  2단계 |  기후변화 문제에 대응하기 위한 관리자(혹은 담당부서)가 있으며, 담당부서의 KPIs에 조직의 기후변화 대응 목표가 반영되어 |  있음 |  3단계 |  기후변화 문제에 대응하기 위한 관리직(C-level) 혹은 위원회가 있으며, 관리직의 KPIs에 조직의 기후변화 대응 목표가 반영되어 |  있음 (예 : 기후/지속가능성/ESG 최고 책임자, 리스크 관리 최고 책임자(CEO 제외) 등) |  4단계 |  3단계 + 기후 관련 문제를 이사회 차원의 위원회에서 관리·감독하고 있으며, 이사회 안건으로 상정하고 있음 |  (예 : 기후/지속가능성/ESG 위원회, 리스크 관리 위원회 등) |  5단계 |  4단계 + 조직 구성원에게 기후변화 대응 목표 KPIs 달성도에 따라 인센티브를 제공하고 있음</t>
        </is>
      </c>
      <c r="P24" s="31" t="inlineStr">
        <is>
          <t>완전대응</t>
        </is>
      </c>
      <c r="Q24" s="17" t="inlineStr">
        <is>
          <t>KSSB 제2호 문단 6(1),(2) — 기후 거버넌스</t>
        </is>
      </c>
      <c r="R24" s="17" t="inlineStr">
        <is>
          <t>TCFD, GRI 2-9</t>
        </is>
      </c>
      <c r="S24" s="17" t="inlineStr">
        <is>
          <t>1_2_0_업종별 K-ESG 가이드라인(v2.0) 진단항목</t>
        </is>
      </c>
      <c r="T24" s="22" t="n"/>
      <c r="U24" s="23" t="n"/>
      <c r="V24" s="23" t="n"/>
      <c r="W24" s="23" t="n"/>
      <c r="X24" s="24">
        <f>IF(T24="","",MAX(1,SUMPRODUCT(('02_점수산정참고표'!$A$2:$A$314=$B24)*('02_점수산정참고표'!$C$2:$C$314=T24)*'02_점수산정참고표'!$E$2:$E$314)))</f>
        <v/>
      </c>
      <c r="Y24" s="17" t="inlineStr">
        <is>
          <t> TCFD(Task Force on Climate-related Financial Disclosures)는 조직이 자사가 직면한 기후변화 관련 위험과 기회를 평가해야 하며 이로 인해 발생할 수 있는 기업의 재무적 영향과 비용, 미래의 기회 등을 평가하는 것을 권고하고 있다.  조직은 기후변화에 대응할 수 있도록 명확한 목표를 설정하고, 이에 대한 중장기적 계획을 수립하며 이를 지속적으로 책임질 수 있는 담당자(혹은 기구)를 지정해야 한다. 기후변화 위기 대응 거버넌스를 구축하여 보다 체계적이고 효과적으로 관련 활동 및 성과를 관리해야 한다.  기후변화 대응을 위한 조직 활동으로는 온실가스 감축, 재생에너지 확대, 산림보호, 폐기물 관리, 관련 교육 등이 있으며, 위…</t>
        </is>
      </c>
      <c r="Z24" s="18" t="n"/>
      <c r="AA24" s="25" t="inlineStr">
        <is>
          <t>기후변화 대응을 위한 이사회 감독 및 구성원 KPI 연계 체계가 있습니까?</t>
        </is>
      </c>
      <c r="AB24" s="25" t="inlineStr">
        <is>
          <t>단계(1~5)</t>
        </is>
      </c>
    </row>
    <row r="25" ht="91.5" customHeight="1">
      <c r="A25" s="26" t="n">
        <v>24</v>
      </c>
      <c r="B25" s="27" t="inlineStr">
        <is>
          <t>E-10-2</t>
        </is>
      </c>
      <c r="C25" s="28" t="inlineStr">
        <is>
          <t>기본진단항목(v2.0)</t>
        </is>
      </c>
      <c r="D25" s="32" t="inlineStr">
        <is>
          <t>환경</t>
        </is>
      </c>
      <c r="E25" s="28" t="inlineStr">
        <is>
          <t>기후변화대응</t>
        </is>
      </c>
      <c r="F25" s="28" t="inlineStr">
        <is>
          <t>기후변화 중장기 리스크 식별</t>
        </is>
      </c>
      <c r="G25" s="28" t="inlineStr">
        <is>
          <t> 조직이 기후변화 이슈에 대응하기 위해 경영전략에 시나리오 분석을 도입해 활용하고 있는지 확인  조직의 리스크 분석 및 경영전략의 회복탄력성을 설명하기 위해 활용된 기후변화 시나리오가 ‘전환 시나리오’와 ‘물리적 시나리오’를 포함하고 있는지 확인</t>
        </is>
      </c>
      <c r="H25" s="28" t="inlineStr">
        <is>
          <t>‘조직별 홈페이지’ 上 지속가능경영보고서, TCFD 보고서, CDP 보고서 등</t>
        </is>
      </c>
      <c r="I25" s="28" t="inlineStr">
        <is>
          <t>직전 회계연도 기준</t>
        </is>
      </c>
      <c r="J25" s="28" t="inlineStr">
        <is>
          <t>국내외 사업장 및 기타 연결실체</t>
        </is>
      </c>
      <c r="K25" s="27" t="inlineStr">
        <is>
          <t>N/A</t>
        </is>
      </c>
      <c r="L25" s="29" t="inlineStr">
        <is>
          <t>복합가중형</t>
        </is>
      </c>
      <c r="M25" s="26" t="n"/>
      <c r="N25" s="28" t="inlineStr">
        <is>
          <t>복합가중형: 2~3개 세부요소를 균등가중평균(예: 1/2+1/2, 1/3×3) — 세부 배점은 점검기준 상세 참조, 자사취득점수는 수동 산정</t>
        </is>
      </c>
      <c r="O25" s="28" t="inlineStr">
        <is>
          <t>구분1(1/2) 구분2(1/2) |  전환 시나리오 물리 시나리오 |  요건1 (50점) 전환 시나리오 1개만 적용한 경우 물리 시나리오 1개만 적용한 경우 |  요건2 (100점) 2개 이상의 전환 시나리오를 적용한 경우 2개 이상의 물리 시나리오를 적용한 경우 |  ※ 기후변화 시나리오별 분석을 수행하지 않는 경우 0점 처리</t>
        </is>
      </c>
      <c r="P25" s="31" t="inlineStr">
        <is>
          <t>완전대응</t>
        </is>
      </c>
      <c r="Q25" s="27" t="inlineStr">
        <is>
          <t>KSSB 제2호 문단 10 — 단기·중기·장기 위험/기회 식별</t>
        </is>
      </c>
      <c r="R25" s="27" t="inlineStr">
        <is>
          <t>TCFD</t>
        </is>
      </c>
      <c r="S25" s="27" t="inlineStr">
        <is>
          <t>1_2_0_업종별 K-ESG 가이드라인(v2.0) 진단항목</t>
        </is>
      </c>
      <c r="T25" s="34" t="inlineStr">
        <is>
          <t>해당없음(복합가중형)</t>
        </is>
      </c>
      <c r="U25" s="23" t="n"/>
      <c r="V25" s="23" t="n"/>
      <c r="W25" s="23" t="n"/>
      <c r="X25" s="35" t="n"/>
      <c r="Y25" s="28" t="inlineStr">
        <is>
          <t> 조직은 기후변화 시나리오를 통해 지구온난화에 따른 불확실한 미래 상황을 예측하고, 각 시나리오별 상황이 조직의 사업에 미치는 잠재적인 영향을 분석할 수 있다.  조직은 기후변화가 비즈니스, 전략 및 재무성과에 미치는 잠재적 영향력을 사전에 파악하기 위해 기후 시나리오 분석 방법을 적용해야 하며, CDP(Conference of the Parties) 권고에 따라 1.5℃ 이하 시나리오를 포함하는 다양한 기후 관련 시나리오를 고려해야 한다.  조직은 1.5℃ 이하 시나리오, 1.5℃ 초과 시나리오를 모두 적용하여 분석한 후 각 시나리오를 비교 분석해야 한다.  ‘녹색금융협의체(NGFS)’는 기후 시나리오를 기후변화 자체에 의한 물리적 손해인 ‘물리적…</t>
        </is>
      </c>
      <c r="Z25" s="28" t="n"/>
      <c r="AA25" s="25" t="inlineStr">
        <is>
          <t>기후변화 중장기 리스크 식별을 정기적으로 실시하고 있습니까?</t>
        </is>
      </c>
      <c r="AB25" s="25" t="inlineStr">
        <is>
          <t>단계(1~5)</t>
        </is>
      </c>
    </row>
    <row r="26" ht="91.5" customHeight="1">
      <c r="A26" s="16" t="n">
        <v>25</v>
      </c>
      <c r="B26" s="17" t="inlineStr">
        <is>
          <t>E-10-3</t>
        </is>
      </c>
      <c r="C26" s="18" t="inlineStr">
        <is>
          <t>기본진단항목(v2.0)</t>
        </is>
      </c>
      <c r="D26" s="32" t="inlineStr">
        <is>
          <t>환경</t>
        </is>
      </c>
      <c r="E26" s="18" t="inlineStr">
        <is>
          <t>기후변화대응</t>
        </is>
      </c>
      <c r="F26" s="18" t="inlineStr">
        <is>
          <t>기후변화 물리 리스크 및 대응 방안</t>
        </is>
      </c>
      <c r="G26" s="18" t="inlineStr">
        <is>
          <t> 조직이 기후변화에 따라 비즈니스 운영, 전략, 수익 또는 지출에 실질적인 변화가 발생할 가능성이 있는 리스크를 식별하고 있는지 확인  물리적 기후변화(물 부족, 홍수 등)로 인한 정량적인 재무 리스크를 추정하고 소요 비용, 대응 전략, 관련 사업기회를 모색하고 있는지 점검  조직의 상황 및 수준에 따라 본 지표의 선택적 적용을 권고</t>
        </is>
      </c>
      <c r="H26" s="18" t="inlineStr">
        <is>
          <t>‘조직별 홈페이지’ 上 지속가능경영보고서, TCFD 보고서, CDP 보고서 등</t>
        </is>
      </c>
      <c r="I26" s="18" t="inlineStr">
        <is>
          <t>직전 회계연도 기준</t>
        </is>
      </c>
      <c r="J26" s="18" t="inlineStr">
        <is>
          <t>국내외 사업장 및 기타 연결실체</t>
        </is>
      </c>
      <c r="K26" s="17" t="inlineStr">
        <is>
          <t>N/A</t>
        </is>
      </c>
      <c r="L26" s="20" t="inlineStr">
        <is>
          <t>단계형</t>
        </is>
      </c>
      <c r="M26" s="16" t="n">
        <v>5</v>
      </c>
      <c r="N26" s="18" t="inlineStr">
        <is>
          <t>단계형: 1단계=0점 / 2단계=25점 / 3단계=50점 / 4단계=75점 / 5단계=100점</t>
        </is>
      </c>
      <c r="O26" s="17" t="inlineStr">
        <is>
          <t>1단계 |  조직이 기후변화로 인한 물리 리스크를 분석하지 않는 경우 |  2단계 |  조직이 기후변화로 인한 조직 전체 차원의 물리 리스크를 식별하고 정의하는 경우 |  3단계 |  2단계 + 물리 리스크로 인한 사업 영향력을 정성적으로 측정하는 경우 |  4단계 |  3단계 +물리 리스크로 인한 사업 영향력을 정량적으로 측정하여 리스크 해소한 경우 |  5단계 |  4단계 + 물리 리스크로 인해 발생할 수 있는 리스크에 대한 새로운 사업기회를 모색하는 등 기업의 회복탄력성을 수립한 경우 |  * 4단계에서 리스크에 따른 사업 영향력을 정량적으로 측정할 경우, 재해보험의 위험 전가율(%) 등도 고려할 수 있음</t>
        </is>
      </c>
      <c r="P26" s="21" t="inlineStr">
        <is>
          <t>부분대응</t>
        </is>
      </c>
      <c r="Q26" s="17" t="inlineStr">
        <is>
          <t>KSSB 제2호 문단 22, B1~B18 — 시나리오분석·회복력(1.5℃ 등 특정 시나리오 요건은 K-ESG에 미명시)</t>
        </is>
      </c>
      <c r="R26" s="17" t="inlineStr">
        <is>
          <t>TCFD</t>
        </is>
      </c>
      <c r="S26" s="17" t="inlineStr">
        <is>
          <t>1_2_0_업종별 K-ESG 가이드라인(v2.0) 진단항목</t>
        </is>
      </c>
      <c r="T26" s="22" t="n"/>
      <c r="U26" s="23" t="n"/>
      <c r="V26" s="23" t="n"/>
      <c r="W26" s="23" t="n"/>
      <c r="X26" s="24">
        <f>IF(T26="","",MAX(1,SUMPRODUCT(('02_점수산정참고표'!$A$2:$A$314=$B26)*('02_점수산정참고표'!$C$2:$C$314=T26)*'02_점수산정참고표'!$E$2:$E$314)))</f>
        <v/>
      </c>
      <c r="Y26" s="18" t="inlineStr">
        <is>
          <t> 해당 지표는 기후변화 관련 리스크 중 특히 물리 리스크를 식별하고 이를 조치하는 프로세스가 마련되어 있는지를 확인하는 항목이다.  기후변화로 인해 발생 가능한 물리적인 리스크의 비용뿐만 아니라 이를 통해 새롭게 발생할 수 있는 신기술 개발 또는 시설 구축 등과 같은 비즈니스 기회까지 포함한다.  해당 지표에서 의미하는 물리적 기후변화 리스크는 태풍, 홍수, 물 부족 등 극한의 기상 현상으로 인해 발생 가능한 사업장 및 생산시설의 손해와 같은 재무적 손실, 이를 예방하기 위한 조치 비용, 풍수해 보험 비용 등의 추정치를 포함한다.  물리 리스크는 태풍, 집중호우 등 비교적 짧은 시간에 발생하는 단기적 리스크(급성)와 해수면 상승, 평균기온 상승 등 장기적으로…</t>
        </is>
      </c>
      <c r="Z26" s="18" t="n"/>
      <c r="AA26" s="25" t="inlineStr">
        <is>
          <t>기후변화 물리 리스크 및 대응 방안을 파악하고 대응 방안을 마련하고 있습니까?</t>
        </is>
      </c>
      <c r="AB26" s="25" t="inlineStr">
        <is>
          <t>단계(1~5)</t>
        </is>
      </c>
    </row>
    <row r="27" ht="91.5" customHeight="1">
      <c r="A27" s="26" t="n">
        <v>26</v>
      </c>
      <c r="B27" s="27" t="inlineStr">
        <is>
          <t>E-10-4</t>
        </is>
      </c>
      <c r="C27" s="28" t="inlineStr">
        <is>
          <t>기본진단항목(v2.0)</t>
        </is>
      </c>
      <c r="D27" s="32" t="inlineStr">
        <is>
          <t>환경</t>
        </is>
      </c>
      <c r="E27" s="28" t="inlineStr">
        <is>
          <t>기후변화대응</t>
        </is>
      </c>
      <c r="F27" s="28" t="inlineStr">
        <is>
          <t>기후변화 전환 리스크 및 대응 방안</t>
        </is>
      </c>
      <c r="G27" s="28" t="inlineStr">
        <is>
          <t> 조직이 기후변화에 따라 비즈니스 운영, 전략, 수익 또는 지출에 실질적인 변화가 발생할 가능성이 있는 리스크를 식별하고 있는지 확인  기후변화 대응을 위해 규제에 따른 리스크(온실가스 배출권거래제, NDC 등) 발생 시 나타날 수 있는 정량적인 재무 리스크를 추정하고 소요 비용, 대응 전략, 관련 사업기회를 모색하고 있는지 점검  조직의 상황 및 수준에 따라 본 지표의 선택적 적용을 권고</t>
        </is>
      </c>
      <c r="H27" s="28" t="inlineStr">
        <is>
          <t>‘조직별 홈페이지’ 上 지속가능경영보고서, TCFD 보고서, CDP 보고서 등</t>
        </is>
      </c>
      <c r="I27" s="28" t="inlineStr">
        <is>
          <t>직전 회계연도 기준</t>
        </is>
      </c>
      <c r="J27" s="28" t="inlineStr">
        <is>
          <t>국내외 사업장 및 기타 연결실체</t>
        </is>
      </c>
      <c r="K27" s="27" t="inlineStr">
        <is>
          <t>N/A</t>
        </is>
      </c>
      <c r="L27" s="29" t="inlineStr">
        <is>
          <t>단계형</t>
        </is>
      </c>
      <c r="M27" s="26" t="n">
        <v>5</v>
      </c>
      <c r="N27" s="28" t="inlineStr">
        <is>
          <t>단계형: 1단계=0점 / 2단계=25점 / 3단계=50점 / 4단계=75점 / 5단계=100점</t>
        </is>
      </c>
      <c r="O27" s="27" t="inlineStr">
        <is>
          <t>1단계 |  조직이 기후변화로 인한 전환 리스크를 분석하지 않는 경우 |  2단계 |  조직이 기후변화로 인한 조직 전체 차원의 전환 리스크를 식별하고 정의하는 경우 |  3단계 |  2단계 + 전환 리스크로 인한 사업 영향력을 정량적으로 측정하는 경우 |  4단계 |  3단계+ 전환리스크로인한사업영향력을사업장별로측정해리스크해소에드는예상비용, 예상평균소요기간 등을분석하는경우 |  5단계 |  4단계 + 전환 리스크로 인해 발생할 수 있는 새로운 사업 기회를 모색하고 수립한 경우</t>
        </is>
      </c>
      <c r="P27" s="21" t="inlineStr">
        <is>
          <t>부분대응</t>
        </is>
      </c>
      <c r="Q27" s="27" t="inlineStr">
        <is>
          <t>KSSB 제2호 문단 22, B1~B18 — 전환위험 시나리오분석(정량 재무영향 산정은 K-ESG에 미요구)</t>
        </is>
      </c>
      <c r="R27" s="27" t="inlineStr">
        <is>
          <t>TCFD</t>
        </is>
      </c>
      <c r="S27" s="27" t="inlineStr">
        <is>
          <t>1_2_0_업종별 K-ESG 가이드라인(v2.0) 진단항목</t>
        </is>
      </c>
      <c r="T27" s="22" t="n"/>
      <c r="U27" s="23" t="n"/>
      <c r="V27" s="23" t="n"/>
      <c r="W27" s="23" t="n"/>
      <c r="X27" s="30">
        <f>IF(T27="","",MAX(1,SUMPRODUCT(('02_점수산정참고표'!$A$2:$A$314=$B27)*('02_점수산정참고표'!$C$2:$C$314=T27)*'02_점수산정참고표'!$E$2:$E$314)))</f>
        <v/>
      </c>
      <c r="Y27" s="28" t="inlineStr">
        <is>
          <t> 해당 지표는 기후변화 관련 리스크 중 특히 기후변화를 해결하기 위한 규제 등을 이행 시 발생할 수 있는 전환적 리스크를 식별하고 이를 조치하는 프로세스가 마련되어 있는지를 확인하는 항목이다.  기후변화로 인해 발생 가능한 전환 리스크는 기후변화와 관련된 정책, 법률, 기술 및 시장 변화 등 광범위한 분야에 걸쳐 존재하며 이는 변화의 특성, 속도에 따라 조직의 재무 및 조직에 대한 소비자 평판 등에 영향을 줄 수 있다.  파리협정 장기 온도목표 달성을 위해 각 국가가 자발적으로 제출한 온실가스 감축 목표제(NDC) 이행에 필요한 배출권거래제, 연비규제, 에너지 관련 법안 등 정책적 리스크가 이에 포함된다.  TCFD는 조직에 잠재적인 영향을 미칠 수 있는 전환…</t>
        </is>
      </c>
      <c r="Z27" s="28" t="n"/>
      <c r="AA27" s="25" t="inlineStr">
        <is>
          <t>기후변화 전환 리스크 및 대응 방안을 파악하고 대응 방안을 마련하고 있습니까?</t>
        </is>
      </c>
      <c r="AB27" s="25" t="inlineStr">
        <is>
          <t>단계(1~5)</t>
        </is>
      </c>
    </row>
    <row r="28" ht="91.5" customHeight="1">
      <c r="A28" s="16" t="n">
        <v>27</v>
      </c>
      <c r="B28" s="17" t="inlineStr">
        <is>
          <t>E-10-5</t>
        </is>
      </c>
      <c r="C28" s="18" t="inlineStr">
        <is>
          <t>기본진단항목(v2.0)</t>
        </is>
      </c>
      <c r="D28" s="32" t="inlineStr">
        <is>
          <t>환경</t>
        </is>
      </c>
      <c r="E28" s="18" t="inlineStr">
        <is>
          <t>기후변화대응</t>
        </is>
      </c>
      <c r="F28" s="18" t="inlineStr">
        <is>
          <t>온실가스 배출량 감축 선언</t>
        </is>
      </c>
      <c r="G28" s="18" t="inlineStr">
        <is>
          <t> 국가온실가스감축목표(NDC)에 따른 국내 2030년 온실가스 감축 목표(2018년 수준 대비 40% 감축)를 고려하여, 조직이 온실가스 배출량 감축 목표를 설정하고 있는지 여부 확인</t>
        </is>
      </c>
      <c r="H28" s="18" t="inlineStr">
        <is>
          <t>‘조직별 홈페이지’ 上 지속가능경영보고서, TCFD 보고서, CDP 보고서, Net-zero선언문, 기타 기후관련 이니셔티브 가입 선언 등</t>
        </is>
      </c>
      <c r="I28" s="18" t="inlineStr">
        <is>
          <t>직전 회계연도 기준</t>
        </is>
      </c>
      <c r="J28" s="18" t="inlineStr">
        <is>
          <t>국내외 사업장 및 기타 연결실체</t>
        </is>
      </c>
      <c r="K28" s="17" t="inlineStr">
        <is>
          <t>(구분1 + 구분2) * 1/2</t>
        </is>
      </c>
      <c r="L28" s="20" t="inlineStr">
        <is>
          <t>복합가중형</t>
        </is>
      </c>
      <c r="M28" s="16" t="n"/>
      <c r="N28" s="18" t="inlineStr">
        <is>
          <t>복합가중형: 2~3개 세부요소를 균등가중평균(예: 1/2+1/2, 1/3×3) — 세부 배점은 점검기준 상세 참조, 자사취득점수는 수동 산정</t>
        </is>
      </c>
      <c r="O28" s="18" t="inlineStr">
        <is>
          <t>구분1(1/2) 구분2(1/2) |  조직이 온실가스 배출 감축 선언(Commitment)을 조직이 사업장 내에서 배출하는 온실가스 배출량에 |  요건1 |  하고 이를 공개하는 경우 대해 파악하고 있는 경우 |  조직이 온실가스 배출량 감축을 위한 기준연도와 조직이 공급망에서 배출하는 온실가스 배출량을 |  요건2 |  목표연도, 감축 범위를 설정한 경우 관리하고 있는 경우 |  조직이 온실가스 배출량 감축을 위해 중간목표를 Scope1, 2 영역의 구체적인 온실가스 감축 |  요건3 |  포함한 중장기 로드맵을 가지고 있는 경우 프로그램을 이행하는 경우 |  조직이 온실가스 배출량 감축을 위한 구체적인 감축 Scope3 영역을 포함한 구체적인 온실가스 감축 |  요건4 |  계획을 수립한 경우 프로그램을 이행하는 경우 |  조직의 온실가스 감축 목표를 SBTi 등 과학적 기반으로 탄소제거 인증 프레임워크에 따라 인증된 탄소배출 |  요건5 |  검증받고 있는 경우 상쇄(Carbon offset) 계획을 수립한 경우 |  ※ 온실가스 배출 감축선언을 하지 않은 경우, 사업장 내 온실가스 배출량을 관리하지 않는 경우 0점 처리</t>
        </is>
      </c>
      <c r="P28" s="31" t="inlineStr">
        <is>
          <t>완전대응</t>
        </is>
      </c>
      <c r="Q28" s="17" t="inlineStr">
        <is>
          <t>KSSB 제2호 문단 33~36 — 감축목표·SBTi 정합</t>
        </is>
      </c>
      <c r="R28" s="17" t="inlineStr">
        <is>
          <t>GRI 305-5, SBTi</t>
        </is>
      </c>
      <c r="S28" s="17" t="inlineStr">
        <is>
          <t>1_2_0_업종별 K-ESG 가이드라인(v2.0) 진단항목</t>
        </is>
      </c>
      <c r="T28" s="34" t="inlineStr">
        <is>
          <t>해당없음(복합가중형)</t>
        </is>
      </c>
      <c r="U28" s="23" t="n"/>
      <c r="V28" s="23" t="n"/>
      <c r="W28" s="23" t="n"/>
      <c r="X28" s="35" t="n"/>
      <c r="Y28" s="18" t="inlineStr">
        <is>
          <t> 본 항목은 조직이 온실가스 배출량 감축 목표 설정 및 이를 공약하는지 여부와 이를 달성하기 위해 어떤 활동을 하고 있는지를 점검한다.  파리 협약에 따라 조직은 산업화 이전 수준보다 지구 온도 상승을 1.5°C로 제한한다는 목표에 맞게 비즈니스 활동 조정 등 온실가스 배출 감축을 위한 노력을 다해야 한다.  조직의 온실가스 배출 감소 전략은 사업장 내, 혹은 공급망에 이르기까지, Scope1,2 및 Scope3를 관리 할 수 있으며, 탄소 배출량 ‘0’ 또는 1.5°C 조정 경로에서 순배출량 ‘0’에 도달하는 것과 일치하는 수준으로 달성 목표를 설정하여야 한다.  조직의 온실가스 배출량 감축 목표연도는 파리협약에 따른 2050년 혹은 그 이전으로 설정해야 하며,…</t>
        </is>
      </c>
      <c r="Z28" s="18" t="n"/>
      <c r="AA28" s="25" t="inlineStr">
        <is>
          <t>온실가스 배출량 감축 선언을 대내외에 공식적으로 선언·발표하였습니까?</t>
        </is>
      </c>
      <c r="AB28" s="25" t="inlineStr">
        <is>
          <t>단계(1~5)</t>
        </is>
      </c>
    </row>
    <row r="29" ht="91.5" customHeight="1">
      <c r="A29" s="26" t="n">
        <v>28</v>
      </c>
      <c r="B29" s="27" t="inlineStr">
        <is>
          <t>E-11-1</t>
        </is>
      </c>
      <c r="C29" s="28" t="inlineStr">
        <is>
          <t>기본진단항목(v2.0)</t>
        </is>
      </c>
      <c r="D29" s="32" t="inlineStr">
        <is>
          <t>환경</t>
        </is>
      </c>
      <c r="E29" s="28" t="inlineStr">
        <is>
          <t>생물다양성</t>
        </is>
      </c>
      <c r="F29" s="28" t="inlineStr">
        <is>
          <t>자연자본 식별</t>
        </is>
      </c>
      <c r="G29" s="28" t="inlineStr">
        <is>
          <t> 조직이 자체적으로 사업이 환경에 미치는 부정적 영향을 제거하거나 최소화하기 위해 사전에 자연자본을 분석 및 검토하고 있는지 확인  자연자본을 식별하는 활동을 바탕으로 특정 생물종 및 개체수에 미치는 영향을 파악하고 있는지 점검  조직의 평가 및 이행점검 체계 구축 수준에 따라 본 지표의 선택적 적용을 권고</t>
        </is>
      </c>
      <c r="H29" s="28" t="inlineStr">
        <is>
          <t>‘조직별 홈페이지’ 上 지속가능경영보고서, TNFD 보고서 등</t>
        </is>
      </c>
      <c r="I29" s="28" t="inlineStr">
        <is>
          <t>직전 회계연도 기준</t>
        </is>
      </c>
      <c r="J29" s="27" t="inlineStr">
        <is>
          <t>N/A</t>
        </is>
      </c>
      <c r="K29" s="27" t="inlineStr">
        <is>
          <t>N/A</t>
        </is>
      </c>
      <c r="L29" s="29" t="inlineStr">
        <is>
          <t>단계형</t>
        </is>
      </c>
      <c r="M29" s="26" t="n">
        <v>5</v>
      </c>
      <c r="N29" s="28" t="inlineStr">
        <is>
          <t>단계형: 1단계=0점 / 2단계=25점 / 3단계=50점 / 4단계=75점 / 5단계=100점</t>
        </is>
      </c>
      <c r="O29" s="27" t="inlineStr">
        <is>
          <t>1단계 |  조직이 위치한 사업장의 자연자본을 식별하고 있지 않은 경우 |  2단계 |  조직이 위치한 사업장의 자연자본을 식별할 계획을 수립한 경우 |  3단계 |  조직이 위치한 일부 사업장의 자연자본을 식별하고 있는 경우 |  4단계 |  조직이 위치한 전체 사업장의 자연자본을 식별하고 있는 경우 |  5단계 |  대외적으로 식별된 자연자본을 공개하고 있는 경우</t>
        </is>
      </c>
      <c r="P29" s="21" t="inlineStr">
        <is>
          <t>부분대응</t>
        </is>
      </c>
      <c r="Q29" s="27" t="inlineStr">
        <is>
          <t>KSSB 제1호 문단 IG26~IG27(예시지침, 생물다양성은 별도 기준서 미제정)</t>
        </is>
      </c>
      <c r="R29" s="27" t="inlineStr">
        <is>
          <t>TNFD 권고안, GRI 304</t>
        </is>
      </c>
      <c r="S29" s="27" t="inlineStr">
        <is>
          <t>1_2_0_업종별 K-ESG 가이드라인(v2.0) 진단항목</t>
        </is>
      </c>
      <c r="T29" s="22" t="n"/>
      <c r="U29" s="23" t="n"/>
      <c r="V29" s="23" t="n"/>
      <c r="W29" s="23" t="n"/>
      <c r="X29" s="30">
        <f>IF(T29="","",MAX(1,SUMPRODUCT(('02_점수산정참고표'!$A$2:$A$314=$B29)*('02_점수산정참고표'!$C$2:$C$314=T29)*'02_점수산정참고표'!$E$2:$E$314)))</f>
        <v/>
      </c>
      <c r="Y29" s="28" t="inlineStr">
        <is>
          <t> 자연자본은 인류에게 상품 및 서비스를 제공하는 식물, 동물, 대기, 물, 토양, 광물 등의 모든 유형자원을 포괄하는 개념으로 자연환경 요소로 구성된 자본 또는 자산(Stock)을 의미한다. 이는 사회와 기업이 기능하기 위해 자연자본에 어떻게 의존하는지를 경제적 관점으로 바라보는 것을 의미한다.  자연자본의 필수 구성 요소 중 하나인 생물다양성은 유전적, 종적 그리고 생태계 수준에서 살아있는 모든 유기체들의 다양성을 의미한다. 특히, 세계자연기금(WWF)은 2022년 지구생명 보고서(Living Planet Report)에서 전세계 포유류, 조류, 어류 등의 변화를 추적하는 지표인 지구생명지수(LPI)를 통해 지난 50년간 야생동물 개체군 규모가 69% 감소했다고…</t>
        </is>
      </c>
      <c r="Z29" s="28" t="n"/>
      <c r="AA29" s="25" t="inlineStr">
        <is>
          <t>자연환경 자산, 멸종위기종 노출 리스크 등을 식별/공개합니까?</t>
        </is>
      </c>
      <c r="AB29" s="25" t="inlineStr">
        <is>
          <t>단계(1~5)</t>
        </is>
      </c>
    </row>
    <row r="30" ht="91.5" customHeight="1">
      <c r="A30" s="16" t="n">
        <v>29</v>
      </c>
      <c r="B30" s="17" t="inlineStr">
        <is>
          <t>E-11-2</t>
        </is>
      </c>
      <c r="C30" s="18" t="inlineStr">
        <is>
          <t>기본진단항목(v2.0)</t>
        </is>
      </c>
      <c r="D30" s="32" t="inlineStr">
        <is>
          <t>환경</t>
        </is>
      </c>
      <c r="E30" s="18" t="inlineStr">
        <is>
          <t>생물다양성</t>
        </is>
      </c>
      <c r="F30" s="18" t="inlineStr">
        <is>
          <t>생물다양성 보존 전략</t>
        </is>
      </c>
      <c r="G30" s="18" t="inlineStr">
        <is>
          <t> 조직의 사업 운영 전반에서 발생 가능한 생물다양성 관련 리스크를 점검하고, 지역사회의 생물다양성을 보전, 복원, 확대하기 위한 조직의 접근 방식 확인  조직의 생물다양성 분야 단기/중장기 목표 및 생물다양성 보전, 복원, 확대를 위한 계획의 구체성과 내재화 수준 점검</t>
        </is>
      </c>
      <c r="H30" s="18" t="inlineStr">
        <is>
          <t>생물다양성 보호 접근 방식</t>
        </is>
      </c>
      <c r="I30" s="18" t="inlineStr">
        <is>
          <t>직전 회계연도 기준</t>
        </is>
      </c>
      <c r="J30" s="17" t="inlineStr">
        <is>
          <t>N/A</t>
        </is>
      </c>
      <c r="K30" s="17" t="inlineStr">
        <is>
          <t>N/A</t>
        </is>
      </c>
      <c r="L30" s="20" t="inlineStr">
        <is>
          <t>선택형</t>
        </is>
      </c>
      <c r="M30" s="16" t="n">
        <v>5</v>
      </c>
      <c r="N30" s="18" t="inlineStr">
        <is>
          <t>선택형: 요건1=0점 / 요건2=25점 / 요건3=50점 / 요건4=75점 / 요건5=100점</t>
        </is>
      </c>
      <c r="O30" s="18" t="inlineStr">
        <is>
          <t>분류 접근방식 |  - 생물다양성 영향이 높은 지역 내 사업장 신축, 증설 제한 또는 보류 |  요건1 회피(Avoid) |  - 부정적 영향이 확인된 경우, 이를 상쇄하기까지 제한적 운영 |  - 대기, 수질, 토양 오염물질 배출을 제거 및 최소화하도록 설비 투자 |  요건2 저감(Reduce) |  - 환경오염물질 저감 기술 개발 |  - 사업장 주변 또는 인근 지역의 감소 또는 멸종된 생물종, 개체수 증진 |  요건3 복원(Restore) |  - 생물종 및 개체수 유지·복원을 위한 (대체)서식지 조성 노력 |  - 사업장 주변 이외 자연·생물 자본 증진 및 생산성 향상에 기여 |  요건4 재생(Regenerate) |  - 산림, 해양, 토양 환경 개선을 통한 생물종 및 개체수 증대 유도 |  - 생물다양성에 영향이 없도록 사업장 또는 주변 지형 구조적 개선 |  요건5 변경(Transform) |  - 부정적 환경영향 개선을 위한 정책 입안 참여 및 산업계 협력</t>
        </is>
      </c>
      <c r="P30" s="21" t="inlineStr">
        <is>
          <t>부분대응</t>
        </is>
      </c>
      <c r="Q30" s="17" t="inlineStr">
        <is>
          <t>KSSB 생물다양성 별도 기준서 미제정</t>
        </is>
      </c>
      <c r="R30" s="17" t="inlineStr">
        <is>
          <t>TNFD, GRI 304</t>
        </is>
      </c>
      <c r="S30" s="17" t="inlineStr">
        <is>
          <t>1_2_0_업종별 K-ESG 가이드라인(v2.0) 진단항목</t>
        </is>
      </c>
      <c r="T30" s="22" t="n"/>
      <c r="U30" s="23" t="n"/>
      <c r="V30" s="23" t="n"/>
      <c r="W30" s="23" t="n"/>
      <c r="X30" s="24">
        <f>IF(T30="","",MAX(1,SUMPRODUCT(('02_점수산정참고표'!$A$2:$A$314=$B30)*('02_점수산정참고표'!$C$2:$C$314=T30)*'02_점수산정참고표'!$E$2:$E$314)))</f>
        <v/>
      </c>
      <c r="Y30" s="17" t="inlineStr">
        <is>
          <t> TNFD(Task force on Nature-related Financial Disclosures)는 조직이 생물다양성 감소, 자연파괴, 자연재해 등 자연의 변화로 인해 겪을 수 있는 금융적 리스크를 점검 및 평가하고, 이를 고객, 투자자 등 이해관계자들에게 투명하게 보고하도록 요구하고 있다.  조직은 사업 운영 전반에서 발생할 수 있는 생물다양성 저해 및 손실 리스크를 점검하고, 지역사회의 생물다양성 보전, 복원, 확대를 위해 노력해야 한다.  조직은 사업장 및 인근 지역의 생물다양성 보전, 복원, 확대를 위해 다음과 같은 접근방식을 취할 수 있으며 해당 접근방식에 기초해 생물다양성 분야에서 단기/중장기 목표를 구체적으로 수립해야 한다. ; 1)…</t>
        </is>
      </c>
      <c r="Z30" s="18" t="n"/>
      <c r="AA30" s="25" t="inlineStr">
        <is>
          <t>회피/저감/복원/재생/변경의 생물다양성 보호 전략을 실천합니까?</t>
        </is>
      </c>
      <c r="AB30" s="25" t="inlineStr">
        <is>
          <t>단계(1~5)</t>
        </is>
      </c>
    </row>
    <row r="31" ht="91.5" customHeight="1">
      <c r="A31" s="26" t="n">
        <v>30</v>
      </c>
      <c r="B31" s="27" t="inlineStr">
        <is>
          <t>E-11-3</t>
        </is>
      </c>
      <c r="C31" s="28" t="inlineStr">
        <is>
          <t>기본진단항목(v2.0)</t>
        </is>
      </c>
      <c r="D31" s="32" t="inlineStr">
        <is>
          <t>환경</t>
        </is>
      </c>
      <c r="E31" s="28" t="inlineStr">
        <is>
          <t>생물다양성</t>
        </is>
      </c>
      <c r="F31" s="28" t="inlineStr">
        <is>
          <t>산림보호 활동</t>
        </is>
      </c>
      <c r="G31" s="28" t="inlineStr">
        <is>
          <t> 조직의 사업 운영 전반에서 발생 가능한 산림파괴를 예방하고 지역사회의 산림을 보호하기 위한 조직의 접근 방식 확인  조직이 이행하고 있는 산림보호 단기/중장기 목표와 산림보호 및 복원을 위한 계획에 대한 구체성 및 내재화 수준 점검  조직별 사업 연관성에 따라 본 지표의 선택적 적용을 권고</t>
        </is>
      </c>
      <c r="H31" s="28" t="inlineStr">
        <is>
          <t>산림보호 활동 관련 자료</t>
        </is>
      </c>
      <c r="I31" s="28" t="inlineStr">
        <is>
          <t>직전 회계연도 기준</t>
        </is>
      </c>
      <c r="J31" s="27" t="inlineStr">
        <is>
          <t>N/A</t>
        </is>
      </c>
      <c r="K31" s="27" t="inlineStr">
        <is>
          <t>N/A</t>
        </is>
      </c>
      <c r="L31" s="29" t="inlineStr">
        <is>
          <t>선택형</t>
        </is>
      </c>
      <c r="M31" s="26" t="n">
        <v>5</v>
      </c>
      <c r="N31" s="28" t="inlineStr">
        <is>
          <t>선택형: 요건1=0점 / 요건2=25점 / 요건3=50점 / 요건4=75점 / 요건5=100점</t>
        </is>
      </c>
      <c r="O31" s="28" t="inlineStr">
        <is>
          <t>요건1 |  산림보호 혹은 산림파괴 예방 정책을 수립한 경우 |  (사업 운영 전반에서 발생하는 산림파괴 리스크 관리 및 산림파괴 예방 등) |  요건2 |  사업 활동으로 인해 영향을 받는 지역을 조사하고 주요 보호지역을 정의한 경우 |  (산림이 제공하는 경관 및 지형학/지질학적 특성, 산림에 서식하는 생물다양성 등) |  요건3 |  산림보호를 위해 전사 차원의 목표를 수립한 경우 |  (산림파괴 없는 사업 운영 구조 완성, 탄소상쇄 활동(REDD+ 등)에 대한 성과개선 목표 설정 등) |  요건4 |  산림보호를 위한 단기/중장기 목표 수립 및 연도별 이행 현황을 파악하고 있는 경우 |  (중장기 산림 보호-복원-확대 목표 이행 현황 및 목표 대비 이행률 점검 등) |  요건5 |  산림보호를 위해 이해관계자로부터 의견을 수렴하고 관련 성과를 공유하는 경우 |  (산림 보호 활동 및 성과 공유, 외부 전문기관 및 비영리기관 등과 협력체계 구축 등)</t>
        </is>
      </c>
      <c r="P31" s="33" t="inlineStr">
        <is>
          <t>GAP(대응지표 없음)</t>
        </is>
      </c>
      <c r="Q31" s="27" t="inlineStr">
        <is>
          <t>KSSB 생물다양성 별도 기준서 미제정</t>
        </is>
      </c>
      <c r="R31" s="27" t="inlineStr">
        <is>
          <t>GRI 304</t>
        </is>
      </c>
      <c r="S31" s="27" t="inlineStr">
        <is>
          <t>1_2_0_업종별 K-ESG 가이드라인(v2.0) 진단항목</t>
        </is>
      </c>
      <c r="T31" s="22" t="n"/>
      <c r="U31" s="23" t="n"/>
      <c r="V31" s="23" t="n"/>
      <c r="W31" s="23" t="n"/>
      <c r="X31" s="30">
        <f>IF(T31="","",MAX(1,SUMPRODUCT(('02_점수산정참고표'!$A$2:$A$314=$B31)*('02_점수산정참고표'!$C$2:$C$314=T31)*'02_점수산정참고표'!$E$2:$E$314)))</f>
        <v/>
      </c>
      <c r="Y31" s="28" t="inlineStr">
        <is>
          <t> 조직은 산림보호 활동을 통해 사업장 및 인근 지역의 녹지면적을 유지/보호할 뿐만 아니라 지역사회 산림 전용 및 황폐화 방지, 산림 보전, 산림 탄소 흡수량 증진에 기여해야 한다.  조직은 산림보호 및 산림파괴 예방을 위해 아래와 같은 활동을 추진할 수 있다. ; 1) 산림보호 또는 산림파괴 예방정책을 수립해 사업 운영 전반에서 발생 가능한 산림파괴를 예방하고, 공급업체 및 협력사 등 거래관계에 있는 이해관계자에게 해당 정책을 따를 것을 권장한다. 2) 산림이 제공하는 경관 및 지형학/지질학적 특성, 산림에 서식하는 생물다양성의 구성/역할/잠재력, 기타 산림의 역사적/문화적/과학적/교육적 중요성을 종합적으로 고려해 주요 보호지역을 정의한다. 이때, 보호지역은…</t>
        </is>
      </c>
      <c r="Z31" s="28" t="n"/>
      <c r="AA31" s="25" t="inlineStr">
        <is>
          <t>산림파괴 리스크 관리 및 탄소상쇄(REDD+) 목표/실적이 있습니까?</t>
        </is>
      </c>
      <c r="AB31" s="25" t="inlineStr">
        <is>
          <t>단계(1~5)</t>
        </is>
      </c>
    </row>
    <row r="32" ht="91.5" customHeight="1">
      <c r="A32" s="16" t="n">
        <v>31</v>
      </c>
      <c r="B32" s="17" t="inlineStr">
        <is>
          <t>S-1-1</t>
        </is>
      </c>
      <c r="C32" s="18" t="inlineStr">
        <is>
          <t>기본진단항목(v2.0)</t>
        </is>
      </c>
      <c r="D32" s="36" t="inlineStr">
        <is>
          <t>사회</t>
        </is>
      </c>
      <c r="E32" s="18" t="inlineStr">
        <is>
          <t>목표</t>
        </is>
      </c>
      <c r="F32" s="18" t="inlineStr">
        <is>
          <t>목표 수립 및 공시</t>
        </is>
      </c>
      <c r="G32" s="18" t="inlineStr">
        <is>
          <t> 조직이 중요하게 생각하는 사회분야의 이슈에 대하여, 재무적 가치와 사회적 가치의 균형점을 찾는 구체적인 목표를 설정하고, 이를 달성하기 위한 노력을 하는지 확인  ESG(지속가능경영)보고서를 통해 도출된 중요한 사회분야 이슈에 대해서 정성/정량적인 목표를 투자자, 고객 등 이해관계자 에게 공개하고 있는지 점검</t>
        </is>
      </c>
      <c r="H32" s="17" t="inlineStr">
        <is>
          <t>ESG(지속가능경영)보고서 내 핵심토픽 리스트 핵심토픽 단기/중장기 성과목표 공시데이터(정성/정량) 핵심토픽 단기/중장기 이행현황 공시데이터(정성/정량)</t>
        </is>
      </c>
      <c r="I32" s="18" t="inlineStr">
        <is>
          <t>직전 회계연도</t>
        </is>
      </c>
      <c r="J32" s="18" t="inlineStr">
        <is>
          <t>국내 및 해외 사업장</t>
        </is>
      </c>
      <c r="K32" s="17" t="inlineStr">
        <is>
          <t>N/A</t>
        </is>
      </c>
      <c r="L32" s="20" t="inlineStr">
        <is>
          <t>단계형</t>
        </is>
      </c>
      <c r="M32" s="16" t="n">
        <v>5</v>
      </c>
      <c r="N32" s="18" t="inlineStr">
        <is>
          <t>단계형: 1단계=0점 / 2단계=25점 / 3단계=50점 / 4단계=75점 / 5단계=100점</t>
        </is>
      </c>
      <c r="O32" s="17" t="inlineStr">
        <is>
          <t>1단계 |  단기/중장기 성과목표 또는 조직의 사회 분야 추진 방향성을 나타내는 사회분야 경영 미션/비전/지향점이 없는 경우 |  2단계 |  단기/중장기 성과목표는 수립되지 않았으나, 조직의 사회 분야 추진 방향성을 나타내는 사회분야 미션/비전/지향점을 제시하고 |  있는 경우 |  3단계 |  조직의 사회분야 핵심이슈에 대한 단기 목표를 설정하고 있는 경우 |  4단계 |  조직의 사회분야 핵심이슈에 대한 중장기 목표를 설정하고 있으나, 모든 중장기 목표가 정성적 형태로 되어 있는 경우 |  5단계 |  조직의 사회분야 핵심이슈에 대한 중장기 목표를 설정하고 있으며, 중장기 목표에는 정성 外 정량적 목표를 포함하고 있는 경우</t>
        </is>
      </c>
      <c r="P32" s="21" t="inlineStr">
        <is>
          <t>부분대응</t>
        </is>
      </c>
      <c r="Q32" s="17" t="inlineStr">
        <is>
          <t>KSSB 제1호 문단 51(지표 및 목표)</t>
        </is>
      </c>
      <c r="R32" s="17" t="inlineStr">
        <is>
          <t>GRI 3</t>
        </is>
      </c>
      <c r="S32" s="17" t="inlineStr">
        <is>
          <t>1_2_0_업종별 K-ESG 가이드라인(v2.0) 진단항목</t>
        </is>
      </c>
      <c r="T32" s="22" t="n"/>
      <c r="U32" s="23" t="n"/>
      <c r="V32" s="23" t="n"/>
      <c r="W32" s="23" t="n"/>
      <c r="X32" s="24">
        <f>IF(T32="","",MAX(1,SUMPRODUCT(('02_점수산정참고표'!$A$2:$A$314=$B32)*('02_점수산정참고표'!$C$2:$C$314=T32)*'02_점수산정참고표'!$E$2:$E$314)))</f>
        <v/>
      </c>
      <c r="Y32" s="18" t="inlineStr">
        <is>
          <t> 조직은 중대성 평가(Materiality Test)를 통해 조직의 사업운영 및 외부환경에 중요한 영향력을 행사하는 핵심이슈를 도출할 수 있다. 조직은 사업운영에 해당하는 모든 직/간접 사회 분야 규제를 관리해야 함과 동시에 사업성과와 연계된 핵심이슈에 대해서는 목표에 의한 성과관리(MBO)가 필요하다. 조직이 수립할 수 있는 사회 분야 목표와 관련된 핵심이슈는 아래와 같다. 인권 리스크 저감 구성원 다양성 증진 차별 및 괴롭힘 방지 산업재해율 저감 협력사 ESG 지원 동반성장 및 상생협력 지역사회 투자 확대 개인정보 유출 최소화 소비자 정보 제공 제품 품질 및 안전 증진  목표는 조직이 의도적으로 달성하고자 하는 상태를 말하며, 조직의 성과와 관련된 작업행동의…</t>
        </is>
      </c>
      <c r="Z32" s="18" t="n"/>
      <c r="AA32" s="25" t="inlineStr">
        <is>
          <t>사회 분야 핵심이슈에 대해 중장기 정성/정량 목표를 설정/공시합니까?</t>
        </is>
      </c>
      <c r="AB32" s="25" t="inlineStr">
        <is>
          <t>단계(1~5)</t>
        </is>
      </c>
    </row>
    <row r="33" ht="91.5" customHeight="1">
      <c r="A33" s="26" t="n">
        <v>32</v>
      </c>
      <c r="B33" s="27" t="inlineStr">
        <is>
          <t>S-2-1</t>
        </is>
      </c>
      <c r="C33" s="28" t="inlineStr">
        <is>
          <t>기본진단항목(v2.0)</t>
        </is>
      </c>
      <c r="D33" s="36" t="inlineStr">
        <is>
          <t>사회</t>
        </is>
      </c>
      <c r="E33" s="28" t="inlineStr">
        <is>
          <t>노동</t>
        </is>
      </c>
      <c r="F33" s="28" t="inlineStr">
        <is>
          <t>신규 채용 및 고용 유지</t>
        </is>
      </c>
      <c r="G33" s="28" t="inlineStr">
        <is>
          <t> 조직이 신규 채용을 통해 지속적 성장에 필요한 인적자본을 축적함과 동시에, 지역사회의 일자리 창출, 고용안정성 증대에 기여하고 있는지 확인  조직이 창출한 부가가치를 채용에 투자하고 있는지, 조직의 고용 규모가 안정적인지 점검</t>
        </is>
      </c>
      <c r="H33" s="28" t="inlineStr">
        <is>
          <t>‘전자공시시스템’ 上 사업보고서, ‘조직별 홈페이지’ 上 지속가능경영보고서</t>
        </is>
      </c>
      <c r="I33" s="28" t="inlineStr">
        <is>
          <t>최근 4개 회계연도</t>
        </is>
      </c>
      <c r="J33" s="28" t="inlineStr">
        <is>
          <t>국내 및 해외 사업장</t>
        </is>
      </c>
      <c r="K33" s="28" t="inlineStr">
        <is>
          <t>① 신규 채용 지수 = (당해년도 신규 채용 인원 / 전년도 신규 채용 인원) / (당해년도 부가가치 / 전년도 부가가치) * 부가가치 = 영업손익 + 대손상각비 + 인건비 + 순금융비용 + 조세공과 + 감가상각비 ② 고용 규모 = 당해연도 총 인원 – 전년도 총 인원 * CAGR(연평균 증가율) 산식(4개년) : (최종 값 / 초기 값)∧(1/4) - 1</t>
        </is>
      </c>
      <c r="L33" s="29" t="inlineStr">
        <is>
          <t>복합가중형</t>
        </is>
      </c>
      <c r="M33" s="26" t="n"/>
      <c r="N33" s="28" t="inlineStr">
        <is>
          <t>복합가중형: 2~3개 세부요소를 균등가중평균(예: 1/2+1/2, 1/3×3) — 세부 배점은 점검기준 상세 참조, 자사취득점수는 수동 산정</t>
        </is>
      </c>
      <c r="O33" s="28" t="inlineStr">
        <is>
          <t>추세(1/2) |  1단계 |  직전 1개년도 ‘신규 채용 지수’가 최근 3년 지수 평균 값 미만 |  2단계 |  직전 1개년도 ‘신규 채용 지수’가 최근 3년 지수 평균 값 동일 |  3단계 |  직전 1개년도 ‘신규 채용 지수’가 최근 3년 지수 평균 값 초과 |  추세(1/2) |  1단계 |  직전 4개년 연평균(CAGR)적으로 ‘고용 규모’가 감소 |  2단계 |  직전 4개년 연평균(CAGR)적으로 ‘고용 규모’가 유지 |  3단계 |  직전 4개년 연평균(CAGR)적으로 ‘고용 규모’가 증가 |  * 3개년 이하 데이터 보유 시 해당 데이터로 추세 산정</t>
        </is>
      </c>
      <c r="P33" s="33" t="inlineStr">
        <is>
          <t>GAP(대응지표 없음)</t>
        </is>
      </c>
      <c r="Q33" s="27" t="inlineStr">
        <is>
          <t>KSSB 인적자원 지표 미규정</t>
        </is>
      </c>
      <c r="R33" s="27" t="inlineStr">
        <is>
          <t>GRI 401-1</t>
        </is>
      </c>
      <c r="S33" s="27" t="inlineStr">
        <is>
          <t>1_2_0_업종별 K-ESG 가이드라인(v2.0) 진단항목</t>
        </is>
      </c>
      <c r="T33" s="34" t="inlineStr">
        <is>
          <t>해당없음(복합가중형)</t>
        </is>
      </c>
      <c r="U33" s="23" t="n"/>
      <c r="V33" s="23" t="n"/>
      <c r="W33" s="23" t="n"/>
      <c r="X33" s="35" t="n"/>
      <c r="Y33" s="28" t="inlineStr">
        <is>
          <t> 신규채용은 지역사회의 일자리 창출, 고용안정성 증대 등 사회의 지속가능성 향상을 위해 필요한 요소이지만 조직이 속해있는 산업의 특성, 조직 규모 등 다양한 외부 환경을 고려할 때 무조건적인 신규채용 확대를 바람직하다고 이야기 할 수는 없을 것이다. 따라서 본 항목에서는 조직의 부가가치 창출 현황과 신규채용 인원을 통해 상대적인 신규채용 수준을 확인하고자 설계되었다.  본 항목에서의 신규채용이란 조직이 필요에 따라 구직자의 채용서류 심사 등을 기반으로 새로운 근무 인력을 채용하는 것을 의미한다. 여기서 새로운 인력이란 통계청의 경제활동인구조사 근로형태 중 비정규직 형태(한시적 근로자 또는 기간제 근로자, 단시간 근로자, 파견·용역·호출 등의 형태로 종사하는 근로자…</t>
        </is>
      </c>
      <c r="Z33" s="28" t="n"/>
      <c r="AA33" s="25" t="inlineStr">
        <is>
          <t>부가가치 창출 대비 신규채용 지수 및 고용 규모(총인원)가 4개년 간 증가 추세입니까?</t>
        </is>
      </c>
      <c r="AB33" s="25" t="inlineStr">
        <is>
          <t>단계(1~5)</t>
        </is>
      </c>
    </row>
    <row r="34" ht="91.5" customHeight="1">
      <c r="A34" s="16" t="n">
        <v>33</v>
      </c>
      <c r="B34" s="17" t="inlineStr">
        <is>
          <t>S-2-2</t>
        </is>
      </c>
      <c r="C34" s="18" t="inlineStr">
        <is>
          <t>기본진단항목(v2.0)</t>
        </is>
      </c>
      <c r="D34" s="36" t="inlineStr">
        <is>
          <t>사회</t>
        </is>
      </c>
      <c r="E34" s="18" t="inlineStr">
        <is>
          <t>노동</t>
        </is>
      </c>
      <c r="F34" s="18" t="inlineStr">
        <is>
          <t>정규직 비율</t>
        </is>
      </c>
      <c r="G34" s="18" t="inlineStr">
        <is>
          <t> 정규직 근로자의 비율 확대가 조직과 사회의 지속가능성에 긍정적 영향을 미친다는 가정 하에 조직이 정규직 확대를 통해 지역 사회의 고용안정성 증가와 비정규직 근로자 문제에 기여하고 있는 정도를 확인  조직의 전체 인력 대비 정규직 비율을 점검</t>
        </is>
      </c>
      <c r="H34" s="18" t="inlineStr">
        <is>
          <t>‘전자공시시스템’ 上 사업보고서, ‘조직별 홈페이지’ 上 지속가능경영보고서</t>
        </is>
      </c>
      <c r="I34" s="18" t="inlineStr">
        <is>
          <t>최근 4개 회계연도</t>
        </is>
      </c>
      <c r="J34" s="18" t="inlineStr">
        <is>
          <t>국내 및 해외 사업장</t>
        </is>
      </c>
      <c r="K34" s="18" t="inlineStr">
        <is>
          <t>정규직 비율 = (해당연도말기준총근로자수– 한시적근로자또는기간제근로자– 단시간근로자– 파견·용역·호출 등의 형태로 종사하는 근로자 ) / 해당연도 말 기준 총 근로자 수</t>
        </is>
      </c>
      <c r="L34" s="20" t="inlineStr">
        <is>
          <t>단계형</t>
        </is>
      </c>
      <c r="M34" s="16" t="n">
        <v>5</v>
      </c>
      <c r="N34" s="18" t="inlineStr">
        <is>
          <t>단계형: 1단계=0점 / 2단계=25점 / 3단계=50점 / 4단계=75점 / 5단계=100점</t>
        </is>
      </c>
      <c r="O34" s="17" t="inlineStr">
        <is>
          <t>1단계 |  최근 4개년 간 정규직 비율 데이터가 관리되지 않는 경우 |  2단계 |  조직의 정규직 비율이 40%인 이하인 경우 |  3단계 |  조직의 정규직 비율이 40% 초과 60% 이하인 경우 |  4단계 |  조직의 정규직 비율이 60% 초과 80% 이하인 경우 |  5단계 |  조직의 정규직 비율이 80%를 초과하는 경우 |  * 3개년 이하 데이터 보유 시 해당 데이터로 추세 산정</t>
        </is>
      </c>
      <c r="P34" s="33" t="inlineStr">
        <is>
          <t>GAP(대응지표 없음)</t>
        </is>
      </c>
      <c r="Q34" s="17" t="inlineStr">
        <is>
          <t>KSSB 인적자원 지표 미규정</t>
        </is>
      </c>
      <c r="R34" s="17" t="inlineStr">
        <is>
          <t>GRI 2-7</t>
        </is>
      </c>
      <c r="S34" s="17" t="inlineStr">
        <is>
          <t>1_2_0_업종별 K-ESG 가이드라인(v2.0) 진단항목</t>
        </is>
      </c>
      <c r="T34" s="22" t="n"/>
      <c r="U34" s="23" t="n"/>
      <c r="V34" s="23" t="n"/>
      <c r="W34" s="23" t="n"/>
      <c r="X34" s="24">
        <f>IF(T34="","",MAX(1,SUMPRODUCT(('02_점수산정참고표'!$A$2:$A$314=$B34)*('02_점수산정참고표'!$C$2:$C$314=T34)*'02_점수산정참고표'!$E$2:$E$314)))</f>
        <v/>
      </c>
      <c r="Y34" s="18" t="inlineStr">
        <is>
          <t> 본 항목에서 사용하는 정규직의 정의는 통계청 경제활동인구조사 근로형태에 따라 1) 한시적 근로자, 2) 시간제 근로자, 3) 비전형 근로자(파견·용역 등) 등 비정규직을 제외한 기간의 정함이 없는 임금근로자를 통칭한다.  조직은 경영의 유연성을 위해 비정규직 근로자를 채용하여 활용할 수 있으나 비정규직 근로자의 고용불안과 함께 근로조건의 차별과 같은 사회적 문제가 지속해서 발생하며, 비정규직 근로자 문제 해결을 요구하는 사회적 목소리가 커지고 있다. 통계청의 경제활동인구조사 결과 2023년 기준 국내 비정규직 근로자 비율은 37% 지난 5년간 상승하는 추세에 있는 반면 비정규직 근로자의 근속기간은 정규직 근로자에 비해 상대적으로 짧은 것으로 나타나고 있다. 정규직…</t>
        </is>
      </c>
      <c r="Z34" s="18" t="n"/>
      <c r="AA34" s="25" t="inlineStr">
        <is>
          <t>파견, 일용직 등을 제외한 기간의 정함이 없는 정규직 비율이 충분합니까?</t>
        </is>
      </c>
      <c r="AB34" s="25" t="inlineStr">
        <is>
          <t>단계(1~5)</t>
        </is>
      </c>
    </row>
    <row r="35" ht="91.5" customHeight="1">
      <c r="A35" s="26" t="n">
        <v>34</v>
      </c>
      <c r="B35" s="27" t="inlineStr">
        <is>
          <t>S-2-3</t>
        </is>
      </c>
      <c r="C35" s="28" t="inlineStr">
        <is>
          <t>기본진단항목(v2.0)</t>
        </is>
      </c>
      <c r="D35" s="36" t="inlineStr">
        <is>
          <t>사회</t>
        </is>
      </c>
      <c r="E35" s="28" t="inlineStr">
        <is>
          <t>노동</t>
        </is>
      </c>
      <c r="F35" s="28" t="inlineStr">
        <is>
          <t>자발적 이직률</t>
        </is>
      </c>
      <c r="G35" s="28" t="inlineStr">
        <is>
          <t> 조직의 인적자원 관리 수준이 적정한 수준을 유지하며 관리되고 있는지 확인  구성원이 자발적으로 조직을 이동함을 의미하는 자발적 이직의 비율을 점검(산업적 특성 반영)</t>
        </is>
      </c>
      <c r="H35" s="28" t="inlineStr">
        <is>
          <t>‘전자공시시스템’ 上 사업보고서, ‘조직별 홈페이지’ 上 지속가능경영보고서</t>
        </is>
      </c>
      <c r="I35" s="28" t="inlineStr">
        <is>
          <t>최근 4개 회계연도</t>
        </is>
      </c>
      <c r="J35" s="28" t="inlineStr">
        <is>
          <t>국내 및 해외 사업장</t>
        </is>
      </c>
      <c r="K35" s="28" t="inlineStr">
        <is>
          <t>자발적 퇴사(이직)율 = 해당연도 총 자발적 퇴사자(이직자) 수 / 해당연도 말 총 직원 수</t>
        </is>
      </c>
      <c r="L35" s="29" t="inlineStr">
        <is>
          <t>단계형</t>
        </is>
      </c>
      <c r="M35" s="26" t="n">
        <v>3</v>
      </c>
      <c r="N35" s="28" t="inlineStr">
        <is>
          <t>단계형: 1단계=0점 / 2단계=50점 / 3단계=100점</t>
        </is>
      </c>
      <c r="O35" s="27" t="inlineStr">
        <is>
          <t>1단계 |  지난 4개년 자발적 이직률이 증가 추세 |  2단계 |  지난 4개년 자발적 이직률이 변동 없음 |  3단계 |  지난 4개년 자발적 이직률이 감소 추세 |  * 자발적 이직률 데이터를 관리하지 않고 있는 경우 0점 적용 |  * ‘유지 추세’로 판단할 경우 2단계로 적용하여 평가 |  * 3개년 이하 데이터 보유 시 해당 데이터로 추세 산정</t>
        </is>
      </c>
      <c r="P35" s="33" t="inlineStr">
        <is>
          <t>GAP(대응지표 없음)</t>
        </is>
      </c>
      <c r="Q35" s="27" t="inlineStr">
        <is>
          <t>KSSB 인적자원 지표 미규정</t>
        </is>
      </c>
      <c r="R35" s="27" t="inlineStr">
        <is>
          <t>GRI 401-1</t>
        </is>
      </c>
      <c r="S35" s="27" t="inlineStr">
        <is>
          <t>1_2_0_업종별 K-ESG 가이드라인(v2.0) 진단항목</t>
        </is>
      </c>
      <c r="T35" s="22" t="n"/>
      <c r="U35" s="23" t="n"/>
      <c r="V35" s="23" t="n"/>
      <c r="W35" s="23" t="n"/>
      <c r="X35" s="30">
        <f>IF(T35="","",MAX(1,SUMPRODUCT(('02_점수산정참고표'!$A$2:$A$314=$B35)*('02_점수산정참고표'!$C$2:$C$314=T35)*'02_점수산정참고표'!$E$2:$E$314)))</f>
        <v/>
      </c>
      <c r="Y35" s="28" t="inlineStr">
        <is>
          <t> 이직(퇴사)은 조직의 인적자원에 대한 변화를 초래함으로써 생산성에 영향을 미칠 수 있다. 또한, 이직은 조직의 인건비 지출 감소나 이직으로 인한 채용 등 비용과도 직접적인 관련을 가진다. 이직률은 근로자가 느끼는 불확실성과 불만족의 정도나 기업 구조의 근본적인 변화를 나타내는 지표로써 활용될 수 있다.  근로자의 이직(퇴사)은 자발적 또는 비자발적 경우로 구분할 수 있으며, 비자발적인 경우는 고용계약 종료, 구조조정이나 합병 및 해고 등에 따른 면직, 정년퇴직, 사망 등 근로자의 의사와 무관하게 진행되는 이직(퇴사)을 통칭한다.  본 항목은 조직의 직전 1개년도 ‘동종산업 평균퇴사(이직)율’을 활용하여 4개년 간의 이직률 추세를 함께 점검함으로써 조직의 상대적인…</t>
        </is>
      </c>
      <c r="Z35" s="28" t="n"/>
      <c r="AA35" s="25" t="inlineStr">
        <is>
          <t>인적자원 관리 수준을 대변하는 자발적 이직률이 최근 4개년 간 감소 추세입니까?</t>
        </is>
      </c>
      <c r="AB35" s="25" t="inlineStr">
        <is>
          <t>단계(1~5)</t>
        </is>
      </c>
    </row>
    <row r="36" ht="91.5" customHeight="1">
      <c r="A36" s="16" t="n">
        <v>35</v>
      </c>
      <c r="B36" s="17" t="inlineStr">
        <is>
          <t>S-2-4</t>
        </is>
      </c>
      <c r="C36" s="18" t="inlineStr">
        <is>
          <t>기본진단항목(v2.0)</t>
        </is>
      </c>
      <c r="D36" s="36" t="inlineStr">
        <is>
          <t>사회</t>
        </is>
      </c>
      <c r="E36" s="18" t="inlineStr">
        <is>
          <t>노동</t>
        </is>
      </c>
      <c r="F36" s="18" t="inlineStr">
        <is>
          <t>교육훈련비</t>
        </is>
      </c>
      <c r="G36" s="18" t="inlineStr">
        <is>
          <t> 조직이 미래 경쟁력 및 지속가능성 확보를 위해 구성원의 교육 및 훈련에 얼마나 투자하고 있는지 확인  상대적 비교가능성이 높은 ‘원단위’ 개념을 적용하여 인적자본 관리 기본 진단항목인 구성원 수 기반의 1인당 교육훈련비를 점검. 최근 5개 회계연도의 1인당 교육훈련비 추세를 함께 고려</t>
        </is>
      </c>
      <c r="H36" s="18" t="inlineStr">
        <is>
          <t>‘전자공시시스템’ 上 사업보고서, ‘조직별 홈페이지’ 上 지속가능경영보고서</t>
        </is>
      </c>
      <c r="I36" s="18" t="inlineStr">
        <is>
          <t>최근 4개 회계연도</t>
        </is>
      </c>
      <c r="J36" s="18" t="inlineStr">
        <is>
          <t>국내 사업장</t>
        </is>
      </c>
      <c r="K36" s="17" t="inlineStr">
        <is>
          <t>1인당 교육훈련비 = 직전 1개년도 교육훈련 지출 비용 / 해당연도 말 총 구성원 수</t>
        </is>
      </c>
      <c r="L36" s="20" t="inlineStr">
        <is>
          <t>단계형</t>
        </is>
      </c>
      <c r="M36" s="16" t="n">
        <v>3</v>
      </c>
      <c r="N36" s="18" t="inlineStr">
        <is>
          <t>단계형: 1단계=0점 / 2단계=50점 / 3단계=100점</t>
        </is>
      </c>
      <c r="O36" s="17" t="inlineStr">
        <is>
          <t>1단계 |  지난 4개년 1인당 교육훈련비 감소 추세 |  2단계 |  지난 4개년 1인당 교육훈련비 변동 없음 |  3단계 |  지난 4개년 1인당 교육훈련비 증가 추세 |  * 최근 4개년 간 교육훈련비가 없거나, 1인당 교육훈련비 데이터가 관리되지 않는 경우 0점 적용 |  * ‘유지 추세’로 판단할 경우 2단계로 적용하여 평가 |  * 3개년 이하 데이터 보유 시 해당 데이터로 추세 산정</t>
        </is>
      </c>
      <c r="P36" s="33" t="inlineStr">
        <is>
          <t>GAP(대응지표 없음)</t>
        </is>
      </c>
      <c r="Q36" s="17" t="inlineStr">
        <is>
          <t>KSSB 인적자원 지표 미규정</t>
        </is>
      </c>
      <c r="R36" s="17" t="inlineStr">
        <is>
          <t>GRI 404-1</t>
        </is>
      </c>
      <c r="S36" s="17" t="inlineStr">
        <is>
          <t>1_2_0_업종별 K-ESG 가이드라인(v2.0) 진단항목</t>
        </is>
      </c>
      <c r="T36" s="22" t="n"/>
      <c r="U36" s="23" t="n"/>
      <c r="V36" s="23" t="n"/>
      <c r="W36" s="23" t="n"/>
      <c r="X36" s="24">
        <f>IF(T36="","",MAX(1,SUMPRODUCT(('02_점수산정참고표'!$A$2:$A$314=$B36)*('02_점수산정참고표'!$C$2:$C$314=T36)*'02_점수산정참고표'!$E$2:$E$314)))</f>
        <v/>
      </c>
      <c r="Y36" s="18" t="inlineStr">
        <is>
          <t> 조직은 교육 및 훈련을 통해 업무 수행에 필요한 기술, 지식 등 구성원의 역량을 강화할 수 있으며, 이러한 교육훈련의 성과는 조직의 몰입도에 긍정적인 영향을 미치고 생산성 향상에 기여함으로써 미래 시장 경쟁력을 높이게 한다. 조직은 단기적인 이익창출과 교육훈련을 통한 장기적 성과 회수 사이의 괴리로 인해 구성원의 교육훈련에 소극적이고 수동적인 자세를 보일 수 있지만 장기적 관점의 경영성과 창출과 지속가능성 확보에 더욱 초점을 맞추는 것이 바람직하다.  교육훈련비는 조직의 미래 경쟁력, 지속가능경영 역량을 인적자원 측면에서 확인할 수 있는 항목으로, 조직의 총 구성원 수 대비 교육훈련 지출 비용을 비교하는 방식이 일반적이다. 다만, 조직의 규모, R&amp;D 투자 필요성…</t>
        </is>
      </c>
      <c r="Z36" s="18" t="n"/>
      <c r="AA36" s="25" t="inlineStr">
        <is>
          <t>1인당 평균 교육훈련 비용이 최근 4개년 간 증가 추세입니까?</t>
        </is>
      </c>
      <c r="AB36" s="25" t="inlineStr">
        <is>
          <t>단계(1~5)</t>
        </is>
      </c>
    </row>
    <row r="37" ht="91.5" customHeight="1">
      <c r="A37" s="26" t="n">
        <v>36</v>
      </c>
      <c r="B37" s="27" t="inlineStr">
        <is>
          <t>S-2-5</t>
        </is>
      </c>
      <c r="C37" s="28" t="inlineStr">
        <is>
          <t>기본진단항목(v2.0)</t>
        </is>
      </c>
      <c r="D37" s="36" t="inlineStr">
        <is>
          <t>사회</t>
        </is>
      </c>
      <c r="E37" s="28" t="inlineStr">
        <is>
          <t>노동</t>
        </is>
      </c>
      <c r="F37" s="28" t="inlineStr">
        <is>
          <t>복리후생비</t>
        </is>
      </c>
      <c r="G37" s="28" t="inlineStr">
        <is>
          <t> 조직이 임직원의 업무환경 및 근무조건 개선을 통해 직원 만족도를 높이고 있는지를 점검하는 항목으로 법률상 강제성이 있는 법정 복리후생비를 제외한 조직별 복리후생비를 확인  상대적 비교가능성이 높은 ‘원단위’ 개념을 적용하여 인적자본 관리 기본 진단항목인 구성원 수 기반의 1인당 복리후생비를 점검 (최근 4개 회계연도의 1인당 복리후생비 추세 고려)</t>
        </is>
      </c>
      <c r="H37" s="28" t="inlineStr">
        <is>
          <t>‘전자공시시스템’ 上 사업보고서, ‘조직별 홈페이지’ 上 지속가능경영보고서</t>
        </is>
      </c>
      <c r="I37" s="28" t="inlineStr">
        <is>
          <t>최근 4개 회계연도</t>
        </is>
      </c>
      <c r="J37" s="28" t="inlineStr">
        <is>
          <t>국내 사업장</t>
        </is>
      </c>
      <c r="K37" s="27" t="inlineStr">
        <is>
          <t>1인당 복리후생비 = 직전 1개년도 복리후생비 / 직전 1개년도 말 총 구성원 수</t>
        </is>
      </c>
      <c r="L37" s="29" t="inlineStr">
        <is>
          <t>단계형</t>
        </is>
      </c>
      <c r="M37" s="26" t="n">
        <v>3</v>
      </c>
      <c r="N37" s="28" t="inlineStr">
        <is>
          <t>단계형: 1단계=0점 / 2단계=50점 / 3단계=100점</t>
        </is>
      </c>
      <c r="O37" s="27" t="inlineStr">
        <is>
          <t>1단계 |  지난 4개년 1인당 복리후생비 감소 추세 |  2단계 |  지난 4개년 1인당 복리후생비 변동 없음 |  3단계 |  지난 4개년 1인당 복리후생비 증가 추세 |  * 최근 4개년 간 1인당 복리후생비 정보 없는 경우 0점 적용 |  * ‘유지 추세’로 판단할 경우 2단계로 적용하여 평가 |  * 3개년 이하 데이터 보유 시 해당 데이터로 추세 산정</t>
        </is>
      </c>
      <c r="P37" s="33" t="inlineStr">
        <is>
          <t>GAP(대응지표 없음)</t>
        </is>
      </c>
      <c r="Q37" s="27" t="inlineStr">
        <is>
          <t>KSSB 인적자원 지표 미규정</t>
        </is>
      </c>
      <c r="R37" s="27" t="inlineStr">
        <is>
          <t>GRI 401-2</t>
        </is>
      </c>
      <c r="S37" s="27" t="inlineStr">
        <is>
          <t>1_2_0_업종별 K-ESG 가이드라인(v2.0) 진단항목</t>
        </is>
      </c>
      <c r="T37" s="22" t="n"/>
      <c r="U37" s="23" t="n"/>
      <c r="V37" s="23" t="n"/>
      <c r="W37" s="23" t="n"/>
      <c r="X37" s="30">
        <f>IF(T37="","",MAX(1,SUMPRODUCT(('02_점수산정참고표'!$A$2:$A$314=$B37)*('02_점수산정참고표'!$C$2:$C$314=T37)*'02_점수산정참고표'!$E$2:$E$314)))</f>
        <v/>
      </c>
      <c r="Y37" s="28" t="inlineStr">
        <is>
          <t> 복리후생은 조직이 구성원에게 제공하는 대표적인 비임금성 보상으로 기업복지, 근로복지 등 다양한 용어로 사용되고 있다. 최근에는 소위 ‘워라밸’(Work and Life Balance)로 불리는 일과 삶의 균형, 일과 가정의 양립 등이 중요한 사회적 이슈로 떠오르고, 복리후생이 구직자가 조직을 선택하는 중요한 기준의 하나로 자리 잡는 등 노동과 복리후생에 대한 사회의 시각이 빠르게 변화하고 있다. 이러한 복리후생은 구성원의 만족도, 핵심 인재의 확보와 유지 및 조직의 몰입도와 성과 향상 등에 영향을 미침에 따라 조직들은 효과적인 복리후생 프로그램을 운영하기 위한 노력을 기울일 필요가 있다.  복리후생은 법률로 명시되어 강제성이 부여된 법정 복리후생과 그 외의…</t>
        </is>
      </c>
      <c r="Z37" s="28" t="n"/>
      <c r="AA37" s="25" t="inlineStr">
        <is>
          <t>법정 외 1인당 복리후생비 지출이 최근 4개년 간 증가 추세입니까?</t>
        </is>
      </c>
      <c r="AB37" s="25" t="inlineStr">
        <is>
          <t>단계(1~5)</t>
        </is>
      </c>
    </row>
    <row r="38" ht="91.5" customHeight="1">
      <c r="A38" s="16" t="n">
        <v>37</v>
      </c>
      <c r="B38" s="17" t="inlineStr">
        <is>
          <t>S-2-6</t>
        </is>
      </c>
      <c r="C38" s="18" t="inlineStr">
        <is>
          <t>기본진단항목(v2.0)</t>
        </is>
      </c>
      <c r="D38" s="36" t="inlineStr">
        <is>
          <t>사회</t>
        </is>
      </c>
      <c r="E38" s="18" t="inlineStr">
        <is>
          <t>노동</t>
        </is>
      </c>
      <c r="F38" s="18" t="inlineStr">
        <is>
          <t>결사의 자유 보장</t>
        </is>
      </c>
      <c r="G38" s="18" t="inlineStr">
        <is>
          <t> 조직의 직원이 유엔 세계인권선언 제20조에서 제시하는 결사의 자유를 보장받을 수 있는지, 근로자 이해대변 및 협력적 노사관계 형성·유지를 위한 협의기구가 있는지 확인 - (결사의 자유 보장) 근로자가 주체가 되어 자주적으로 단결하여 근로조건의 유지·개선 기타 근로자의 경제적·사회적 지위의 향상을 도모함을 목적으로 조직하는 노동조합의 설립 및 정당한 노동조합 활동을 보장하고 있는지를 점검 - (노사협력) 아울러 ｢근로자참여 및 협력증진에 관한 법률｣에 따른 노사 협의기구인 노사협의회의 설치 및 실질적인 운영을 통한 노사 파트너십 수준을 점검</t>
        </is>
      </c>
      <c r="H38" s="17" t="inlineStr">
        <is>
          <t>'전자공시시스템' 上 사업보고서, '조직별 홈페이지' 上 지속가능경영보고서</t>
        </is>
      </c>
      <c r="I38" s="18" t="inlineStr">
        <is>
          <t>최근 3개 회계연도(단, 노동조합 가입·설립 또는 노사협의회 설치 시점이 3개 회계연도 이내인 경우에는 그 기간)</t>
        </is>
      </c>
      <c r="J38" s="18" t="inlineStr">
        <is>
          <t>국내 사업장</t>
        </is>
      </c>
      <c r="K38" s="17" t="inlineStr">
        <is>
          <t>N/A</t>
        </is>
      </c>
      <c r="L38" s="20" t="inlineStr">
        <is>
          <t>단계형</t>
        </is>
      </c>
      <c r="M38" s="16" t="n">
        <v>5</v>
      </c>
      <c r="N38" s="18" t="inlineStr">
        <is>
          <t>단계형: 1단계=0점 / 2단계=25점 / 3단계=50점 / 4단계=75점 / 5단계=100점</t>
        </is>
      </c>
      <c r="O38" s="18" t="inlineStr">
        <is>
          <t>※ 노동조합 가입·설립 정보가 없는 경우에는 노사협의회 설치·운영 부분을 대체지표로 사용 |  1단계 |  노동조합 가입‧설립, 노사협의회 설치 관련 정보가 모두 없음 |  (노조 가입‧신설 관련 부당노동행위로 노동위 판정 또는 법원 판결이 유죄로 확정된 경우) |  2단계 |  노동조합 가입‧설립 또는 상시근로자 30인 이상인 경우 노사협의회 설치(위원 선임, 협의회규정 제정 등) |  3단계 |  2단계 + 과거 또는 현재 적법한 교섭당사자로서의 노동조합과 단체교섭 진행 + 3개월마다 노사협의회 정기회의 개최 |  (회의록 작성·비치) |  4단계 |  3단계 + 노동조합과 단체협약(임금협약 포함) 체결 |  + 노사협의회 정기회의 외 추가 임시회의(노사 실무협의 포함) 개최 |  5단계 |  4단계 + 체결된 단체협약의 성실한 이행(단체협약 위반 시 불이행으로 간주) + 노사협의회 의결(합의) 여부</t>
        </is>
      </c>
      <c r="P38" s="33" t="inlineStr">
        <is>
          <t>GAP(대응지표 없음)</t>
        </is>
      </c>
      <c r="Q38" s="17" t="inlineStr">
        <is>
          <t>KSSB 인적자원 지표 미규정</t>
        </is>
      </c>
      <c r="R38" s="17" t="inlineStr">
        <is>
          <t>GRI 407</t>
        </is>
      </c>
      <c r="S38" s="17" t="inlineStr">
        <is>
          <t>1_2_0_업종별 K-ESG 가이드라인(v2.0) 진단항목</t>
        </is>
      </c>
      <c r="T38" s="22" t="n"/>
      <c r="U38" s="23" t="n"/>
      <c r="V38" s="23" t="n"/>
      <c r="W38" s="23" t="n"/>
      <c r="X38" s="24">
        <f>IF(T38="","",MAX(1,SUMPRODUCT(('02_점수산정참고표'!$A$2:$A$314=$B38)*('02_점수산정참고표'!$C$2:$C$314=T38)*'02_점수산정참고표'!$E$2:$E$314)))</f>
        <v/>
      </c>
      <c r="Y38" s="18" t="inlineStr">
        <is>
          <t> 근로자는 자유로이 노동조합을 조직하거나 이에 가입할 수 있고 가입 형태에 따라 오픈숍(Open Shop)과 유니온숍(Union Shop)의 경우가 있으며, 해당 지표에서는 근로자가 노동조합을 조직하거나 두 가지 가입 형태에 따른 노동조합 가입을 모두 인정하고 있다. 다만, 근로자가 자발적으로 노동조합을 조직하지 않거나 이에 가입하지 않은 경우에는 ‘노사협의회 설치·운영’을 대체지표로 사용 가능하다.  노동조합의 대표자는 그 노동조합 또는 조합원을 위하여 사용자나 사용자단체와 교섭하고 단체협약을 체결할 권한을 가지며, 사용자는 노동조합의 대표자 또는 노동조합으로부터 위임을 받은 자와의 단체협약 체결 기타의 단체교섭을 정당한 이유 없이 거부하거나 해체하지 못한다. …</t>
        </is>
      </c>
      <c r="Z38" s="18" t="n"/>
      <c r="AA38" s="25" t="inlineStr">
        <is>
          <t>노동조합 설립·가입, 단체협약 이행, 분기별 노사협의회가 실질 운영됩니까?</t>
        </is>
      </c>
      <c r="AB38" s="25" t="inlineStr">
        <is>
          <t>단계(1~5)</t>
        </is>
      </c>
    </row>
    <row r="39" ht="91.5" customHeight="1">
      <c r="A39" s="26" t="n">
        <v>38</v>
      </c>
      <c r="B39" s="27" t="inlineStr">
        <is>
          <t>S-3-1</t>
        </is>
      </c>
      <c r="C39" s="28" t="inlineStr">
        <is>
          <t>기본진단항목(v2.0)</t>
        </is>
      </c>
      <c r="D39" s="36" t="inlineStr">
        <is>
          <t>사회</t>
        </is>
      </c>
      <c r="E39" s="28" t="inlineStr">
        <is>
          <t>다양성 및 양성평등</t>
        </is>
      </c>
      <c r="F39" s="28" t="inlineStr">
        <is>
          <t>여성 구성원 비율</t>
        </is>
      </c>
      <c r="G39" s="28" t="inlineStr">
        <is>
          <t> 조직의 중장기적 성장 및 새로운 사업기회 발굴에 필요한 창조적이고 혁신적인 조직문화를 위해 모든 직급의 구성원 다양성이 관리되고 있는지 확인  국내 인구구조적 특성을 고려하여, 다수의 다양성 기준 중 성별에 따른 다양성 현황을 점검하고자 함. 이를 위해, 조직의 남성 구성원 대비 여성 구성원(또는 여성 구성원 대비 남성 구성원)이 차지하는 비율을 직급별로 점검</t>
        </is>
      </c>
      <c r="H39" s="28" t="inlineStr">
        <is>
          <t>‘전자공시시스템’ 上 사업보고서, ‘조직별 홈페이지’ 上 지속가능경영보고서</t>
        </is>
      </c>
      <c r="I39" s="28" t="inlineStr">
        <is>
          <t>직전 회계연도</t>
        </is>
      </c>
      <c r="J39" s="28" t="inlineStr">
        <is>
          <t>국내 및 해외 사업장</t>
        </is>
      </c>
      <c r="K39" s="28" t="inlineStr">
        <is>
          <t>여성 구성원 비율 = 직전 회계연도 말 여성 구성원 수 (전체, 미등기임원) / 직전 회계연도 말 총 구성원 수 (전체, 미등기임원)</t>
        </is>
      </c>
      <c r="L39" s="29" t="inlineStr">
        <is>
          <t>단계형</t>
        </is>
      </c>
      <c r="M39" s="26" t="n">
        <v>5</v>
      </c>
      <c r="N39" s="28" t="inlineStr">
        <is>
          <t>단계형: 1단계=0점 / 2단계=25점 / 3단계=50점 / 4단계=75점 / 5단계=100점</t>
        </is>
      </c>
      <c r="O39" s="27" t="inlineStr">
        <is>
          <t>1단계 |  조직의 전체 구성원 중 여성이 차지하는 비율과, 미등기임원 중 여성이 차지하는 비율의 차이가 80%를 초과하는 경우 |  2단계 |  조직의 전체 구성원 중 여성이 차지하는 비율과, 미등기임원 중 여성이 차지하는 비율의 차이가 60% 초과 ~ 80% 이하인 경우 |  3단계 |  조직의 전체 구성원 중 여성이 차지하는 비율과, 미등기임원 중 여성이 차지하는 비율의 차이가 40% 초과 ~ 60% 이하인 경우 |  4단계 |  조직의 전체 구성원 중 여성이 차지하는 비율과, 미등기임원 중 여성이 차지하는 비율의 차이가 20% 초과 ~ 40% 이하인 경우 |  5단계 |  조직의 전체 구성원 중 여성이 차지하는 비율과, 미등기임원 중 여성이 차지하는 비율의 차이가 20% 이하인 경우 |  * 단, 결과값이 ‘-’ 일 경우, 본 지표에서 고려한 조직형태와 다른 경우이므로 적용하지 않음</t>
        </is>
      </c>
      <c r="P39" s="33" t="inlineStr">
        <is>
          <t>GAP(대응지표 없음)</t>
        </is>
      </c>
      <c r="Q39" s="27" t="inlineStr">
        <is>
          <t>KSSB 다양성 지표 미규정</t>
        </is>
      </c>
      <c r="R39" s="27" t="inlineStr">
        <is>
          <t>GRI 405-1</t>
        </is>
      </c>
      <c r="S39" s="27" t="inlineStr">
        <is>
          <t>1_2_0_업종별 K-ESG 가이드라인(v2.0) 진단항목</t>
        </is>
      </c>
      <c r="T39" s="22" t="n"/>
      <c r="U39" s="23" t="n"/>
      <c r="V39" s="23" t="n"/>
      <c r="W39" s="23" t="n"/>
      <c r="X39" s="30">
        <f>IF(T39="","",MAX(1,SUMPRODUCT(('02_점수산정참고표'!$A$2:$A$314=$B39)*('02_점수산정참고표'!$C$2:$C$314=T39)*'02_점수산정참고표'!$E$2:$E$314)))</f>
        <v/>
      </c>
      <c r="Y39" s="28" t="inlineStr">
        <is>
          <t> 조직의 전체 구성원 중 여성 비율과, 미등기임원 중 여성 비율의 차이를 측정하는 이유는 조직이 여성의 안정적 근무를 위한 근로환경을 제공하고 있는지, 여성 리더를 적극적으로 발굴 및 육성하고 있는지 확인하기 위함이다. - 여성 구성원 비율 차이 산식(%) : 100 - {(직전 회계연도 말 여성 미등기임원 수/직전 회계연도 말 총 미등기임원 수)/ (직전 회계연도 말 총 여성 구성원 수/직전 회계연도 말 총 구성원 수)}  조직은 직급별, 직무별, 근속연수별, 지역별 여성 구성원 비율을 기준으로도 ‘여성 구성원 비율’ 성과를 점검할 수 있다. - 직급별 : ‘사원’, ‘대리’, ‘과장’, ‘차장’, ‘부장’ 등 직급체계를 기준으로 여성 구성원 비율을 확인하는 방식…</t>
        </is>
      </c>
      <c r="Z39" s="28" t="n"/>
      <c r="AA39" s="25" t="inlineStr">
        <is>
          <t>전체 여성 비율과 미등기임원 여성 비율 간의 격차가 균형 관리됩니까?</t>
        </is>
      </c>
      <c r="AB39" s="25" t="inlineStr">
        <is>
          <t>단계(1~5)</t>
        </is>
      </c>
    </row>
    <row r="40" ht="91.5" customHeight="1">
      <c r="A40" s="16" t="n">
        <v>39</v>
      </c>
      <c r="B40" s="17" t="inlineStr">
        <is>
          <t>S-3-2</t>
        </is>
      </c>
      <c r="C40" s="18" t="inlineStr">
        <is>
          <t>기본진단항목(v2.0)</t>
        </is>
      </c>
      <c r="D40" s="36" t="inlineStr">
        <is>
          <t>사회</t>
        </is>
      </c>
      <c r="E40" s="18" t="inlineStr">
        <is>
          <t>다양성 및 양성평등</t>
        </is>
      </c>
      <c r="F40" s="18" t="inlineStr">
        <is>
          <t>여성 급여 비율 (평균 급여액 대비)</t>
        </is>
      </c>
      <c r="G40" s="18" t="inlineStr">
        <is>
          <t> 조직이 다양성 측면에서 소수계층, 사회적 취약계층, 기타 단순한 신체적 차이를 사유로 임금 지급에 차별을 두는 인사제도, 고용관행이 있는지 확인  국내 인구구조적 특성을 고려하여, 차별이 발생하는 다양한 사례 중 성별에 따른 급여 차이가 발생하는지 점검. 조직의 남/여 구성원 중 평균 급여액 미만의 급여를 받는 집단을 기준으로 급여 차이를 확인하는 항목으로써, 1인 평균 급여액 대비 ‘여성 1인 평균 급여액’(또는, 남성 1인 평균 급여액) 비율을 점검</t>
        </is>
      </c>
      <c r="H40" s="18" t="inlineStr">
        <is>
          <t>‘전자공시시스템’ 上 사업보고서, ‘조직별 홈페이지’ 上 지속가능경영보고서</t>
        </is>
      </c>
      <c r="I40" s="18" t="inlineStr">
        <is>
          <t>직전 회계연도</t>
        </is>
      </c>
      <c r="J40" s="18" t="inlineStr">
        <is>
          <t>국내 및 해외 사업장</t>
        </is>
      </c>
      <c r="K40" s="18" t="inlineStr">
        <is>
          <t>남성대비 여성임금 비율 = 직전 회계연도 여성(또는 남성) 1인 평균 급여액 / 직전 회계연도 조직의 1인 평균 급여액</t>
        </is>
      </c>
      <c r="L40" s="20" t="inlineStr">
        <is>
          <t>단계형</t>
        </is>
      </c>
      <c r="M40" s="16" t="n">
        <v>5</v>
      </c>
      <c r="N40" s="18" t="inlineStr">
        <is>
          <t>단계형: 1단계=0점 / 2단계=25점 / 3단계=50점 / 4단계=75점 / 5단계=100점</t>
        </is>
      </c>
      <c r="O40" s="17" t="inlineStr">
        <is>
          <t>1단계 |  조직의 1인 평균 급여액 대비 ‘여성(또는 남성) 1인 평균 급여액’ 비율이 60% 이하인 경우 |  2단계 |  조직의 1인 평균 급여액 대비 ‘여성(또는 남성) 1인 평균 급여액’ 비율이 60% 초과 ~ 70% 이하인 경우 |  3단계 |  조직의 1인 평균 급여액 대비 ‘여성(또는 남성) 1인 평균 급여액’ 비율이 70% 초과 ~ 80% 이하인 경우 |  4단계 |  조직의 1인 평균 급여액 대비 ‘여성(또는 남성) 1인 평균 급여액’ 비율이 80% 초과 ~ 90% 이하인 경우 |  5단계 |  조직의 1인 평균 급여액 대비 ‘여성(또는 남성) 1인 평균 급여액’ 비율이 90%를 초과하는 경우</t>
        </is>
      </c>
      <c r="P40" s="33" t="inlineStr">
        <is>
          <t>GAP(대응지표 없음)</t>
        </is>
      </c>
      <c r="Q40" s="17" t="inlineStr">
        <is>
          <t>KSSB 다양성 지표 미규정</t>
        </is>
      </c>
      <c r="R40" s="17" t="inlineStr">
        <is>
          <t>GRI 405-2</t>
        </is>
      </c>
      <c r="S40" s="17" t="inlineStr">
        <is>
          <t>1_2_0_업종별 K-ESG 가이드라인(v2.0) 진단항목</t>
        </is>
      </c>
      <c r="T40" s="22" t="n"/>
      <c r="U40" s="23" t="n"/>
      <c r="V40" s="23" t="n"/>
      <c r="W40" s="23" t="n"/>
      <c r="X40" s="24">
        <f>IF(T40="","",MAX(1,SUMPRODUCT(('02_점수산정참고표'!$A$2:$A$314=$B40)*('02_점수산정참고표'!$C$2:$C$314=T40)*'02_점수산정참고표'!$E$2:$E$314)))</f>
        <v/>
      </c>
      <c r="Y40" s="18" t="inlineStr">
        <is>
          <t> 여성(또는 남성) 급여 비율로 성과를 점검하는 이유는 조직이 성별 다양성 증진 활동의 결과물을 간접적으로 확인하기 위함이다. 조직의 성별 다양성 증진 활동이 효과적으로 실행되었다면, 상위 직급에 여성의 분포가 높아졌거나, 여성의 근속연수가 증가하였을 것이며, 이는 여성의 평균 급여액이라는 데이터에 반영되기 때문이다. 전체 구성원의 평균 급여액 대비 여성의 평균 급여액이 10% 이내, 또는 동일한 경우, 해당 조직의 다양성 관리는 효과적으로 이루어졌다고 볼 수 있다.  본 ‘여성 급여 비율’ 항목 정의서의 ‘1인 평균 급여액’이란 한국채택국제회계기준(IFRS) 제1019호에서 규정하는 ‘종업원 급여(단기종업원급여, 퇴직급여, 기타장기종업원급여, 해고급여)’를 회계연도…</t>
        </is>
      </c>
      <c r="Z40" s="18" t="n"/>
      <c r="AA40" s="25" t="inlineStr">
        <is>
          <t>남성 평균 급여 대비 여성 평균 급여의 격차가 점차 해소되고 있습니까?</t>
        </is>
      </c>
      <c r="AB40" s="25" t="inlineStr">
        <is>
          <t>단계(1~5)</t>
        </is>
      </c>
    </row>
    <row r="41" ht="91.5" customHeight="1">
      <c r="A41" s="26" t="n">
        <v>40</v>
      </c>
      <c r="B41" s="27" t="inlineStr">
        <is>
          <t>S-3-3</t>
        </is>
      </c>
      <c r="C41" s="28" t="inlineStr">
        <is>
          <t>기본진단항목(v2.0)</t>
        </is>
      </c>
      <c r="D41" s="36" t="inlineStr">
        <is>
          <t>사회</t>
        </is>
      </c>
      <c r="E41" s="28" t="inlineStr">
        <is>
          <t>다양성 및 양성평등</t>
        </is>
      </c>
      <c r="F41" s="28" t="inlineStr">
        <is>
          <t>장애인 고용률</t>
        </is>
      </c>
      <c r="G41" s="28" t="inlineStr">
        <is>
          <t> 장애인은 능력에 따라 보장받고, 고용되어, 유익하고 생산적인 업무를 통해 합리적인 보수를 받을 권리가 있으며, 조직이 해당 권리 향상을 지원하는지 확인  정부의 장애인 의무고용률을 기준으로 조직이 해당 사회적 책임을 이행하고 있는지를 점검 (매년 고용노동부에서 공시하는 장애인 의무고용률과 비교)</t>
        </is>
      </c>
      <c r="H41" s="28" t="inlineStr">
        <is>
          <t>‘전자공시시스템’ 上 사업보고서, ‘조직별 홈페이지’ 上 지속가능경영보고서</t>
        </is>
      </c>
      <c r="I41" s="28" t="inlineStr">
        <is>
          <t>직전 회계연도</t>
        </is>
      </c>
      <c r="J41" s="28" t="inlineStr">
        <is>
          <t>국내 사업장</t>
        </is>
      </c>
      <c r="K41" s="28" t="inlineStr">
        <is>
          <t>장애인 고용률 = ∑(월별 장애인 상시근로자 수) / ∑(월별 상시근로자 수) * 상시근로자수: 해당 월 15일 이상 또는 60시간 이상 근무한 자</t>
        </is>
      </c>
      <c r="L41" s="29" t="inlineStr">
        <is>
          <t>단계형</t>
        </is>
      </c>
      <c r="M41" s="26" t="n">
        <v>5</v>
      </c>
      <c r="N41" s="28" t="inlineStr">
        <is>
          <t>단계형: 1단계=0점 / 2단계=25점 / 3단계=50점 / 4단계=75점 / 5단계=100점</t>
        </is>
      </c>
      <c r="O41" s="27" t="inlineStr">
        <is>
          <t>1단계 |  직전 1개년도 장애인 의무고용률의 60% 미만일 경우 |  2단계 |  직전 1개년도 장애인 고용률이 법적 의무고용률의 60% 이상 80% 미만 수준인 경우 |  3단계 |  직전 1개년도 장애인 고용률이 법적 의무고용률의 80% 이상 100% 미만 수준인 경우 |  4단계 |  직전 1개년도 장애인 고용률이 법적 의무고용률의 100% 이상 120% 미만 수준인 경우 |  5단계 |  직전 1개년도 장애인 고용률이 법적 의무고용률의 120% 이상 수준인 경우 |  ※ 장애인 미고용 부담금 납부 시에도 실제 고용한 인원을 기준으로 산정 |  ※ 중증장애인 중 월 임금지급기초일수 16일 이상, 소정근로시간 60시간 이상인 근로자는 2명으로 계산</t>
        </is>
      </c>
      <c r="P41" s="33" t="inlineStr">
        <is>
          <t>GAP(대응지표 없음)</t>
        </is>
      </c>
      <c r="Q41" s="27" t="inlineStr">
        <is>
          <t>KSSB 다양성 지표 미규정</t>
        </is>
      </c>
      <c r="R41" s="27" t="inlineStr">
        <is>
          <t>GRI 405-1</t>
        </is>
      </c>
      <c r="S41" s="27" t="inlineStr">
        <is>
          <t>1_2_0_업종별 K-ESG 가이드라인(v2.0) 진단항목</t>
        </is>
      </c>
      <c r="T41" s="22" t="n"/>
      <c r="U41" s="23" t="n"/>
      <c r="V41" s="23" t="n"/>
      <c r="W41" s="23" t="n"/>
      <c r="X41" s="30">
        <f>IF(T41="","",MAX(1,SUMPRODUCT(('02_점수산정참고표'!$A$2:$A$314=$B41)*('02_점수산정참고표'!$C$2:$C$314=T41)*'02_점수산정참고표'!$E$2:$E$314)))</f>
        <v/>
      </c>
      <c r="Y41" s="28" t="inlineStr">
        <is>
          <t> 장애인 고용의무제도는 국가·지방자치단체와 50명 이상 공공기관·민간기업 사업주에게 장애인을 일정비율 이상 고용하도록 의무화하고, 미 준수시 부담금을 부과하는 제도이다. 의무고용률 이상 고용한 사업주에 대해서는 규모에 상관없이 초과인원에 대해 장려금을 지급하며, 매년 ｢장애인고용촉진 및 직업재활법 시행령｣을 통해 기준연도에 해당하는 의무고용률을 공시하고 있다.  장애인 의무고용률은 국가 및 지자체, 공공기관, 민간기업에 별도 적용하며 상세내용은 아래 표와 같다. 기준연도 2021년 2022년 2023년 2024년 공무원 3.4% 3.6% 3.6% 3.8% 국가 및 지자체 비공무원 3.4% 3.6% 3.6% 3.8% 공공기관 3.4% 3.6% 3.6% 3.8% 민간기업…</t>
        </is>
      </c>
      <c r="Z41" s="28" t="n"/>
      <c r="AA41" s="25" t="inlineStr">
        <is>
          <t>법정 장애인 의무고용률 대비 실제 장애인 고용 비율을 초과 달성합니까?</t>
        </is>
      </c>
      <c r="AB41" s="25" t="inlineStr">
        <is>
          <t>단계(1~5)</t>
        </is>
      </c>
    </row>
    <row r="42" ht="91.5" customHeight="1">
      <c r="A42" s="16" t="n">
        <v>41</v>
      </c>
      <c r="B42" s="17" t="inlineStr">
        <is>
          <t>S-4-1</t>
        </is>
      </c>
      <c r="C42" s="18" t="inlineStr">
        <is>
          <t>기본진단항목(v2.0)</t>
        </is>
      </c>
      <c r="D42" s="36" t="inlineStr">
        <is>
          <t>사회</t>
        </is>
      </c>
      <c r="E42" s="18" t="inlineStr">
        <is>
          <t>산업안전</t>
        </is>
      </c>
      <c r="F42" s="18" t="inlineStr">
        <is>
          <t>안전보건 추진체계</t>
        </is>
      </c>
      <c r="G42" s="18" t="inlineStr">
        <is>
          <t> 조직이 산업인력 손실, 구성원 사기 저하, 생산성 및 품질 하락, 노사관계 악화 등 경제적 손실과 사회적 비용을 예방하기 위해, 안전 리스크 저감 및 건강·복지 증진 등 안전보건 성과 개선을 체계적으로 추진하고 있는지 확인  국내외 규격에서 제시하는 안전보건경영시스템 구성요건을 기준으로, 조직이 이를 따르거나 준용하여 안전보건 추진체계를 갖추고 있는지 점검</t>
        </is>
      </c>
      <c r="H42" s="18" t="inlineStr">
        <is>
          <t>안전보건경영시스템, 안전보건 정책, 안전보건 관리 규정</t>
        </is>
      </c>
      <c r="I42" s="18" t="inlineStr">
        <is>
          <t>직전 회계연도</t>
        </is>
      </c>
      <c r="J42" s="17" t="inlineStr">
        <is>
          <t>N/A</t>
        </is>
      </c>
      <c r="K42" s="17" t="inlineStr">
        <is>
          <t>N/A</t>
        </is>
      </c>
      <c r="L42" s="20" t="inlineStr">
        <is>
          <t>선택형</t>
        </is>
      </c>
      <c r="M42" s="16" t="n">
        <v>5</v>
      </c>
      <c r="N42" s="18" t="inlineStr">
        <is>
          <t>선택형: 요건1=0점 / 요건2=25점 / 요건3=50점 / 요건4=75점 / 요건5=100점</t>
        </is>
      </c>
      <c r="O42" s="18" t="inlineStr">
        <is>
          <t>요건1 |  경영자가 확고한 리더십으로 비전을 제시하고 필요한 자원을 배정하는 경우 |  (안전경영방침 공표, 인력·시설·장비 등 배정, 구성원에게 책임과 권한 부여) |  요건2 |  안전보건관리체계 구축을 위해 근로자의 참여 및 협의를 보장하는 경우 |  (안전보건 정보공개, 구성원 참여절차 마련, 의견제시 문화 조성 등) |  요건3 |  조직의 위험요인 파악과 이에 대한 제거·대체·통제 조치를 하는 경우 |  (유해위험요인 파악, 위험성 평가, 위험요인 제거·대체·통제 방안 마련, 교육훈련 실시) |  요건4 |  중대한 위험요인에 대처할 수 있는 비상 조치계획을 수립한 경우 |  (위험요인별 시나리오 및 조치계획 수립, 주기적 훈련, 사업장 내 도급 근로자 등 모든 구성원에 대한 보호 여부) |  요건5 |  안전보건 과제 및 목표의 이행현황을 평가하고 개선하는 경우 |  (목표 설정, 계획대비 달성 여부 평가, 문제점에 대한 주기적 검토와 개선)</t>
        </is>
      </c>
      <c r="P42" s="33" t="inlineStr">
        <is>
          <t>GAP(대응지표 없음)</t>
        </is>
      </c>
      <c r="Q42" s="17" t="inlineStr">
        <is>
          <t>KSSB 산업안전 지표 미규정</t>
        </is>
      </c>
      <c r="R42" s="17" t="inlineStr">
        <is>
          <t>GRI 403-1,2</t>
        </is>
      </c>
      <c r="S42" s="17" t="inlineStr">
        <is>
          <t>1_2_0_업종별 K-ESG 가이드라인(v2.0) 진단항목</t>
        </is>
      </c>
      <c r="T42" s="22" t="n"/>
      <c r="U42" s="23" t="n"/>
      <c r="V42" s="23" t="n"/>
      <c r="W42" s="23" t="n"/>
      <c r="X42" s="24">
        <f>IF(T42="","",MAX(1,SUMPRODUCT(('02_점수산정참고표'!$A$2:$A$314=$B42)*('02_점수산정참고표'!$C$2:$C$314=T42)*'02_점수산정참고표'!$E$2:$E$314)))</f>
        <v/>
      </c>
      <c r="Y42" s="18" t="inlineStr">
        <is>
          <t> 안전보건관리체계의 구축 이행이란, 일하는 사람의 안전과 건강을 보호하기 위해 기업 스스로 위험요인을 파악하여 제거·대체 및 통제방안을 마련·이행하며 이를 지속적으로 개선하는 일련의 활동을 말한다.  안전보건관리는 기업의 사회적 책임이며, 경쟁력 제고의 첫걸음이다. 최근 ESG에 대한 사회적 관심이 높아지고 있다. 경영자의 안전보건관리는 ESG의 가장 기본이 되는 사항이다. 안전은 비용이 아닌 투자이며, 경영의 일부다. 산업재해가 발생하면 심각한 작업 차질이 발생하고 품질, 생산성 및 기업 이미지에 부정적 영향을 미친다. * 산업재해에 따른 경제적손실추정액 29조 9,841억 원, 근로손실일수 5,534만 일&lt;’20년&gt;  효과적인 안전보건관리체계를 구축하고 이행하기…</t>
        </is>
      </c>
      <c r="Z42" s="18" t="n"/>
      <c r="AA42" s="25" t="inlineStr">
        <is>
          <t>경영자 리더십, 위험성평가, 비상조치 계획, 평가/개선 5대 체계가 있습니까?</t>
        </is>
      </c>
      <c r="AB42" s="25" t="inlineStr">
        <is>
          <t>단계(1~5)</t>
        </is>
      </c>
    </row>
    <row r="43" ht="91.5" customHeight="1">
      <c r="A43" s="26" t="n">
        <v>42</v>
      </c>
      <c r="B43" s="27" t="inlineStr">
        <is>
          <t>S-4-2</t>
        </is>
      </c>
      <c r="C43" s="28" t="inlineStr">
        <is>
          <t>기본진단항목(v2.0)</t>
        </is>
      </c>
      <c r="D43" s="36" t="inlineStr">
        <is>
          <t>사회</t>
        </is>
      </c>
      <c r="E43" s="28" t="inlineStr">
        <is>
          <t>산업안전</t>
        </is>
      </c>
      <c r="F43" s="28" t="inlineStr">
        <is>
          <t>산업재해율</t>
        </is>
      </c>
      <c r="G43" s="28" t="inlineStr">
        <is>
          <t> 조직의 안전보건 거버넌스 구축, 중점과제 추진, 업무시스템 구축, 성과점검 및 평가 등 안전보건 추진체계가 효과성을 나타내고 있는지 확인  조직 구성원의 안전/보건을 위협하는 요인을 지속적으로 관리하고 재해율을 줄이기 위해 노력하고 있는지 점검 (국내외 모든 구성원으로부터 발생하는 산업재해율 추이 분석)</t>
        </is>
      </c>
      <c r="H43" s="28" t="inlineStr">
        <is>
          <t>‘전자공시시스템’ 上 사업보고서, ‘홈페이지’ 上 지속가능경영보고서, ‘고용노동부 홈페이지’ 上 산업재해 현황분석</t>
        </is>
      </c>
      <c r="I43" s="28" t="inlineStr">
        <is>
          <t>최근 4개 회계연도 기준</t>
        </is>
      </c>
      <c r="J43" s="28" t="inlineStr">
        <is>
          <t>국내 및 해외 사업장</t>
        </is>
      </c>
      <c r="K43" s="28" t="inlineStr">
        <is>
          <t>산업재해율 = (재해자 수 / 연 평균 근로자 수) * 100</t>
        </is>
      </c>
      <c r="L43" s="29" t="inlineStr">
        <is>
          <t>단계형</t>
        </is>
      </c>
      <c r="M43" s="26" t="n">
        <v>3</v>
      </c>
      <c r="N43" s="28" t="inlineStr">
        <is>
          <t>단계형: 1단계=0점 / 2단계=50점 / 3단계=100점</t>
        </is>
      </c>
      <c r="O43" s="27" t="inlineStr">
        <is>
          <t>1단계 |  지난 4개년 산업재해율 증가 추세 |  2단계 |  지난 4개년 산업재해율 변동 없음 |  3단계 |  지난 4개년 산업재해율 감소 추세 |  * 최근 4개년 간 산업재해율 정보를 관리하지 않는 경우 0점 적용 |  * 무재해의 경우에는 100점 적용 |  * '유지 추세'로 판단할 경우 2단계로 적용하여 평가 |  * 3개년 이하 데이터 보유 시 해당 데이터로 추세 산정</t>
        </is>
      </c>
      <c r="P43" s="33" t="inlineStr">
        <is>
          <t>GAP(대응지표 없음)</t>
        </is>
      </c>
      <c r="Q43" s="27" t="inlineStr">
        <is>
          <t>KSSB 산업안전 지표 미규정</t>
        </is>
      </c>
      <c r="R43" s="27" t="inlineStr">
        <is>
          <t>GRI 403-9, 중대재해처벌법</t>
        </is>
      </c>
      <c r="S43" s="27" t="inlineStr">
        <is>
          <t>1_2_0_업종별 K-ESG 가이드라인(v2.0) 진단항목</t>
        </is>
      </c>
      <c r="T43" s="22" t="n"/>
      <c r="U43" s="23" t="n"/>
      <c r="V43" s="23" t="n"/>
      <c r="W43" s="23" t="n"/>
      <c r="X43" s="30">
        <f>IF(T43="","",MAX(1,SUMPRODUCT(('02_점수산정참고표'!$A$2:$A$314=$B43)*('02_점수산정참고표'!$C$2:$C$314=T43)*'02_점수산정참고표'!$E$2:$E$314)))</f>
        <v/>
      </c>
      <c r="Y43" s="28" t="inlineStr">
        <is>
          <t> 조직이 산업재해 발생 현황을 파악할 수 있는 지표는 다양하며, 국내에서는 대표적으로 재해율(천인율)을 기본 지표로 활용하고 있다. 이외, 조직의 산업재해 발생 현황을 파악할 수 있는 지표는 아래와 같다, (국내) 산업재해통계업무처리규정(시행 2001.1.1.)에서 규정하는 것에 따름 - 도수율(또는 빈도율) = (재해발생 건수 / 연 근로시간 수) * 1,000,000 - 강도율 = (총 근로손실일 수 / 연 근로시간 수) * 1,000 (해외) Occupational Safety and Health Administration(OSHA), USA 기준을 따름 - LTIR(Lost Time Injury Rate) = (Number of LTI / Number of…</t>
        </is>
      </c>
      <c r="Z43" s="28" t="n"/>
      <c r="AA43" s="25" t="inlineStr">
        <is>
          <t>연평균 근로자 수 대비 요양 승인된 산업재해자 비율이 감소 추세입니까?</t>
        </is>
      </c>
      <c r="AB43" s="25" t="inlineStr">
        <is>
          <t>단계(1~5)</t>
        </is>
      </c>
    </row>
    <row r="44" ht="91.5" customHeight="1">
      <c r="A44" s="16" t="n">
        <v>43</v>
      </c>
      <c r="B44" s="17" t="inlineStr">
        <is>
          <t>S-5-1</t>
        </is>
      </c>
      <c r="C44" s="18" t="inlineStr">
        <is>
          <t>기본진단항목(v2.0)</t>
        </is>
      </c>
      <c r="D44" s="36" t="inlineStr">
        <is>
          <t>사회</t>
        </is>
      </c>
      <c r="E44" s="18" t="inlineStr">
        <is>
          <t>인권</t>
        </is>
      </c>
      <c r="F44" s="18" t="inlineStr">
        <is>
          <t>인권정책 수립</t>
        </is>
      </c>
      <c r="G44" s="18" t="inlineStr">
        <is>
          <t> 조직이 UN의 ‘세계인권선언’ 및 ‘기업과 인권 이행원칙’, ILO ‘핵심협약’, OECD ‘책임있는 사업을 위한 실사 가이드라인’ 등에 기반하여, 인권경영 추진을 선언하는 대외공식적 정책을 제시하고 있는지 확인  조직이 인권정책(Human Rights Policy)을 통해 인권보호가 필요한 이슈에 대해 어떠한 정책적 접근을 하고 있는지 점검</t>
        </is>
      </c>
      <c r="H44" s="18" t="inlineStr">
        <is>
          <t>조직의 인권정책 내 아래의 이슈 중 어떠한 이슈가 다루어지고 있는지 측정 1) 차별금지, 2) 근로조건 준수, 3) 인도적 대우, 4) 강제근로 금지, 5) 아동노동 착취 금지, 6) 결사 및 단체교섭의 자유, 7) 산업안전 보장, 8) 지역주민 인권 보호, 9) 고객의 인권 보호, 10) 기타</t>
        </is>
      </c>
      <c r="I44" s="18" t="inlineStr">
        <is>
          <t>직전 회계연도 기준</t>
        </is>
      </c>
      <c r="J44" s="17" t="inlineStr">
        <is>
          <t>N/A</t>
        </is>
      </c>
      <c r="K44" s="17" t="inlineStr">
        <is>
          <t>N/A</t>
        </is>
      </c>
      <c r="L44" s="20" t="inlineStr">
        <is>
          <t>단계형</t>
        </is>
      </c>
      <c r="M44" s="16" t="n">
        <v>5</v>
      </c>
      <c r="N44" s="18" t="inlineStr">
        <is>
          <t>단계형: 1단계=0점 / 2단계=25점 / 3단계=50점 / 4단계=75점 / 5단계=100점</t>
        </is>
      </c>
      <c r="O44" s="17" t="inlineStr">
        <is>
          <t>1단계 |  조직의 대외공식적 인권정책이 수립되지 않은 경우. 또는, 인권정책이 있으나, 상기의 이슈 중 1~2개에 대한 조직의 정책적 접근 |  방향이 설명되어 있는 경우 |  2단계 |  상기의 이슈 중 3~4개에 대한 조직의 정책적 접근방향이 설명되어 있는 경우 |  3단계 |  상기의 이슈 중 5~6개에 대한 조직의 정책적 접근방향이 설명되어 있는 경우 |  4단계 |  상기의 이슈 중 7~8개에 대한 조직의 정책적 접근방향이 설명되어 있는 경우 |  5단계 |  상기의 이슈 중 9개 이상에 대한 조직의 정책적 접근방향이 설명되어 있는 경우</t>
        </is>
      </c>
      <c r="P44" s="21" t="inlineStr">
        <is>
          <t>부분대응</t>
        </is>
      </c>
      <c r="Q44" s="17" t="inlineStr">
        <is>
          <t>KSSB 제1호 부록A(가치사슬 개념) 준용</t>
        </is>
      </c>
      <c r="R44" s="17" t="inlineStr">
        <is>
          <t>UNGP, GRI 412-1</t>
        </is>
      </c>
      <c r="S44" s="17" t="inlineStr">
        <is>
          <t>1_2_0_업종별 K-ESG 가이드라인(v2.0) 진단항목</t>
        </is>
      </c>
      <c r="T44" s="22" t="n"/>
      <c r="U44" s="23" t="n"/>
      <c r="V44" s="23" t="n"/>
      <c r="W44" s="23" t="n"/>
      <c r="X44" s="24">
        <f>IF(T44="","",MAX(1,SUMPRODUCT(('02_점수산정참고표'!$A$2:$A$314=$B44)*('02_점수산정참고표'!$C$2:$C$314=T44)*'02_점수산정참고표'!$E$2:$E$314)))</f>
        <v/>
      </c>
      <c r="Y44" s="18" t="inlineStr">
        <is>
          <t> 본 ‘인권정책 수립’ 항목 정의서는 UN, ILO, OECD 등에서 제시하는 인권 분야 이슈에 대해 조직이 공식적인 입장을 제시하고 있는지 확인한다. 각 인권 이슈에 대한 설명은 아래와 같다. 단, 제도, 상관습, 사회문화 등의 변화에 따라 인권 이슈는 새롭게 추가되거나, 변동될 수 있다. - 차별금지 : 성별, 인종, 민족, 국적, 종교, 장애, 기타 사회적 신분 등을 사유로 고용, 승진, 교육, 보상, 복리후생 등의 근로조건에 있어 차별하거나 괴롭히는 행위를 금지하는 것 - 근로조건 준수 : 법정근로시간을 준수하며, 초과근로에 대해서는 합당한 보수를 제공함. 또한, 모든 구성원이 업무에 몰입할 수 있는 적절한 근로환경을 조성하는 것 - 인도적 대우 : 구성원의…</t>
        </is>
      </c>
      <c r="Z44" s="18" t="n"/>
      <c r="AA44" s="25" t="inlineStr">
        <is>
          <t>차별/강제/아동노동 금지 등 주요 10대 핵심 인권 보호 정책을 수립했습니까?</t>
        </is>
      </c>
      <c r="AB44" s="25" t="inlineStr">
        <is>
          <t>단계(1~5)</t>
        </is>
      </c>
    </row>
    <row r="45" ht="91.5" customHeight="1">
      <c r="A45" s="26" t="n">
        <v>44</v>
      </c>
      <c r="B45" s="27" t="inlineStr">
        <is>
          <t>S-5-2</t>
        </is>
      </c>
      <c r="C45" s="28" t="inlineStr">
        <is>
          <t>기본진단항목(v2.0)</t>
        </is>
      </c>
      <c r="D45" s="36" t="inlineStr">
        <is>
          <t>사회</t>
        </is>
      </c>
      <c r="E45" s="28" t="inlineStr">
        <is>
          <t>인권</t>
        </is>
      </c>
      <c r="F45" s="28" t="inlineStr">
        <is>
          <t>인권 리스크 평가</t>
        </is>
      </c>
      <c r="G45" s="28" t="inlineStr">
        <is>
          <t> 조직의 사업운영과 관련되어 있는 구성원(직접고용 임직원, 협력사 근로자, 기타 사업장이 위치한 지역의 원주민 등)이 직면하거나, 또는 해당 구성원에게 잠재되어 있는 인권 리스크를 관리하고 있는지 확인  조직이 인권 리스크 평가 체계를 구축하고 있으며, 해당 인권 리스크 평가 체계에 따라 실제 인권 리스크를 평가 및 개선하고 있는지 점검</t>
        </is>
      </c>
      <c r="H45" s="28" t="inlineStr">
        <is>
          <t>인권정책, 인권 리스크 관리 프로세스</t>
        </is>
      </c>
      <c r="I45" s="28" t="inlineStr">
        <is>
          <t>직전 회계연도 기준</t>
        </is>
      </c>
      <c r="J45" s="28" t="inlineStr">
        <is>
          <t>국내외 사업장 및 기타 연결실체</t>
        </is>
      </c>
      <c r="K45" s="27" t="inlineStr">
        <is>
          <t>N/A</t>
        </is>
      </c>
      <c r="L45" s="29" t="inlineStr">
        <is>
          <t>단계형</t>
        </is>
      </c>
      <c r="M45" s="26" t="n">
        <v>5</v>
      </c>
      <c r="N45" s="28" t="inlineStr">
        <is>
          <t>단계형: 1단계=0점 / 2단계=25점 / 3단계=50점 / 4단계=75점 / 5단계=100점</t>
        </is>
      </c>
      <c r="O45" s="27" t="inlineStr">
        <is>
          <t>1단계 |  인권 리스크 평가 지표, 평가 기준, 평가 일정 등의 체계가 구축되지 않은 경우 |  2단계 |  인권 리스크 평가 지표, 평가 기준, 평가 일정 등의 체계가 구축되어 있는 경우 |  단, 해당 인권 리스크 평가 체계를 운용하지 않은 경우 |  3단계 |  인권 리스크 평가 체계를 구축하고 있으나, 온라인/서면 등 비대면 방식으로 인권 리스크 진단 행위만 실시한 경우 |  4단계 |  인권 리스크 평가 체계를 구축하고 있으며, 온라인/서면 등 비대면 방식의 진단과 함께, 고위험 인권 리스크에 대해서는 |  현장실사까지 실시한 경우 |  5단계 |  인권 리스크 평가 체계를 구축하고 있으며, 비대면 진단 및 현장실사 행위를 실시한 경우. 또한, 확인된 인권 리스크에 대한 |  개선계획/개선활동을 추진한 경우</t>
        </is>
      </c>
      <c r="P45" s="21" t="inlineStr">
        <is>
          <t>부분대응</t>
        </is>
      </c>
      <c r="Q45" s="27" t="inlineStr">
        <is>
          <t>KSSB 제1호 부록A(가치사슬 개념) 준용</t>
        </is>
      </c>
      <c r="R45" s="27" t="inlineStr">
        <is>
          <t>UNGP, GRI 412-1</t>
        </is>
      </c>
      <c r="S45" s="27" t="inlineStr">
        <is>
          <t>1_2_0_업종별 K-ESG 가이드라인(v2.0) 진단항목</t>
        </is>
      </c>
      <c r="T45" s="22" t="n"/>
      <c r="U45" s="23" t="n"/>
      <c r="V45" s="23" t="n"/>
      <c r="W45" s="23" t="n"/>
      <c r="X45" s="30">
        <f>IF(T45="","",MAX(1,SUMPRODUCT(('02_점수산정참고표'!$A$2:$A$314=$B45)*('02_점수산정참고표'!$C$2:$C$314=T45)*'02_점수산정참고표'!$E$2:$E$314)))</f>
        <v/>
      </c>
      <c r="Y45" s="28" t="inlineStr">
        <is>
          <t> 조직은 세계인권선언(Universal Declaration of Human Rights), UN 기업과 인권 이행원칙(UN Guiding Principles on Business and Human Rights) 및 국제노동기구(International Labor Organization), OECD 실사 가이드라인(OECD Due Diligence Guidance for responsible Business Conduct) 등 인권·노동 관련 국제 표준 및 가이드라인을 참고하여 인권 리스크 평가 체계를 구축할 수 있다.  조직의 인권 리스크 평가 체계란 진단-실사-개선으로 구성되는 일련의 프로세스를 의미한다. 인권 리스크를 진단, 실사, 개선하는 이유는 아래와 같다.…</t>
        </is>
      </c>
      <c r="Z45" s="28" t="n"/>
      <c r="AA45" s="25" t="inlineStr">
        <is>
          <t>전 사업장/공급망 인권 리스크 진단, 고위험군 실사/시정 조치를 이행합니까?</t>
        </is>
      </c>
      <c r="AB45" s="25" t="inlineStr">
        <is>
          <t>단계(1~5)</t>
        </is>
      </c>
    </row>
    <row r="46" ht="91.5" customHeight="1">
      <c r="A46" s="16" t="n">
        <v>45</v>
      </c>
      <c r="B46" s="17" t="inlineStr">
        <is>
          <t>S-6-1</t>
        </is>
      </c>
      <c r="C46" s="18" t="inlineStr">
        <is>
          <t>기본진단항목(v2.0)</t>
        </is>
      </c>
      <c r="D46" s="36" t="inlineStr">
        <is>
          <t>사회</t>
        </is>
      </c>
      <c r="E46" s="18" t="inlineStr">
        <is>
          <t>동반성장</t>
        </is>
      </c>
      <c r="F46" s="18" t="inlineStr">
        <is>
          <t>협력사 ESG 경영</t>
        </is>
      </c>
      <c r="G46" s="18" t="inlineStr">
        <is>
          <t> 조직이 협력사가 직면한 ESG 관련 리스크를 인지하고 있는지, 협력사에 잠재되어 있는 ESG 리스크가 조직에게 전이되는 상황을 미연에 방지하기 위해 노력하는지 확인  조직이 협력사 ESG 리스크 관리 체계를 구축하고 있으며, 해당 관리 체계에 따라 실제 협력사 ESG 리스크를 진단-실사-개선하고 있는지 점검</t>
        </is>
      </c>
      <c r="H46" s="18" t="inlineStr">
        <is>
          <t>협력사 행동규범, 협력사 ESG 리스크 관리 프로세스</t>
        </is>
      </c>
      <c r="I46" s="18" t="inlineStr">
        <is>
          <t>직전 회계연도 기준</t>
        </is>
      </c>
      <c r="J46" s="18" t="inlineStr">
        <is>
          <t>국내외 사업장 및 기타 연결실체</t>
        </is>
      </c>
      <c r="K46" s="17" t="inlineStr">
        <is>
          <t>N/A</t>
        </is>
      </c>
      <c r="L46" s="20" t="inlineStr">
        <is>
          <t>단계형</t>
        </is>
      </c>
      <c r="M46" s="16" t="n">
        <v>5</v>
      </c>
      <c r="N46" s="18" t="inlineStr">
        <is>
          <t>단계형: 1단계=0점 / 2단계=25점 / 3단계=50점 / 4단계=75점 / 5단계=100점</t>
        </is>
      </c>
      <c r="O46" s="17" t="inlineStr">
        <is>
          <t>1단계 |  협력사 ESG 리스크 평가 지표, 평가 기준, 평가 일정 등의 관리 체계가 구축되지 않은 경우 |  2단계 |  협력사 ESG 리스크 평가 지표, 평가 기준, 평가 일정 등의 관리 체계를 구축하고 있으나, 해당 협력사 ESG 리스크 관리 체계를 |  운용하지 않은 경우 |  3단계 |  협력사 ESG 리스크 관리 체계를 구축하고 있으나, 온라인/서면 등 비대면 방식으로 리스크 진단 행위만 실시한 경우 |  4단계 |  협력사 ESG 리스크 관리 체계를 구축하고 있으며, 온라인/서면 등 비대면 방식의 진단과 함께, 고위험 ESG 리스크에 대해서는 |  현장실사 행위까지 실시한 경우 |  5단계 |  협력사 ESG 리스크 관리 체계를 구축하고 있으며, 비대면 진단 및 현장실사 행위를 실시한 경우. 또한, 확인된 리스크에 대한 |  개선계획/개선활동 추진한 경우</t>
        </is>
      </c>
      <c r="P46" s="33" t="inlineStr">
        <is>
          <t>GAP(대응지표 없음)</t>
        </is>
      </c>
      <c r="Q46" s="17" t="inlineStr">
        <is>
          <t>KSSB 공급망 ESG 별도 지표 미규정</t>
        </is>
      </c>
      <c r="R46" s="17" t="inlineStr">
        <is>
          <t>GRI 308, 414</t>
        </is>
      </c>
      <c r="S46" s="17" t="inlineStr">
        <is>
          <t>1_2_0_업종별 K-ESG 가이드라인(v2.0) 진단항목</t>
        </is>
      </c>
      <c r="T46" s="22" t="n"/>
      <c r="U46" s="23" t="n"/>
      <c r="V46" s="23" t="n"/>
      <c r="W46" s="23" t="n"/>
      <c r="X46" s="24">
        <f>IF(T46="","",MAX(1,SUMPRODUCT(('02_점수산정참고표'!$A$2:$A$314=$B46)*('02_점수산정참고표'!$C$2:$C$314=T46)*'02_점수산정참고표'!$E$2:$E$314)))</f>
        <v/>
      </c>
      <c r="Y46" s="18" t="inlineStr">
        <is>
          <t> 조직은 ESG 리스크를 관리할 협력사 범위를 자율적으로 지정할 수 있다. 넓게는 조직의 모든 1차 협력사를 대상으로 ESG 리스크를 관리할 수 있으며, 조직의 전략적 판단 하에 사업운영에 중대한 영향력을 행사하는 핵심 협력사에 대해서만 ESG 리스크를 관리할 수도 있다. 이 때, 핵심 협력사라고 분류할 수 있는 기준에는 다음과 같은 예시가 있으며, 조직은 1개 기준만을 사용하거나, 복수 기준을 사용하여 핵심 협력사를 분류할 수 있다. - 핵심 원부자재 및 서비스를 공급하는 협력사 - 대체불가능한 원부자재 및 서비스를 공급하는 협력사 - 구매 또는 거래금액이 높은 협력사 - 조직에 대한 의존도가 높은 협력사 - 장기간 거래관계에 있는 협력사 - 기타. 조직과 신뢰관계가…</t>
        </is>
      </c>
      <c r="Z46" s="18" t="n"/>
      <c r="AA46" s="25" t="inlineStr">
        <is>
          <t>핵심 협력사 대상 ESG 리스크 진단 및 실사(Audit)/시정조치(CAP)를 관리합니까?</t>
        </is>
      </c>
      <c r="AB46" s="25" t="inlineStr">
        <is>
          <t>단계(1~5)</t>
        </is>
      </c>
    </row>
    <row r="47" ht="91.5" customHeight="1">
      <c r="A47" s="26" t="n">
        <v>46</v>
      </c>
      <c r="B47" s="27" t="inlineStr">
        <is>
          <t>S-6-2</t>
        </is>
      </c>
      <c r="C47" s="28" t="inlineStr">
        <is>
          <t>기본진단항목(v2.0)</t>
        </is>
      </c>
      <c r="D47" s="36" t="inlineStr">
        <is>
          <t>사회</t>
        </is>
      </c>
      <c r="E47" s="28" t="inlineStr">
        <is>
          <t>동반성장</t>
        </is>
      </c>
      <c r="F47" s="28" t="inlineStr">
        <is>
          <t>협력사 ESG 지원</t>
        </is>
      </c>
      <c r="G47" s="28" t="inlineStr">
        <is>
          <t> 조직이 협력사 ESG 관리에 있어 진단-평가-개선으로 이어지는 일련의 프로세스 외, 협력사가 ESG 역량을 갖출 수 있는 지원 방안을 마련하고 있는지 확인  조직이 협력사의 ESG 지원에 대한 의지를 선언하는 것과 함께, 협력사 ESG 지원 전략과 계획이 마련되어 있는지 점검  단, 조직은 협력사 ESG 지원을 위한 별도 전략 및 실행방안을 수립할 수 있으나, 조직의 일반적인 협력사 지원방안 내 ESG 관련 내용을 포함할 수도 있음</t>
        </is>
      </c>
      <c r="H47" s="28" t="inlineStr">
        <is>
          <t>협력사 동반성장/상생협력 추진계획, 협력사 ESG 지원계획</t>
        </is>
      </c>
      <c r="I47" s="28" t="inlineStr">
        <is>
          <t>직전 회계연도</t>
        </is>
      </c>
      <c r="J47" s="27" t="inlineStr">
        <is>
          <t>N/A</t>
        </is>
      </c>
      <c r="K47" s="27" t="inlineStr">
        <is>
          <t>N/A</t>
        </is>
      </c>
      <c r="L47" s="29" t="inlineStr">
        <is>
          <t>선택형</t>
        </is>
      </c>
      <c r="M47" s="26" t="n">
        <v>5</v>
      </c>
      <c r="N47" s="28" t="inlineStr">
        <is>
          <t>선택형: 요건1=0점 / 요건2=25점 / 요건3=50점 / 요건4=75점 / 요건5=100점</t>
        </is>
      </c>
      <c r="O47" s="28" t="inlineStr">
        <is>
          <t>요건1 |  협력사 ESG 지원에 관한 공식적 선언을 하고 있는 경우 |  요건2 |  협력사 ESG 지원 전략방향, 추진영역을 제시하고 있는 경우 |  요건3 |  협력사 ESG 지원 전략방향 및 추진영역별 세부 실행과제를 제시하고 있는 경우 |  요건4 |  협력사 ESG 지원에 관한 성과관리 지표(KPIs)를 제시하고 있는 경우 |  요건5 |  협력사 ESG 지원에 관한 성과관리 지표(KPIs) 달성을 위해 투자재원(예산), 역량투입(인력) 방안을 마련한 경우</t>
        </is>
      </c>
      <c r="P47" s="33" t="inlineStr">
        <is>
          <t>GAP(대응지표 없음)</t>
        </is>
      </c>
      <c r="Q47" s="27" t="inlineStr">
        <is>
          <t>KSSB 공급망 ESG 별도 지표 미규정</t>
        </is>
      </c>
      <c r="R47" s="27" t="inlineStr">
        <is>
          <t>GRI 308, 414</t>
        </is>
      </c>
      <c r="S47" s="27" t="inlineStr">
        <is>
          <t>1_2_0_업종별 K-ESG 가이드라인(v2.0) 진단항목</t>
        </is>
      </c>
      <c r="T47" s="22" t="n"/>
      <c r="U47" s="23" t="n"/>
      <c r="V47" s="23" t="n"/>
      <c r="W47" s="23" t="n"/>
      <c r="X47" s="30">
        <f>IF(T47="","",MAX(1,SUMPRODUCT(('02_점수산정참고표'!$A$2:$A$314=$B47)*('02_점수산정참고표'!$C$2:$C$314=T47)*'02_점수산정참고표'!$E$2:$E$314)))</f>
        <v/>
      </c>
      <c r="Y47" s="28" t="inlineStr">
        <is>
          <t> 협력사 ESG 지원이 구체적이고 체계적으로 추진되기 위해서는, 우선적으로 조직의 협력사 ESG 지원 계획이 수립되어야 한다. 협력사 ESG 지원 계획에는 1) 전략적 방향, 2) 전략방향 달성을 위한 세부 추진과제, 3) 세부 추진과제 이행현황을 점검할 수 있는 성과관리 지표가 포함될 수 있다. - 전략 방향 : ‘협력사 ESG 지원 전략 방향’은 조직의 ESG 미션/비전/목표와 연동될 수 있으며, 조직의 공급망 관리 전략과도 연동될 수 있다. 이는 협력사 ESG 지원에 있어 무엇이 가장 중요한 핵심인가를 나타내는 것이다. - 세부 추진과제 : ‘협력사 ESG 지원 세부 추진과제’는 전략 방향을 달성하기 위해 실제 이행해야 할 활동이다. 해당 활동은 설비/장치 등을…</t>
        </is>
      </c>
      <c r="Z47" s="28" t="n"/>
      <c r="AA47" s="25" t="inlineStr">
        <is>
          <t>협력사 ESG 역량 강화를 위한 전략방향, 세부과제, KPIs/재원을 투입합니까?</t>
        </is>
      </c>
      <c r="AB47" s="25" t="inlineStr">
        <is>
          <t>단계(1~5)</t>
        </is>
      </c>
    </row>
    <row r="48" ht="91.5" customHeight="1">
      <c r="A48" s="16" t="n">
        <v>47</v>
      </c>
      <c r="B48" s="17" t="inlineStr">
        <is>
          <t>S-6-3</t>
        </is>
      </c>
      <c r="C48" s="18" t="inlineStr">
        <is>
          <t>기본진단항목(v2.0)</t>
        </is>
      </c>
      <c r="D48" s="36" t="inlineStr">
        <is>
          <t>사회</t>
        </is>
      </c>
      <c r="E48" s="18" t="inlineStr">
        <is>
          <t>동반성장</t>
        </is>
      </c>
      <c r="F48" s="18" t="inlineStr">
        <is>
          <t>협력사 ESG 협약사항</t>
        </is>
      </c>
      <c r="G48" s="18" t="inlineStr">
        <is>
          <t> 조직이 협력사 ESG 지원을 상생 및 동반성장에 필요한 핵심요소이자, 사회적 책무로 인식하고 있으며, 이를 위해 중장기적으로 협력사의 성장과 혁신에 필요한 지원을 다각적으로 추진하고 있는지 확인  조직이 중장기적으로 안정적이고 지속가능한 협력사 ESG 지원 의지가 있는지 확인할 수 있는 항목으로써, 협력사와 체결한 협약사항을 점검</t>
        </is>
      </c>
      <c r="H48" s="18" t="inlineStr">
        <is>
          <t>협력사 ESG 지원 협약사항</t>
        </is>
      </c>
      <c r="I48" s="18" t="inlineStr">
        <is>
          <t>직전 회계연도</t>
        </is>
      </c>
      <c r="J48" s="18" t="inlineStr">
        <is>
          <t>국내 및 해외 사업장</t>
        </is>
      </c>
      <c r="K48" s="17" t="inlineStr">
        <is>
          <t>N/A</t>
        </is>
      </c>
      <c r="L48" s="20" t="inlineStr">
        <is>
          <t>선택형</t>
        </is>
      </c>
      <c r="M48" s="16" t="n">
        <v>5</v>
      </c>
      <c r="N48" s="18" t="inlineStr">
        <is>
          <t>선택형: 요건1=0점 / 요건2=25점 / 요건3=50점 / 요건4=75점 / 요건5=100점</t>
        </is>
      </c>
      <c r="O48" s="18" t="inlineStr">
        <is>
          <t>요건 1 |  협력사의 ESG 추진에 필요한 교육 운영 지원 협약 체결 |  요건 2 |  협력사의 ESG 추진에 필요한 기술 및 R&amp;D 지원 협약 체결 |  요건 3 |  협력사의 ESG 추진에 필요한 금융 및 자금 지원 협약 체결 |  요건 4 |  협력사의 ESG 추진에 필요한 인허가 획득 지원 협약 체결 |  요건 5 |  협력사의 ESG 추진에 필요한 설비/장치 도입 지원 협약 체결</t>
        </is>
      </c>
      <c r="P48" s="33" t="inlineStr">
        <is>
          <t>GAP(대응지표 없음)</t>
        </is>
      </c>
      <c r="Q48" s="17" t="inlineStr">
        <is>
          <t>KSSB 공급망 ESG 별도 지표 미규정</t>
        </is>
      </c>
      <c r="R48" s="17" t="inlineStr">
        <is>
          <t>GRI 308, 414</t>
        </is>
      </c>
      <c r="S48" s="17" t="inlineStr">
        <is>
          <t>1_2_0_업종별 K-ESG 가이드라인(v2.0) 진단항목</t>
        </is>
      </c>
      <c r="T48" s="22" t="n"/>
      <c r="U48" s="23" t="n"/>
      <c r="V48" s="23" t="n"/>
      <c r="W48" s="23" t="n"/>
      <c r="X48" s="24">
        <f>IF(T48="","",MAX(1,SUMPRODUCT(('02_점수산정참고표'!$A$2:$A$314=$B48)*('02_점수산정참고표'!$C$2:$C$314=T48)*'02_점수산정참고표'!$E$2:$E$314)))</f>
        <v/>
      </c>
      <c r="Y48" s="18" t="inlineStr">
        <is>
          <t> 협력사 ESG 협약의 경우 조직이 지속가능한 공급망 조성을 위한 협력사의 ESG 경영 인식 개선 및 역량 강화, 수출기업화 촉진 등을 위해 예산 인력이 부족한 협력기업을 대상으로 하는 ESG 대응역량 제고 프로그램을 통칭하며, 주요한 분류는 아래와 같다. 1) 교육지원 : ESG 관련 품질관리, 안전보건, 외국어 교육, 직무 및 정보화역량 강화 교육, 직업능력개발 지원 등 2) 기술지원 : ESG 관련 특허개방, 공동 기술개발, 기술자료 임치 지원 및 기술보호 등 3) 금융지원 : ESG 관련 성과개선 인센티브 지급, 상생펀드 운영, 납품단가연동제 도입 현황 등 4) 인허가 지원 : ESG 관련 각종 대내외 인증서 취득, 검증의견서 발행에 필요한 제반업무 등 5)…</t>
        </is>
      </c>
      <c r="Z48" s="18" t="n"/>
      <c r="AA48" s="25" t="inlineStr">
        <is>
          <t>협력사와 교육, R&amp;D, 금융, 친환경 설비 등을 지원하는 협약을 체결했습니까?</t>
        </is>
      </c>
      <c r="AB48" s="25" t="inlineStr">
        <is>
          <t>단계(1~5)</t>
        </is>
      </c>
    </row>
    <row r="49" ht="91.5" customHeight="1">
      <c r="A49" s="26" t="n">
        <v>48</v>
      </c>
      <c r="B49" s="27" t="inlineStr">
        <is>
          <t>S-7-1</t>
        </is>
      </c>
      <c r="C49" s="28" t="inlineStr">
        <is>
          <t>기본진단항목(v2.0)</t>
        </is>
      </c>
      <c r="D49" s="36" t="inlineStr">
        <is>
          <t>사회</t>
        </is>
      </c>
      <c r="E49" s="28" t="inlineStr">
        <is>
          <t>지역사회</t>
        </is>
      </c>
      <c r="F49" s="28" t="inlineStr">
        <is>
          <t>전략적 사회공헌</t>
        </is>
      </c>
      <c r="G49" s="28" t="inlineStr">
        <is>
          <t> 조직이 지역사회로부터 사업을 운영할 권리(License to Operate)를 획득함과 동시에, 지역사회 일원으로서 공동의 환경/사회 문제 해결에 필요한 활동에 앞장서는 등 전략적 사회공헌을 추진하고 있는지 확인  조직이 사업적 필요와 사회적 기대를 충분히 고려한 사회공헌 추진방향을 수립하고 있으며, 해당 방향에 따라 사회공헌 프로그램이 운영되고 있는지 점검</t>
        </is>
      </c>
      <c r="H49" s="28" t="inlineStr">
        <is>
          <t>사회공헌 전략, 사회공헌 분야/영역, 사회공헌 성과지표</t>
        </is>
      </c>
      <c r="I49" s="28" t="inlineStr">
        <is>
          <t>직전 회계연도</t>
        </is>
      </c>
      <c r="J49" s="28" t="inlineStr">
        <is>
          <t>국내 및 해외 사업장</t>
        </is>
      </c>
      <c r="K49" s="27" t="inlineStr">
        <is>
          <t>N/A</t>
        </is>
      </c>
      <c r="L49" s="29" t="inlineStr">
        <is>
          <t>선택형</t>
        </is>
      </c>
      <c r="M49" s="26" t="n">
        <v>5</v>
      </c>
      <c r="N49" s="28" t="inlineStr">
        <is>
          <t>선택형: 요건1=0점 / 요건2=25점 / 요건3=50점 / 요건4=75점 / 요건5=100점</t>
        </is>
      </c>
      <c r="O49" s="28" t="inlineStr">
        <is>
          <t>요건1 |  조직의 사회공헌을 대표할 수 있으며, 대사회적 메시지로써 활용되는 사회공헌 비전, 미션, 또는 슬로건이 있는 경우 |  요건2 |  조직의 사회공헌 비전, 미션, 또는 슬로건을 달성하기 위한 사회공헌 추진 분야/영역을 제시하고 있는 경우 |  요건3 |  조직의 사회공헌 추진 분야/영역별 대표 프로그램을 제시하고 있는 경우 |  요건4 |  조직의 사회공헌 대표 프로그램별 중장기 실행계획을 마련하고 있는 경우 |  요건5 |  조직의 대표 사회공헌 프로그램이 사업적 또는 사회적으로 기여하는 성과를 측정할 수 있는 성과관리 지표(KPIs)가 있는 경우</t>
        </is>
      </c>
      <c r="P49" s="33" t="inlineStr">
        <is>
          <t>GAP(대응지표 없음)</t>
        </is>
      </c>
      <c r="Q49" s="27" t="inlineStr">
        <is>
          <t>KSSB 지역사회 지표 미규정</t>
        </is>
      </c>
      <c r="R49" s="27" t="inlineStr">
        <is>
          <t>GRI 413-1</t>
        </is>
      </c>
      <c r="S49" s="27" t="inlineStr">
        <is>
          <t>1_2_0_업종별 K-ESG 가이드라인(v2.0) 진단항목</t>
        </is>
      </c>
      <c r="T49" s="22" t="n"/>
      <c r="U49" s="23" t="n"/>
      <c r="V49" s="23" t="n"/>
      <c r="W49" s="23" t="n"/>
      <c r="X49" s="30">
        <f>IF(T49="","",MAX(1,SUMPRODUCT(('02_점수산정참고표'!$A$2:$A$314=$B49)*('02_점수산정참고표'!$C$2:$C$314=T49)*'02_점수산정참고표'!$E$2:$E$314)))</f>
        <v/>
      </c>
      <c r="Y49" s="28" t="inlineStr">
        <is>
          <t> 조직은 특정한 목적과 방향성을 가지고 사회공헌을 추진할 수 있으며, 해당 목적과 방향성을 달성하기 위한 방안이 구체화된 것을 사회공헌 전략이라고 한다. 일반적으로 사회공헌 전략에 포함되는 내용은 사회공헌 비전 및 슬로건, 중점 추진분야, 사회공헌 사업 전략, 특정 기간 동안의 사업추진 로드맵, 세부 실행계획 그리고 이러한 전략을 통해 달성하고자 하는 사회공헌 사업 목표 및 KPIs, 성과평가 및 홍보계획, 예산계획 등이 포함될 수 있다.  조직의 사회공헌 비전, 미션 등은 조직의 사업 특성을 고려하여 설정될 필요가 있다. 사업 특성이란 사업운영 방식, 고객 관계 및 형태(B2C, B2B), 제품과 서비스의 본질적 특징 등이 포함될 수 있으며, 조직은 사회공헌을 통해…</t>
        </is>
      </c>
      <c r="Z49" s="28" t="n"/>
      <c r="AA49" s="25" t="inlineStr">
        <is>
          <t>기업 핵심역량과 연계된 대표 사회공헌 로드맵 및 KPI를 운영 중입니까?</t>
        </is>
      </c>
      <c r="AB49" s="25" t="inlineStr">
        <is>
          <t>단계(1~5)</t>
        </is>
      </c>
    </row>
    <row r="50" ht="91.5" customHeight="1">
      <c r="A50" s="16" t="n">
        <v>49</v>
      </c>
      <c r="B50" s="17" t="inlineStr">
        <is>
          <t>S-7-2</t>
        </is>
      </c>
      <c r="C50" s="18" t="inlineStr">
        <is>
          <t>기본진단항목(v2.0)</t>
        </is>
      </c>
      <c r="D50" s="36" t="inlineStr">
        <is>
          <t>사회</t>
        </is>
      </c>
      <c r="E50" s="18" t="inlineStr">
        <is>
          <t>지역사회</t>
        </is>
      </c>
      <c r="F50" s="18" t="inlineStr">
        <is>
          <t>구성원 봉사참여</t>
        </is>
      </c>
      <c r="G50" s="18" t="inlineStr">
        <is>
          <t> 조직이 봉사활동 프로그램을 기획하여 구성원에게 참여를 강제하는 방식에서 벗어나, 봉사활동 참여 의지가 있는 구성원의 니즈를 충족시켜주기 위해 조직이 기여하는 수준을 확인  구성원의 자율적 봉사활동을 지원하는 인센티브 제도를 운영하고 있는지 점검 (다양한 형태의 봉사활동 참여 인센티브 제도가 운영되고 있는지 확인)</t>
        </is>
      </c>
      <c r="H50" s="18" t="inlineStr">
        <is>
          <t>봉사활동 참여 인센티브 제도를 다각적으로 운영하고 있는지 측정 1) 구성원 KPIs 내 봉사활동 반영, 2) 봉사활동 참여 유급휴가, 3) 봉사활동 참여 비용 지원, 4) 우수 봉사활동 참여자 금전적 포상, 5) 우수 봉사활동 참여자 표창, 6) 자율봉사자 대상 네트워킹 모임 지원, 7) 자원봉사처 연계, 8) 기타</t>
        </is>
      </c>
      <c r="I50" s="18" t="inlineStr">
        <is>
          <t>직전 회계연도</t>
        </is>
      </c>
      <c r="J50" s="18" t="inlineStr">
        <is>
          <t>국내 및 해외 사업장</t>
        </is>
      </c>
      <c r="K50" s="17" t="inlineStr">
        <is>
          <t>N/A</t>
        </is>
      </c>
      <c r="L50" s="20" t="inlineStr">
        <is>
          <t>단계형</t>
        </is>
      </c>
      <c r="M50" s="16" t="n">
        <v>5</v>
      </c>
      <c r="N50" s="18" t="inlineStr">
        <is>
          <t>단계형: 1단계=0점 / 2단계=25점 / 3단계=50점 / 4단계=75점 / 5단계=100점</t>
        </is>
      </c>
      <c r="O50" s="17" t="inlineStr">
        <is>
          <t>1단계 |  봉사활동 참여 인센티브 제도가 없는 경우 |  2단계 |  현재, 봉사활동 참여자에 대한 인센티브 제도가 없으나, 향후, 봉사활동 참여 인센티브 제도 도입계획이 수립된 경우 |  3단계 |  상기 봉사활동 참여 인센티브 제도 중 1개를 도입하고 있는 경우 |  4단계 |  상기 봉사활동 참여 인센티브 제도 중 2개를 도입하고 있는 경우 |  5단계 |  상기 봉사활동 참여 인센티브 제도 중 3개 이상을 도입하고 있는 경우</t>
        </is>
      </c>
      <c r="P50" s="33" t="inlineStr">
        <is>
          <t>GAP(대응지표 없음)</t>
        </is>
      </c>
      <c r="Q50" s="17" t="inlineStr">
        <is>
          <t>KSSB 지역사회 지표 미규정</t>
        </is>
      </c>
      <c r="R50" s="17" t="inlineStr">
        <is>
          <t>GRI 413-1</t>
        </is>
      </c>
      <c r="S50" s="17" t="inlineStr">
        <is>
          <t>1_2_0_업종별 K-ESG 가이드라인(v2.0) 진단항목</t>
        </is>
      </c>
      <c r="T50" s="22" t="n"/>
      <c r="U50" s="23" t="n"/>
      <c r="V50" s="23" t="n"/>
      <c r="W50" s="23" t="n"/>
      <c r="X50" s="24">
        <f>IF(T50="","",MAX(1,SUMPRODUCT(('02_점수산정참고표'!$A$2:$A$314=$B50)*('02_점수산정참고표'!$C$2:$C$314=T50)*'02_점수산정참고표'!$E$2:$E$314)))</f>
        <v/>
      </c>
      <c r="Y50" s="18" t="inlineStr">
        <is>
          <t> 조직의 업무 생산성 향상에 대한 관심, 구성원의 자기결정권 주장, 사회봉사 프로그램의 확대 등에 따라, 조직이 봉사활동 프로그램을 기획하고 구성원의 참여를 강제화하는 방식에서 벗어나, 조직이 봉사활동 참여 의지가 있는 구성원에게 자율 봉사활동을 할 수 있는 기회를 제공하는 방식으로 접근할 필요가 있다. 이를 위해, 조직은 자원봉사의 본질적인 가치를 훼손하지 않는 범위의 ‘금전적, 비금전적, 또는 이에 상응하는 기타의 인센티브’ 제도를 통해 봉사활동에 참여하고자 하는 구성원의 니즈를 충족시킬 수 있다.  조직은 구성원에게 봉사활동 참여를 위한 동기부여를 자극하고 적극적인 봉사활동 참여를 증진시킬 수 있는 조직 분위기를 만들 수 있다. 봉사활동 참여를 희망하는…</t>
        </is>
      </c>
      <c r="Z50" s="18" t="n"/>
      <c r="AA50" s="25" t="inlineStr">
        <is>
          <t>구성원의 자율적 봉사 장려를 위한 유급휴가, 비용지원, 포상 인센티브를 제공합니까?</t>
        </is>
      </c>
      <c r="AB50" s="25" t="inlineStr">
        <is>
          <t>단계(1~5)</t>
        </is>
      </c>
    </row>
    <row r="51" ht="91.5" customHeight="1">
      <c r="A51" s="26" t="n">
        <v>50</v>
      </c>
      <c r="B51" s="27" t="inlineStr">
        <is>
          <t>S-8-1</t>
        </is>
      </c>
      <c r="C51" s="28" t="inlineStr">
        <is>
          <t>기본진단항목(v2.0)</t>
        </is>
      </c>
      <c r="D51" s="36" t="inlineStr">
        <is>
          <t>사회</t>
        </is>
      </c>
      <c r="E51" s="28" t="inlineStr">
        <is>
          <t>정보보호</t>
        </is>
      </c>
      <c r="F51" s="28" t="inlineStr">
        <is>
          <t>정보보호 시스템 구축</t>
        </is>
      </c>
      <c r="G51" s="28" t="inlineStr">
        <is>
          <t> 조직이 보유하고 있는 정보통신망 및 기타 정보자산 등의 안정성 이슈가 강조되고 있음. 이에 따라, 정보자산 해킹, 네트워크 침입 등의 외부 공격과, 물리적/인적 오류로 인해 발생하는 장애에 대응할 수 있는 체계를 갖추고 있는지 확인  정보보호 최고책임자(CISO) 선임, 정보보호 시스템 인증, 모의해킹 등 취약성 분석, 정보보호 공시 이행(의무 또는 자율), 정보 보호 시스템 사고에 대비하기 위한 보험가입 여부 등을 점검</t>
        </is>
      </c>
      <c r="H51" s="28" t="inlineStr">
        <is>
          <t>정보보호 시스템 관리규정, 정보보호 추진 계획 및 결과, 정보보호 공시 내역</t>
        </is>
      </c>
      <c r="I51" s="28" t="inlineStr">
        <is>
          <t>직전 회계연도</t>
        </is>
      </c>
      <c r="J51" s="27" t="inlineStr">
        <is>
          <t>N/A</t>
        </is>
      </c>
      <c r="K51" s="27" t="inlineStr">
        <is>
          <t>N/A</t>
        </is>
      </c>
      <c r="L51" s="29" t="inlineStr">
        <is>
          <t>선택형</t>
        </is>
      </c>
      <c r="M51" s="26" t="n">
        <v>5</v>
      </c>
      <c r="N51" s="28" t="inlineStr">
        <is>
          <t>선택형: 요건1=0점 / 요건2=25점 / 요건3=50점 / 요건4=75점 / 요건5=100점</t>
        </is>
      </c>
      <c r="O51" s="28" t="inlineStr">
        <is>
          <t>요건1 |  등기임원이나 미등기임원(또는 이에 준하는 관리자급 구성원)을 정보보호 최고책임자(CISO)로 선임하고 있는 경우 |  요건2 |  정보보호 시스템의 안정성에 대해 제3자(또는 규제기관)의 인증을 획득하고 있는 경우 |  요건3 |  모의해킹 등 외부공격에 대한 취약성 분석을 실시하고 있는 경우 |  요건4 |  정보보호 공시(의무 또는 자율)사항을 이행하고 있는 경우 |  요건5 |  정보보호 시스템의 손상 또는 외부공격 등 정보보안 관련 사고에 대비하기 위한 보험에 가입하고 있는 경우</t>
        </is>
      </c>
      <c r="P51" s="33" t="inlineStr">
        <is>
          <t>GAP(대응지표 없음)</t>
        </is>
      </c>
      <c r="Q51" s="27" t="inlineStr">
        <is>
          <t>KSSB 정보보호 지표 미규정</t>
        </is>
      </c>
      <c r="R51" s="27" t="inlineStr">
        <is>
          <t>GRI 418-1, ISMS-P</t>
        </is>
      </c>
      <c r="S51" s="27" t="inlineStr">
        <is>
          <t>1_2_0_업종별 K-ESG 가이드라인(v2.0) 진단항목</t>
        </is>
      </c>
      <c r="T51" s="22" t="n"/>
      <c r="U51" s="23" t="n"/>
      <c r="V51" s="23" t="n"/>
      <c r="W51" s="23" t="n"/>
      <c r="X51" s="30">
        <f>IF(T51="","",MAX(1,SUMPRODUCT(('02_점수산정참고표'!$A$2:$A$314=$B51)*('02_점수산정참고표'!$C$2:$C$314=T51)*'02_점수산정참고표'!$E$2:$E$314)))</f>
        <v/>
      </c>
      <c r="Y51" s="28" t="inlineStr">
        <is>
          <t> 정보보호 시스템이란 정보의 수집, 가공, 저장, 검색, 송신, 수신 중에 발생할 수 있는 정보의 훼손, 변도, 유출 등을 방지 및 복구하거나, 또는 암호, 인증, 인식, 감시 등의 보안기술을 활용하여 재난, 재해, 범죄 등에 대응하거나, 관련 장비, 시설을 안전하게 운영하기 위한 관리적/기술적/물리적 수단을 의미한다.  정보보호 시스템을 안전하게 운영하기 위한 관리적/기술적/물리적 수단이 있다. 이 중 정보보안 설비/장치에 대한 기술적(암호기술, 접근통제, 백업체제 등), 물리적(출입통제, 시건장치, 장비고도화 등) 수단에는 다양한 형태와 방식이 있기 때문에, 본 ‘정보보호 시스템 구축’ 항목 정의서에서는 정보보호를 위한 관리적 수단(정보보호 계획의 수립 및…</t>
        </is>
      </c>
      <c r="Z51" s="28" t="n"/>
      <c r="AA51" s="25" t="inlineStr">
        <is>
          <t>최고책임자(CISO) 임명, ISMS/ISO27001 인증, 배상보험 등을 갖추었습니까?</t>
        </is>
      </c>
      <c r="AB51" s="25" t="inlineStr">
        <is>
          <t>단계(1~5)</t>
        </is>
      </c>
    </row>
    <row r="52" ht="91.5" customHeight="1">
      <c r="A52" s="16" t="n">
        <v>51</v>
      </c>
      <c r="B52" s="17" t="inlineStr">
        <is>
          <t>S-8-2</t>
        </is>
      </c>
      <c r="C52" s="18" t="inlineStr">
        <is>
          <t>기본진단항목(v2.0)</t>
        </is>
      </c>
      <c r="D52" s="36" t="inlineStr">
        <is>
          <t>사회</t>
        </is>
      </c>
      <c r="E52" s="18" t="inlineStr">
        <is>
          <t>정보보호</t>
        </is>
      </c>
      <c r="F52" s="18" t="inlineStr">
        <is>
          <t>개인정보 침해 및 구제</t>
        </is>
      </c>
      <c r="G52" s="18" t="inlineStr">
        <is>
          <t> 조직이 관리하고 있는 고객, 협력사 등 다양한 이해관계자의 개인정보 침해에 대한 법/규제 요건을 명확하게 인식하고, 개인정보 침해 사건이 발생하였을 경우 이에 대한 구제 활동 체계를 갖추고, 활동을 수행하고 있는지 확인  정보보호법상 형벌, 행정상 처분(금전적, 비금전적)에 대해 가중치를 달리 적용하는 방식으로 ‘개인정보 침해 및 구제’ 현황을 점검</t>
        </is>
      </c>
      <c r="H52" s="18" t="inlineStr">
        <is>
          <t>‘전자공시시스템’ 上 사업보고서, ‘조직별 홈페이지’ 上 지속가능경영보고서</t>
        </is>
      </c>
      <c r="I52" s="18" t="inlineStr">
        <is>
          <t>최근 4개 회계연도</t>
        </is>
      </c>
      <c r="J52" s="18" t="inlineStr">
        <is>
          <t>국내 및 해외 사업장</t>
        </is>
      </c>
      <c r="K52" s="18" t="inlineStr">
        <is>
          <t>총 개인정보 보호 관련 법/규제 위반 감점 = ∑(개인정보 법/규제 위반 건 * 처벌수위별 감점 기준)</t>
        </is>
      </c>
      <c r="L52" s="20" t="inlineStr">
        <is>
          <t>감점형</t>
        </is>
      </c>
      <c r="M52" s="16" t="n">
        <v>3</v>
      </c>
      <c r="N52" s="18" t="inlineStr">
        <is>
          <t>감점형: 기준 100점에서 위반유형별(-50/-30/-10점) 차감(중복 적용 가능), 최저 0점</t>
        </is>
      </c>
      <c r="O52" s="18" t="inlineStr">
        <is>
          <t>유형 1 |  지난 4개년 간 개인정보 보호 관련 법/규제 위반내역 중 처분이 확정된 건수에 대해 처벌수위가 사법상 형벌, 벌금, 과료인 경우, |  또는 국가를 당사자로 하는 계약에서 입찰참가자격을 제한당한 경우 |  유형 2 |  지난 4개년 간 개인정보 보호 관련 법/규제 위반내역 중 처분이 확정된 건수에 대해 처벌수위가 행정상 처분 중 금전적 처분에 |  해당하는 과태료, 과징금, 이행강제금 등인 경우 |  유형 3 |  지난 4개년 간 개인정보 보호 관련 법/규제 위반내역 중 처분이 확정된 건수에 대해 처벌수위가 행정상 처분 중 비금전적 처분에 |  해당하는 시정명령, 시정권고, 경고 등인 경우 |  * 감점 사항이 없을 경우, 본 항목의 점수는 100점으로 산정. 최저점은 0점으로 제한</t>
        </is>
      </c>
      <c r="P52" s="33" t="inlineStr">
        <is>
          <t>GAP(대응지표 없음)</t>
        </is>
      </c>
      <c r="Q52" s="17" t="inlineStr">
        <is>
          <t>KSSB 정보보호 지표 미규정</t>
        </is>
      </c>
      <c r="R52" s="17" t="inlineStr">
        <is>
          <t>GRI 418-1</t>
        </is>
      </c>
      <c r="S52" s="17" t="inlineStr">
        <is>
          <t>1_2_0_업종별 K-ESG 가이드라인(v2.0) 진단항목</t>
        </is>
      </c>
      <c r="T52" s="34" t="inlineStr">
        <is>
          <t>해당없음(감점형)</t>
        </is>
      </c>
      <c r="U52" s="22" t="n">
        <v>0</v>
      </c>
      <c r="V52" s="22" t="n">
        <v>0</v>
      </c>
      <c r="W52" s="22" t="n">
        <v>0</v>
      </c>
      <c r="X52" s="24">
        <f>MAX(1,100-(N(U52)*50+N(V52)*30+N(W52)*10))</f>
        <v/>
      </c>
      <c r="Y52" s="18" t="inlineStr">
        <is>
          <t> ｢개인정보 보호법｣에 따르면 개인정보의 범위는 개인에 관한 정보로서 다음 명시된 정보를 포함한다. - ① 성명, 주민등록번호 및 영상 등을 통하여 개인을 알아볼 수 있는 정보 - ② 해당 정보만으로는 특정 개인을 알아볼 수 없더라도 다른 정보와 쉽게 결합하여 알아볼 수 있는 정보 - ①또는 ②를 가명 처리함으로써 원래의 상태로 복원하기 위한 추가 정보의 사용ㆍ결합 없이는 특정 개인을 알아볼 수 없는 정보(가명정보)  조직은 확정판결된 개인정보 침해 관련 법/규제 위반 건수 및 처벌수위를 기준으로 성과를 점검할 수 있으며, 이 외에도 조직에 심각한 비용 손실을 야기하는 대규모 벌금, 과태료, 과징금이 부과된(ex. 벌금액이 영업이익의 1% 이상인 경우) 개인정보…</t>
        </is>
      </c>
      <c r="Z52" s="18" t="n"/>
      <c r="AA52" s="25" t="inlineStr">
        <is>
          <t>개인정보 침해 및 구제에 대한 현황을 관리·공시하고 있습니까?</t>
        </is>
      </c>
      <c r="AB52" s="25" t="inlineStr">
        <is>
          <t>단계(1~5)</t>
        </is>
      </c>
    </row>
    <row r="53" ht="91.5" customHeight="1">
      <c r="A53" s="26" t="n">
        <v>52</v>
      </c>
      <c r="B53" s="27" t="inlineStr">
        <is>
          <t>S-9-1</t>
        </is>
      </c>
      <c r="C53" s="28" t="inlineStr">
        <is>
          <t>기본진단항목(v2.0)</t>
        </is>
      </c>
      <c r="D53" s="36" t="inlineStr">
        <is>
          <t>사회</t>
        </is>
      </c>
      <c r="E53" s="28" t="inlineStr">
        <is>
          <t>사회 법/규제 위반</t>
        </is>
      </c>
      <c r="F53" s="28" t="inlineStr">
        <is>
          <t>사회 법/규제 위반</t>
        </is>
      </c>
      <c r="G53" s="28" t="inlineStr">
        <is>
          <t> 조직이 재화와 용역을 제공하는 과정에서 준수해야 할 법/규제 요건을 명확하게 인식하고, 법/규제 리스크 해결을 위한 사회 영역의 투자/유지/보수 활동을 추진하고 있는지 확인  사회영역 관련 법/규제 위반 건 중 조직의 재무구조 및 명성관리에 상당한 영향력을 미치는 사법상 형벌, 행정상 처분(금전적, 비금전적)에 대해 가중치를 달리 적용하는 방식으로 점검</t>
        </is>
      </c>
      <c r="H53" s="28" t="inlineStr">
        <is>
          <t>‘전자공시시스템’ 上 사업보고서, ‘조직별 홈페이지’ 上 지속가능경영보고서</t>
        </is>
      </c>
      <c r="I53" s="28" t="inlineStr">
        <is>
          <t>최근 4개 회계연도</t>
        </is>
      </c>
      <c r="J53" s="28" t="inlineStr">
        <is>
          <t>국내 및 해외 사업장</t>
        </is>
      </c>
      <c r="K53" s="28" t="inlineStr">
        <is>
          <t>총 사회 관련 법/규제 위반 감점 = ∑(사회 법/규제 위반 건 * 처벌수위별 감점 기준)</t>
        </is>
      </c>
      <c r="L53" s="29" t="inlineStr">
        <is>
          <t>감점형</t>
        </is>
      </c>
      <c r="M53" s="26" t="n">
        <v>3</v>
      </c>
      <c r="N53" s="28" t="inlineStr">
        <is>
          <t>감점형: 기준 100점에서 위반유형별(-50/-30/-10점) 차감(중복 적용 가능), 최저 0점</t>
        </is>
      </c>
      <c r="O53" s="28" t="inlineStr">
        <is>
          <t>유형 1 |  지난 4개년 간 사회 관련 법/규제 위반내역 중 처분이 확정된 건수에 대해, 처벌수위가 사법상 형벌, 벌금, 과료인 경우, |  또는 국가 또는 지방자치단체를 당사자로 하는 계약에서 입찰참가자격을 제한당한 경우 |  유형 2 |  지난 4개년 간 사회 관련 법/규제 위반내역 중 처분이 확정된 건수에 대해, 처벌수위가 행정상 처분 중 금전적 처분에 해당하는 |  과태료, 과징금, 이행강제금 등인 경우 |  유형 3 |  지난 4개년 간 사회 관련 법/규제 위반내역 중 처분이 확정된 건수에 대해, 처벌수위가 행정상 처분 중 비금전적 처분에 해당하는 |  시정명령, 시정권고, 경고 등인 경우 |  * 감점 사항이 없을 경우, 본 항목의 점수는 100점으로 산정. 최저점은 0점으로 제한</t>
        </is>
      </c>
      <c r="P53" s="21" t="inlineStr">
        <is>
          <t>부분대응</t>
        </is>
      </c>
      <c r="Q53" s="27" t="inlineStr">
        <is>
          <t>KSSB 제1호 위험관리 원칙 준용</t>
        </is>
      </c>
      <c r="R53" s="27" t="inlineStr">
        <is>
          <t>GRI 2-27</t>
        </is>
      </c>
      <c r="S53" s="27" t="inlineStr">
        <is>
          <t>1_2_0_업종별 K-ESG 가이드라인(v2.0) 진단항목</t>
        </is>
      </c>
      <c r="T53" s="34" t="inlineStr">
        <is>
          <t>해당없음(감점형)</t>
        </is>
      </c>
      <c r="U53" s="22" t="n">
        <v>0</v>
      </c>
      <c r="V53" s="22" t="n">
        <v>0</v>
      </c>
      <c r="W53" s="22" t="n">
        <v>0</v>
      </c>
      <c r="X53" s="30">
        <f>MAX(1,100-(N(U53)*50+N(V53)*30+N(W53)*10))</f>
        <v/>
      </c>
      <c r="Y53" s="28" t="inlineStr">
        <is>
          <t> 사회 법/규제 위반은 ｢근로기준법｣, ｢고용상 연령차별금지 및 고령자고용촉진에 관한 법률｣, ｢산업안전보건법｣, ｢중대재해 처벌 등에 관한 법률｣, ｢소비자보호법｣, ｢전자상거래 등에서의 소비자보호에 관한 법률｣, ｢하도급거래 공정화에 관한 법률｣, ｢가맹사업거래의 공정화에 관한 법률｣, ｢가대규모유통업에서의 거래 공정화에 관한 법률｣ 등 사회 영역에서 포함하는 범주(노동, 인권, 안전보건, 정보보호, 공정거래, 고객가치 등)의 관련 법/규제 사항들이 금지하는 행동들을 위반하는 행위를 의미한다.  사회 법/규제 위반에 따른 처벌수위는 아래 언급하는 다양한 사회 영역 내 범주에서 참고하는 개별 사회 분야 법/규제를 통해 확인할 수 있다. - ｢근로기준법｣, ｢고용상…</t>
        </is>
      </c>
      <c r="Z53" s="28" t="n"/>
      <c r="AA53" s="25" t="inlineStr">
        <is>
          <t>근로/안전/공정거래/소비자보호 관련 법 위반 처분 내역이 있습니까?</t>
        </is>
      </c>
      <c r="AB53" s="25" t="inlineStr">
        <is>
          <t>단계(1~5)</t>
        </is>
      </c>
    </row>
    <row r="54" ht="91.5" customHeight="1">
      <c r="A54" s="16" t="n">
        <v>53</v>
      </c>
      <c r="B54" s="17" t="inlineStr">
        <is>
          <t>G-1-1</t>
        </is>
      </c>
      <c r="C54" s="18" t="inlineStr">
        <is>
          <t>기본진단항목(v2.0)</t>
        </is>
      </c>
      <c r="D54" s="37" t="inlineStr">
        <is>
          <t>지배구조</t>
        </is>
      </c>
      <c r="E54" s="18" t="inlineStr">
        <is>
          <t>이사회 구성</t>
        </is>
      </c>
      <c r="F54" s="18" t="inlineStr">
        <is>
          <t>이사회 내 ESG 안건 상정</t>
        </is>
      </c>
      <c r="G54" s="18" t="inlineStr">
        <is>
          <t> 조직의 최고의사결정기구인 이사회 또는 산하 위원회가 ESG 관련 안건을 보고받고 있으며, 특히 중대한 ESG 안건에 대해서는 심의/의결하고 있는지 확인  이사회 또는 산하 위원회를 통해 조직의 ESG 경영이 효율적으로 관리 및 감독되고 있는지 점검하기 위해 1) 활동내역, 2) 운영 규정의 2가지를 점검  조직은 ESG 안건을 다루기 위해 이사회 산하에 ‘지속가능경영위원회(ESG위원회)’를 설립할 수 있으나, 이사회, 또는 기존의 산하 위원회(사회책임위원회, 투명경영위원회, 거버넌스위원회, 경영위원회, 감사위원회 등)를 통해서도 ESG 안건을 다룰 수 있음</t>
        </is>
      </c>
      <c r="H54" s="18" t="inlineStr">
        <is>
          <t>이사회 또는 산하 위원회 개최 내역, 이사회 또는 산하 위원회 운영규정</t>
        </is>
      </c>
      <c r="I54" s="18" t="inlineStr">
        <is>
          <t>직전 회계연도</t>
        </is>
      </c>
      <c r="J54" s="17" t="inlineStr">
        <is>
          <t>N/A</t>
        </is>
      </c>
      <c r="K54" s="17" t="inlineStr">
        <is>
          <t>N/A</t>
        </is>
      </c>
      <c r="L54" s="20" t="inlineStr">
        <is>
          <t>복합가중형</t>
        </is>
      </c>
      <c r="M54" s="16" t="n"/>
      <c r="N54" s="18" t="inlineStr">
        <is>
          <t>복합가중형: 2~3개 세부요소를 균등가중평균(예: 1/2+1/2, 1/3×3) — 세부 배점은 점검기준 상세 참조, 자사취득점수는 수동 산정</t>
        </is>
      </c>
      <c r="O54" s="18" t="inlineStr">
        <is>
          <t>영역1 (1/2) |  1단계 |  이사회 또는 산하 위원회에서 ESG 관련 안건을 다루고 있지 않는 경우 |  2단계 |  최근 1년간 ESG 관련 안건이 모두 '보고' 사항인 경우 |  3단계 |  최근 1년간 ESG 관련 안건 중 '심의/의결' 사항이 있는 경우 |  영역2 (1/2) |  1단계 |  이사회 또는 산하 위원회 운영규정에 ESG 관련 사항을 명시하지 않는 경우 |  2단계 |  이사회 또는 산하 위원회 운영규정에 ‘ESG’라는 단어만 기재하고 있는 경우 |  3단계 |  이사회 또는 산하 위원회 운영규정에 ESG 이외에, 조직과 관련된 중요 ESG 이슈 또는 안건을 명시하고 있는 경우</t>
        </is>
      </c>
      <c r="P54" s="31" t="inlineStr">
        <is>
          <t>완전대응</t>
        </is>
      </c>
      <c r="Q54" s="17" t="inlineStr">
        <is>
          <t>KSSB 제1호 문단 27(1) — 이사회 ESG 안건 감독</t>
        </is>
      </c>
      <c r="R54" s="17" t="inlineStr">
        <is>
          <t>GRI 2-9, KCGS</t>
        </is>
      </c>
      <c r="S54" s="17" t="inlineStr">
        <is>
          <t>1_2_0_업종별 K-ESG 가이드라인(v2.0) 진단항목</t>
        </is>
      </c>
      <c r="T54" s="34" t="inlineStr">
        <is>
          <t>해당없음(복합가중형)</t>
        </is>
      </c>
      <c r="U54" s="23" t="n"/>
      <c r="V54" s="23" t="n"/>
      <c r="W54" s="23" t="n"/>
      <c r="X54" s="35" t="n"/>
      <c r="Y54" s="17" t="inlineStr">
        <is>
          <t> ESG가 사업운영 및 중장기 발전을 위한 중요한 요인으로 등장함에 따라, 조직의 최고의사결정기구인 이사회에서 ESG 안건을 검토/심의/의결하도록 요구받고 있다. 조직은 이사회에서 ESG와 관련한 중요 안건을 보고받거나, 심의/의결할 수도 있으며, 이사회 산하 위원회를 설치하여 ESG 관련 안건을 다루도록 함으로써 이사회 역할 수행의 전문성과 효율성을 제고할 수 있다.  조직은 ESG 안건을 다루기 위해 이사회 산하에 ‘ESG위원회’를 신설할 수 있으나, 이사회, 또는 기존에 설치한 위원회(사회책임위원회, 투명경영위원회, 거번너스위원회, 경영위원회, 감사위원회 등)를 통해서도 ESG 안건을 다룰 수 있다. 즉, ‘ESG위원회’ 설치 여부가 중요한 것이 아니라, 어떠한…</t>
        </is>
      </c>
      <c r="Z54" s="18" t="n"/>
      <c r="AA54" s="25" t="inlineStr">
        <is>
          <t>이사회 및 ESG위원회 운영 규정에 역할을 명시하고 정기 심의합니까?</t>
        </is>
      </c>
      <c r="AB54" s="25" t="inlineStr">
        <is>
          <t>단계(1~5)</t>
        </is>
      </c>
    </row>
    <row r="55" ht="91.5" customHeight="1">
      <c r="A55" s="26" t="n">
        <v>54</v>
      </c>
      <c r="B55" s="27" t="inlineStr">
        <is>
          <t>G-1-2</t>
        </is>
      </c>
      <c r="C55" s="28" t="inlineStr">
        <is>
          <t>기본진단항목(v2.0)</t>
        </is>
      </c>
      <c r="D55" s="37" t="inlineStr">
        <is>
          <t>지배구조</t>
        </is>
      </c>
      <c r="E55" s="28" t="inlineStr">
        <is>
          <t>이사회 구성</t>
        </is>
      </c>
      <c r="F55" s="28" t="inlineStr">
        <is>
          <t>사외이사 비율</t>
        </is>
      </c>
      <c r="G55" s="28" t="inlineStr">
        <is>
          <t> 조직이 사외이사 제도를 통해 경영진 및 지배주주에 대한 견제, 기업경영 투명성의 제고, 소수주주의 권리보호 등의 목적을 달성하고 있는지 확인  경영진의 의사결정 행위를 견제할 수 있으며, 독립적인 시각에서 기업 발전에 관한 제언을 할 수 있는 사외이사 비율이 충분한지 점검</t>
        </is>
      </c>
      <c r="H55" s="28" t="inlineStr">
        <is>
          <t>이사회 구성현황, 전자공시시스템 [사업보고서-이사회에 관한 사항]</t>
        </is>
      </c>
      <c r="I55" s="28" t="inlineStr">
        <is>
          <t>지난 1개 회계연도 기준</t>
        </is>
      </c>
      <c r="J55" s="27" t="inlineStr">
        <is>
          <t>N/A</t>
        </is>
      </c>
      <c r="K55" s="27" t="inlineStr">
        <is>
          <t>N/A</t>
        </is>
      </c>
      <c r="L55" s="29" t="inlineStr">
        <is>
          <t>단계형</t>
        </is>
      </c>
      <c r="M55" s="26" t="n">
        <v>5</v>
      </c>
      <c r="N55" s="28" t="inlineStr">
        <is>
          <t>단계형: 1단계=0점 / 2단계=25점 / 3단계=50점 / 4단계=75점 / 5단계=100점</t>
        </is>
      </c>
      <c r="O55" s="27" t="inlineStr">
        <is>
          <t>1단계 |  총원의 과반수로 구성되었으나, 사외이사가 3인인 경우 |  2단계 |  3인 이상, 이사 총원의 과반수를 차지하고 있으나, 전체 이사 중 60% 미만인 경우 |  3단계 |  3인 이상, 이사 총원의 과반수를 차지, 전체 이사 중 60% 이상 ~ 70% 미만인 경우 |  4단계 |  3인 이상, 이사 총원의 과반수를 차지, 전체 이사 중 70% 이상 ~ 80% 미만인 경우 |  5단계 |  3인 이상, 이사 총원의 과반수를 차지, 전체 이사 중 80% 이상인 경우</t>
        </is>
      </c>
      <c r="P55" s="21" t="inlineStr">
        <is>
          <t>부분대응</t>
        </is>
      </c>
      <c r="Q55" s="27" t="inlineStr">
        <is>
          <t>KSSB 제1호 문단 27(1) 취지상 이사회 역량 요구와 연관</t>
        </is>
      </c>
      <c r="R55" s="28" t="inlineStr">
        <is>
          <t>지배구조보고서 가이드라인, GRI 2-9</t>
        </is>
      </c>
      <c r="S55" s="27" t="inlineStr">
        <is>
          <t>1_2_0_업종별 K-ESG 가이드라인(v2.0) 진단항목</t>
        </is>
      </c>
      <c r="T55" s="22" t="n"/>
      <c r="U55" s="23" t="n"/>
      <c r="V55" s="23" t="n"/>
      <c r="W55" s="23" t="n"/>
      <c r="X55" s="30">
        <f>IF(T55="","",MAX(1,SUMPRODUCT(('02_점수산정참고표'!$A$2:$A$314=$B55)*('02_점수산정참고표'!$C$2:$C$314=T55)*'02_점수산정참고표'!$E$2:$E$314)))</f>
        <v/>
      </c>
      <c r="Y55" s="28" t="inlineStr">
        <is>
          <t> 이사회가 조직의 경영활동에 대한 감독과 견제의 기능을 효과적으로 수행하며, 경영진이 합리적이고 객관적인 의사결정을 내릴 수 있도록 제언하기 위해서는 사외이사의 독립성이 확보되어야 한다. 사외이사의 독립성 요건(또는 사외이사 결격사유)은 ｢상법｣ 제382조 및 제542조, 금융회사의 지배구조에 관한 법률｣ 제12조를 통해 확인할 수 있다.  사외이사가 경영진의 의사결정에 중요한 영향력을 행사하거나, 이사회 의결사항에 상당한 의사결정권한을 갖추기 위해서는 충분한 수의 사외이사가 확보되어야 한다. 따라서 사외이사 비율은 이사회가 경영진 등을 충분히 견제할 수 있는 수준에서 결정되어야 한다. ｢상법｣ 및 ｢금융회사의 지배구조에 관한 법률｣에서 제시하는 사외이사 비율…</t>
        </is>
      </c>
      <c r="Z55" s="28" t="n"/>
      <c r="AA55" s="25" t="inlineStr">
        <is>
          <t>경영진 견제를 위해 사외이사의 비율을 과반수 이상 확보하고 있습니까?</t>
        </is>
      </c>
      <c r="AB55" s="25" t="inlineStr">
        <is>
          <t>단계(1~5)</t>
        </is>
      </c>
    </row>
    <row r="56" ht="91.5" customHeight="1">
      <c r="A56" s="16" t="n">
        <v>55</v>
      </c>
      <c r="B56" s="17" t="inlineStr">
        <is>
          <t>G-1-3</t>
        </is>
      </c>
      <c r="C56" s="18" t="inlineStr">
        <is>
          <t>기본진단항목(v2.0)</t>
        </is>
      </c>
      <c r="D56" s="37" t="inlineStr">
        <is>
          <t>지배구조</t>
        </is>
      </c>
      <c r="E56" s="18" t="inlineStr">
        <is>
          <t>이사회 구성</t>
        </is>
      </c>
      <c r="F56" s="18" t="inlineStr">
        <is>
          <t>대표이사와 이사회 의장 분리</t>
        </is>
      </c>
      <c r="G56" s="18" t="inlineStr">
        <is>
          <t> 경영진의 경영활동을 감독하고 견제하는 이사회의 역할을 제대로 수행하기 위한 독립성 확보 여부를 확인  이사회의 의장과 경영진의 대표인 대표이사와의 분리 여부 및 선임사외이사 임명 등을 점검</t>
        </is>
      </c>
      <c r="H56" s="18" t="inlineStr">
        <is>
          <t>이사회 구성 현황, 전자공시시스템[사업보고서-이사회에 관한 사항]</t>
        </is>
      </c>
      <c r="I56" s="18" t="inlineStr">
        <is>
          <t>지난 1개 회계연도 기준</t>
        </is>
      </c>
      <c r="J56" s="17" t="inlineStr">
        <is>
          <t>N/A</t>
        </is>
      </c>
      <c r="K56" s="17" t="inlineStr">
        <is>
          <t>N/A</t>
        </is>
      </c>
      <c r="L56" s="20" t="inlineStr">
        <is>
          <t>단계형</t>
        </is>
      </c>
      <c r="M56" s="16" t="n">
        <v>5</v>
      </c>
      <c r="N56" s="18" t="inlineStr">
        <is>
          <t>단계형: 1단계=0점 / 2단계=25점 / 3단계=50점 / 4단계=75점 / 5단계=100점</t>
        </is>
      </c>
      <c r="O56" s="17" t="inlineStr">
        <is>
          <t>1단계 |  현재 대표이사와 이사회 의장이 동일한 경우 |  2단계 |  과거 대표이사 또는 이사회 의장을 역임했던 자가 현재 이사회 의장인 경우 |  3단계 |  현재 이사회 의장이 과거 또는 현재의 대표이사나 이사회 의장을 역임하지 않았으나, 모회사 또는 자회사의 임원 등 독립성이 |  결여된 자가 이사회 의장인 경우 |  4단계 |  과거 또는 현재 대표이사이거나, 이사회 의장을 역임하였거나, 독립성이 결여된 자가 현재 이사회 의장인 경우. |  단, 이사회 의장과 이해관계 상충하는 안건 등에 있어, 이사회 의장 역할을 대신하는 ‘선임사외이사’를 임명하고 있는 경우 |  5단계 |  과거 또는 현재 대표이사이거나, 이사회 의장을 역임한 적이 없으며, 회사로부터 독립성이 확보된 이사가 현재 이사회의 |  의장인 경우</t>
        </is>
      </c>
      <c r="P56" s="33" t="inlineStr">
        <is>
          <t>GAP(대응지표 없음)</t>
        </is>
      </c>
      <c r="Q56" s="17" t="inlineStr">
        <is>
          <t>KSSB 별도 규정 없음</t>
        </is>
      </c>
      <c r="R56" s="18" t="inlineStr">
        <is>
          <t>지배구조보고서 가이드라인</t>
        </is>
      </c>
      <c r="S56" s="17" t="inlineStr">
        <is>
          <t>1_2_0_업종별 K-ESG 가이드라인(v2.0) 진단항목</t>
        </is>
      </c>
      <c r="T56" s="22" t="n"/>
      <c r="U56" s="23" t="n"/>
      <c r="V56" s="23" t="n"/>
      <c r="W56" s="23" t="n"/>
      <c r="X56" s="24">
        <f>IF(T56="","",MAX(1,SUMPRODUCT(('02_점수산정참고표'!$A$2:$A$314=$B56)*('02_점수산정참고표'!$C$2:$C$314=T56)*'02_점수산정참고표'!$E$2:$E$314)))</f>
        <v/>
      </c>
      <c r="Y56" s="18" t="inlineStr">
        <is>
          <t> 경영진을 대표하는 대표이사와 이사회를 대표하는 이사회 의장이 동일하다면 경영진의 경영활동을 감독하고 견제하는 이사회의 역할을 제대로 수행할 수 없다. 다만, 대표이사와 이사회 의장이 분리되지 않은 경우에도 독립성을 갖춘 선임사외이사를 두어 이사회의 기능과 역할을 주도적으로 수행하도록 할 수 있다. 선임사외이사는 이사회(대표이사 또는 특수관계인이 이사회 의장으로 선임된)에서 대표이사의 이해와 관계된 의사결정 사안에 대해 이사회 의장을 대리하며, 사외이사들의 의견을 대표로 사내이사 및 경영진에게 전달하는 역할을 수행한다.  국내외 법/규제, ESG 평가기관 등은 대표이사의 이사회 의장 분리 및 선임사외이사 임명 관련 사항을 아래와 같이 명시하고 있으므로, 해당 지표…</t>
        </is>
      </c>
      <c r="Z56" s="18" t="n"/>
      <c r="AA56" s="25" t="inlineStr">
        <is>
          <t>대표이사와 이사회 의장 분리에 대한 현황을 관리·공시하고 있습니까?</t>
        </is>
      </c>
      <c r="AB56" s="25" t="inlineStr">
        <is>
          <t>단계(1~5)</t>
        </is>
      </c>
    </row>
    <row r="57" ht="91.5" customHeight="1">
      <c r="A57" s="26" t="n">
        <v>56</v>
      </c>
      <c r="B57" s="27" t="inlineStr">
        <is>
          <t>G-1-4</t>
        </is>
      </c>
      <c r="C57" s="28" t="inlineStr">
        <is>
          <t>기본진단항목(v2.0)</t>
        </is>
      </c>
      <c r="D57" s="37" t="inlineStr">
        <is>
          <t>지배구조</t>
        </is>
      </c>
      <c r="E57" s="28" t="inlineStr">
        <is>
          <t>이사회 구성</t>
        </is>
      </c>
      <c r="F57" s="28" t="inlineStr">
        <is>
          <t>이사회 성별 다양성</t>
        </is>
      </c>
      <c r="G57" s="28" t="inlineStr">
        <is>
          <t> 이사회가 다양한 이해관계자들의 요구사항을 두루 고려하여 폭넓은 시각과 경험을 바탕으로 중요한 의사결정에 임할 수 있도록 이사회 구성원이 다양한 배경을 가지고 있는지 확인  다양성과 포용성의 대표적인 분류인 남성 대비 여성 비율(혹은 여성 대비 남성 비율)을 점검</t>
        </is>
      </c>
      <c r="H57" s="28" t="inlineStr">
        <is>
          <t>이사회 구성 현황, 전자공시시스템[사업보고서-이사회에 관한 사항]</t>
        </is>
      </c>
      <c r="I57" s="28" t="inlineStr">
        <is>
          <t>지난 1개 회계연도 기준</t>
        </is>
      </c>
      <c r="J57" s="27" t="inlineStr">
        <is>
          <t>N/A</t>
        </is>
      </c>
      <c r="K57" s="28" t="inlineStr">
        <is>
          <t>이사회 여성 비율 = (여성 이사 수 / 전체 이사회 구성원 수)</t>
        </is>
      </c>
      <c r="L57" s="29" t="inlineStr">
        <is>
          <t>단계형</t>
        </is>
      </c>
      <c r="M57" s="26" t="n">
        <v>5</v>
      </c>
      <c r="N57" s="28" t="inlineStr">
        <is>
          <t>단계형: 1단계=0점 / 2단계=25점 / 3단계=50점 / 4단계=75점 / 5단계=100점</t>
        </is>
      </c>
      <c r="O57" s="27" t="inlineStr">
        <is>
          <t>1단계 |  이사회 내 여성 이사가 선임되어 있지 않는 경우 |  2단계 |  이사회 내 여성 이사가 1명만 선임되어 있는 경우 |  3단계 |  이사회 내 여성 이사가 2명 이상이며, 그 비율이 10% 이상 ~ 20% 미만인 경우 |  4단계 |  이사회 내 여성 이사가 2명 이상이며, 그 비율이 20% 이상 ~ 30% 미만인 경우 |  5단계 |  이사회 내 여성 이사가 2명 이상이며, 그 비율이 30% 이상인 경우 |  * 이사회 내 다수 성(性)이 여성일 경우에는 반대로 적용</t>
        </is>
      </c>
      <c r="P57" s="21" t="inlineStr">
        <is>
          <t>부분대응</t>
        </is>
      </c>
      <c r="Q57" s="27" t="inlineStr">
        <is>
          <t>KSSB 제1호 문단 27(1) 이사회 역량·다양성 취지 준용</t>
        </is>
      </c>
      <c r="R57" s="27" t="inlineStr">
        <is>
          <t>GRI 405-1</t>
        </is>
      </c>
      <c r="S57" s="27" t="inlineStr">
        <is>
          <t>1_2_0_업종별 K-ESG 가이드라인(v2.0) 진단항목</t>
        </is>
      </c>
      <c r="T57" s="22" t="n"/>
      <c r="U57" s="23" t="n"/>
      <c r="V57" s="23" t="n"/>
      <c r="W57" s="23" t="n"/>
      <c r="X57" s="30">
        <f>IF(T57="","",MAX(1,SUMPRODUCT(('02_점수산정참고표'!$A$2:$A$314=$B57)*('02_점수산정참고표'!$C$2:$C$314=T57)*'02_점수산정참고표'!$E$2:$E$314)))</f>
        <v/>
      </c>
      <c r="Y57" s="28" t="inlineStr">
        <is>
          <t> 조직이 대내외 환경 변화에 유연하게 대처하고 장기적인 지속가능성을 확보하기 위해서는 다양한 시각과 관점에서 당면한 문제를 바라보고 해결할 수 있는 다양한 배경과 경험을 가진 이사를 선임해야 할 필요가 있다. 본 지표는 이러한 다양성을 확인할 수 있는 대표적 기준 중 하나인 성(性) 비율을 통해 이사회 내 성별 다양성을 점검하도록 요구하고 있다.  이사회를 구성하는 이사가 특정 성(性)에 치우치지 않는다는 것은 성별에서 기인하는 특정한 관점, 이해관계 등에서 벗어난 다양한 의견이 이사회의 의사결정에 반영될 수 있다는 것을 의미한다. 특히, 국내의 경우 독립적이고 다양한 전문성을 가지는 사외이사를 선임하는 등의 노력은 지속되고 있으나 이사회의 성별 다양성은 부족한…</t>
        </is>
      </c>
      <c r="Z57" s="28" t="n"/>
      <c r="AA57" s="25" t="inlineStr">
        <is>
          <t>여성 이사를 1명 이상 혹은 30% 이상 일정 비율 확보했습니까?</t>
        </is>
      </c>
      <c r="AB57" s="25" t="inlineStr">
        <is>
          <t>단계(1~5)</t>
        </is>
      </c>
    </row>
    <row r="58" ht="91.5" customHeight="1">
      <c r="A58" s="16" t="n">
        <v>57</v>
      </c>
      <c r="B58" s="17" t="inlineStr">
        <is>
          <t>G-1-5</t>
        </is>
      </c>
      <c r="C58" s="18" t="inlineStr">
        <is>
          <t>기본진단항목(v2.0)</t>
        </is>
      </c>
      <c r="D58" s="37" t="inlineStr">
        <is>
          <t>지배구조</t>
        </is>
      </c>
      <c r="E58" s="18" t="inlineStr">
        <is>
          <t>이사회 구성</t>
        </is>
      </c>
      <c r="F58" s="18" t="inlineStr">
        <is>
          <t>사외이사 전문성</t>
        </is>
      </c>
      <c r="G58" s="18" t="inlineStr">
        <is>
          <t> 사내이사와 사외이사의 정보 비대칭이 존재하는 상황에서 사외이사가 조직의 중장기 발전에 관한 충분한 의견을 제공하거나, 경영진의 의사결정을 견제할 수 있는 전문성을 갖추고 있는지 확인  사외이사가 조직의 사업 방향에 대해 전문적인 의견을 제시할 수 있는지 점검 (사외이사가 동종산업의 업무경력을 보유하고 있는지 확인)</t>
        </is>
      </c>
      <c r="H58" s="18" t="inlineStr">
        <is>
          <t>사외이사 경력사항</t>
        </is>
      </c>
      <c r="I58" s="18" t="inlineStr">
        <is>
          <t>직전 회계연도</t>
        </is>
      </c>
      <c r="J58" s="17" t="inlineStr">
        <is>
          <t>N/A</t>
        </is>
      </c>
      <c r="K58" s="17" t="inlineStr">
        <is>
          <t>N/A</t>
        </is>
      </c>
      <c r="L58" s="20" t="inlineStr">
        <is>
          <t>단계형</t>
        </is>
      </c>
      <c r="M58" s="16" t="n">
        <v>3</v>
      </c>
      <c r="N58" s="18" t="inlineStr">
        <is>
          <t>단계형: 1단계=0점 / 2단계=50점 / 3단계=100점</t>
        </is>
      </c>
      <c r="O58" s="17" t="inlineStr">
        <is>
          <t>1단계 |  동종산업 경력을 보유한 사외이사가 없는 경우 |  2단계 |  동종산업 경력을 보유한 사외이사가 1명 이상인 경우 |  3단계 |  동종산업 경력을 보유한 사외이사가 50% 이상인 경우</t>
        </is>
      </c>
      <c r="P58" s="31" t="inlineStr">
        <is>
          <t>완전대응</t>
        </is>
      </c>
      <c r="Q58" s="17" t="inlineStr">
        <is>
          <t>KSSB 제1호 문단 27(1)ㄏ — 이사회 전문성 판단·개발계획</t>
        </is>
      </c>
      <c r="R58" s="18" t="inlineStr">
        <is>
          <t>지배구조보고서 가이드라인, KCGS</t>
        </is>
      </c>
      <c r="S58" s="17" t="inlineStr">
        <is>
          <t>1_2_0_업종별 K-ESG 가이드라인(v2.0) 진단항목</t>
        </is>
      </c>
      <c r="T58" s="22" t="n"/>
      <c r="U58" s="23" t="n"/>
      <c r="V58" s="23" t="n"/>
      <c r="W58" s="23" t="n"/>
      <c r="X58" s="24">
        <f>IF(T58="","",MAX(1,SUMPRODUCT(('02_점수산정참고표'!$A$2:$A$314=$B58)*('02_점수산정참고표'!$C$2:$C$314=T58)*'02_점수산정참고표'!$E$2:$E$314)))</f>
        <v/>
      </c>
      <c r="Y58" s="18" t="inlineStr">
        <is>
          <t> 전문성 있는 사외이사란 사내이사(경영진 등)의 경영의사결정에 대한 제언과 감독 기능을 충실히 이행할 수 있도록 해당 산업 전문지식과 경력을 보유하고 있는 자를 말하다. 이때, 해당 산업 전문지식과 경력이란 한국표준산업분류의 대분류(2자리 코드) 기준 동종산업에서 실무자 또는 경영진으로써 재직하였거나, 관련 연구기관 및 서비스기관에서 종사한 경험이 있는 것을 의미하며, 대학을 포함한 고등교육기관 및 학술기관 경력은 제외한다.  글로벌 ESG 평가기관은 ‘산업 전문성을 갖춘 사외이사 비율’을 평가지표로 운용하고 있으며, 조직은 사외이사 선임 시 평가기관 등이 제시하는 ‘산업 전문성’ 요건을 참고할 수 있다. - (S&amp;P Global) 국제산업분류표준(GICS)…</t>
        </is>
      </c>
      <c r="Z58" s="18" t="n"/>
      <c r="AA58" s="25" t="inlineStr">
        <is>
          <t>동종 산업(반도체/전자) 실무 경험을 보유한 사외이사가 포함되어 있습니까?</t>
        </is>
      </c>
      <c r="AB58" s="25" t="inlineStr">
        <is>
          <t>단계(1~3)</t>
        </is>
      </c>
    </row>
    <row r="59" ht="91.5" customHeight="1">
      <c r="A59" s="26" t="n">
        <v>58</v>
      </c>
      <c r="B59" s="27" t="inlineStr">
        <is>
          <t>G-2-1</t>
        </is>
      </c>
      <c r="C59" s="28" t="inlineStr">
        <is>
          <t>기본진단항목(v2.0)</t>
        </is>
      </c>
      <c r="D59" s="37" t="inlineStr">
        <is>
          <t>지배구조</t>
        </is>
      </c>
      <c r="E59" s="28" t="inlineStr">
        <is>
          <t>이사회 활동</t>
        </is>
      </c>
      <c r="F59" s="28" t="inlineStr">
        <is>
          <t>전체 이사 출석률</t>
        </is>
      </c>
      <c r="G59" s="28" t="inlineStr">
        <is>
          <t> 조직의 최고의사결정기구인 이사회가 검토/심의/의결 기능을 효과적으로 수행하기 위해서는 이사회 구성원의 적극적인 참여가 중요함. 이사회 구성원이 이사회에 참여하여 조직의 성장 및 발전에 관한 제언, 주요안건에 대한 의사결정 행위를 하고 있는지 확인  이사회 구성원별 출석률을 평균하여, 전체 이사 출석률이 일정 수준 이상인지 점검</t>
        </is>
      </c>
      <c r="H59" s="28" t="inlineStr">
        <is>
          <t>이사회 구성 현황, 이사회 회의록 등</t>
        </is>
      </c>
      <c r="I59" s="28" t="inlineStr">
        <is>
          <t>직전 회계연도</t>
        </is>
      </c>
      <c r="J59" s="27" t="inlineStr">
        <is>
          <t>N/A</t>
        </is>
      </c>
      <c r="K59" s="28" t="inlineStr">
        <is>
          <t>이사회 구성원 평균 출석률 = ∑(출석한 전체 이사 인원 수 / 전체 이사 정원) / 이사회 개최 횟수</t>
        </is>
      </c>
      <c r="L59" s="29" t="inlineStr">
        <is>
          <t>단계형</t>
        </is>
      </c>
      <c r="M59" s="26" t="n">
        <v>5</v>
      </c>
      <c r="N59" s="28" t="inlineStr">
        <is>
          <t>단계형: 1단계=0점 / 2단계=25점 / 3단계=50점 / 4단계=75점 / 5단계=100점</t>
        </is>
      </c>
      <c r="O59" s="27" t="inlineStr">
        <is>
          <t>1단계 |  이사회 구성원 평균 출석률이 75% 미만인 경우 |  2단계 |  이사회 구성원 평균 출석률이 75% 이상 85% 미만인 경우 |  3단계 |  이사회 구성원 평균 출석률이 85% 이상 90% 미만인 경우 |  4단계 |  이사회 구성원 평균 출석률이 90% 이상 95% 미만인 경우 |  5단계 |  이사회 구성원 평균 출석률이 95% 이상인 경우</t>
        </is>
      </c>
      <c r="P59" s="21" t="inlineStr">
        <is>
          <t>부분대응</t>
        </is>
      </c>
      <c r="Q59" s="27" t="inlineStr">
        <is>
          <t>KSSB 제1호 문단 27(1)ㄒ — 보고주기 준용</t>
        </is>
      </c>
      <c r="R59" s="27" t="inlineStr">
        <is>
          <t>GRI 2-9</t>
        </is>
      </c>
      <c r="S59" s="27" t="inlineStr">
        <is>
          <t>1_2_0_업종별 K-ESG 가이드라인(v2.0) 진단항목</t>
        </is>
      </c>
      <c r="T59" s="22" t="n"/>
      <c r="U59" s="23" t="n"/>
      <c r="V59" s="23" t="n"/>
      <c r="W59" s="23" t="n"/>
      <c r="X59" s="30">
        <f>IF(T59="","",MAX(1,SUMPRODUCT(('02_점수산정참고표'!$A$2:$A$314=$B59)*('02_점수산정참고표'!$C$2:$C$314=T59)*'02_점수산정참고표'!$E$2:$E$314)))</f>
        <v/>
      </c>
      <c r="Y59" s="28" t="inlineStr">
        <is>
          <t> ｢상법｣에서는 이사의 이사회 출석의무를 규정하고 있지 않으나, 이사 출석률은 이사가 수행해야 할 역할을 충실히 하고 있는지를 대변하는 중요한 지표가 된다.  특히 ｢상법｣ 제393조 제4항은 “이사는 3월에 1회 이상 업무의 진행사항을 이사회에 보고하여야 한다”라고 규정하고 있으며, 이를 해석하면 업무 진행사항을 보고하는 ‘사내이사’와 보고받는 ‘사외이사’가 1년 동안 최소 4회는 이사회에 참여하여야 한다는 것이다.  이사회 참여는 법/규제를 벗어나지 않는 범위에서 선관주의에 따른 이사회 구성원의 자율사항이다. 따라서 개별 이사에 대해 이사회 참여를 강제할 수 없으나, 이사회 구성원의 참여가 저조하거나 소극적인 경우, 이를 강제하기 위한 방식에는 다음과 같은…</t>
        </is>
      </c>
      <c r="Z59" s="28" t="n"/>
      <c r="AA59" s="25" t="inlineStr">
        <is>
          <t>이사회 전체 이사 평균 출석률이 75% 이상 유지됩니까?</t>
        </is>
      </c>
      <c r="AB59" s="25" t="inlineStr">
        <is>
          <t>단계(1~5)</t>
        </is>
      </c>
    </row>
    <row r="60" ht="91.5" customHeight="1">
      <c r="A60" s="16" t="n">
        <v>59</v>
      </c>
      <c r="B60" s="17" t="inlineStr">
        <is>
          <t>G-2-2</t>
        </is>
      </c>
      <c r="C60" s="18" t="inlineStr">
        <is>
          <t>기본진단항목(v2.0)</t>
        </is>
      </c>
      <c r="D60" s="37" t="inlineStr">
        <is>
          <t>지배구조</t>
        </is>
      </c>
      <c r="E60" s="18" t="inlineStr">
        <is>
          <t>이사회 활동</t>
        </is>
      </c>
      <c r="F60" s="18" t="inlineStr">
        <is>
          <t>사내이사 출석률</t>
        </is>
      </c>
      <c r="G60" s="18" t="inlineStr">
        <is>
          <t> 조직의 최고의사결정기구인 이사회가 검토/심의/의결 기능을 효과적으로 수행하기 위해서는 이사회 구성원의 적극적인 참여가 중요함. 특히, 조직의 사업운영을 총괄하는 사내이사가 적극적으로 이사회에 참여하고 있는지 확인  이사회 구성원 중 전체 사내이사 출석률이 일정 수준 이상인지 점검</t>
        </is>
      </c>
      <c r="H60" s="18" t="inlineStr">
        <is>
          <t>이사회 구성 현황, 이사회 회의록 등</t>
        </is>
      </c>
      <c r="I60" s="18" t="inlineStr">
        <is>
          <t>직전 회계연도</t>
        </is>
      </c>
      <c r="J60" s="17" t="inlineStr">
        <is>
          <t>N/A</t>
        </is>
      </c>
      <c r="K60" s="18" t="inlineStr">
        <is>
          <t>사내이사 평균 출석률 = ∑(출석한 사내 이사 인원 수 / 전체 이사 정원) / 이사회 개최 횟수</t>
        </is>
      </c>
      <c r="L60" s="20" t="inlineStr">
        <is>
          <t>단계형</t>
        </is>
      </c>
      <c r="M60" s="16" t="n">
        <v>5</v>
      </c>
      <c r="N60" s="18" t="inlineStr">
        <is>
          <t>단계형: 1단계=0점 / 2단계=25점 / 3단계=50점 / 4단계=75점 / 5단계=100점</t>
        </is>
      </c>
      <c r="O60" s="17" t="inlineStr">
        <is>
          <t>1단계 |  사내이사 평균 출석률이 75% 미만인 경우 |  2단계 |  사내이사 평균 출석률이 75% 이상 85% 미만인 경우 |  3단계 |  사내이사 평균 출석률이 85% 이상 90% 미만인 경우 |  4단계 |  사내이사 평균 출석률이 90% 이상 95% 미만인 경우 |  5단계 |  사내이사 평균 출석률이 95% 이상인 경우</t>
        </is>
      </c>
      <c r="P60" s="33" t="inlineStr">
        <is>
          <t>GAP(대응지표 없음)</t>
        </is>
      </c>
      <c r="Q60" s="17" t="inlineStr">
        <is>
          <t>KSSB 별도 규정 없음</t>
        </is>
      </c>
      <c r="R60" s="18" t="inlineStr">
        <is>
          <t>지배구조보고서 가이드라인</t>
        </is>
      </c>
      <c r="S60" s="17" t="inlineStr">
        <is>
          <t>1_2_0_업종별 K-ESG 가이드라인(v2.0) 진단항목</t>
        </is>
      </c>
      <c r="T60" s="22" t="n"/>
      <c r="U60" s="23" t="n"/>
      <c r="V60" s="23" t="n"/>
      <c r="W60" s="23" t="n"/>
      <c r="X60" s="24">
        <f>IF(T60="","",MAX(1,SUMPRODUCT(('02_점수산정참고표'!$A$2:$A$314=$B60)*('02_점수산정참고표'!$C$2:$C$314=T60)*'02_점수산정참고표'!$E$2:$E$314)))</f>
        <v/>
      </c>
      <c r="Y60" s="18" t="inlineStr">
        <is>
          <t> ｢상법｣에서는 이사의 이사회 출석의무를 규정하고 있지 않으나, 이사 출석률은 이사가 수행해야 할 역할을 충실히 하고 있는지를 대변하는 중요한 지표가 된다.  특히 ｢상법｣ 제393조 제4항은 “이사는 3월에 1회 이상 업무의 진행사항을 이사회에 보고하여야 한다”라고 규정하고 있으며, 이를 해석하면 업무 진행사항을 보고하는 ‘사내이사’와 보고받는 ‘사외이사’가 1년 동안 최소 4회는 이사회에 참여하여야 한다는 것이다.  이사회 참여는 법/규제를 벗어나지 않는 범위에서 선관주의에 따른 이사회 구성원의 자율사항이다. 따라서 사내이사에 대해 이사회 참여를 강제할 수 없으나, 사내이사의 참여가 저조하거나 소극적인 경우 이를 강제하기 위한 방식에는 다음과 같은 것들이 있다.…</t>
        </is>
      </c>
      <c r="Z60" s="18" t="n"/>
      <c r="AA60" s="25" t="inlineStr">
        <is>
          <t>경영진 책임 강화를 위해 사내이사 이사회 평균 출석률이 높게 유지됩니까?</t>
        </is>
      </c>
      <c r="AB60" s="25" t="inlineStr">
        <is>
          <t>단계(1~5)</t>
        </is>
      </c>
    </row>
    <row r="61" ht="91.5" customHeight="1">
      <c r="A61" s="26" t="n">
        <v>60</v>
      </c>
      <c r="B61" s="27" t="inlineStr">
        <is>
          <t>G-2-3</t>
        </is>
      </c>
      <c r="C61" s="28" t="inlineStr">
        <is>
          <t>기본진단항목(v2.0)</t>
        </is>
      </c>
      <c r="D61" s="37" t="inlineStr">
        <is>
          <t>지배구조</t>
        </is>
      </c>
      <c r="E61" s="28" t="inlineStr">
        <is>
          <t>이사회 활동</t>
        </is>
      </c>
      <c r="F61" s="28" t="inlineStr">
        <is>
          <t>이사회 산하 위원회</t>
        </is>
      </c>
      <c r="G61" s="28" t="inlineStr">
        <is>
          <t> 이사회가 효율적으로 운영될 수 있도록 이사회 권한 및 역할의 일부를 산하 위원회에 위임하고 있는지, 각 소위원회는 위임받은 권한 및 역할에 대해 전문적인 시각으로 검토하는지를 확인  조직마다 이사회 산하 위원회 수와 종류는 다양하며, 각 조직의 경영방식 및 사업환경에 따라 위원회 수를 달리할 수 있음. 따라서 이사회 산하 위원회 수가 많고 적음을 떠나, 위원회가 체계적이고 효과적으로 운영되고 있는지 점검</t>
        </is>
      </c>
      <c r="H61" s="28" t="inlineStr">
        <is>
          <t>이사회 산하 위원회 운영규정, 구성현황, 활동내역</t>
        </is>
      </c>
      <c r="I61" s="28" t="inlineStr">
        <is>
          <t>직전 회계연도</t>
        </is>
      </c>
      <c r="J61" s="27" t="inlineStr">
        <is>
          <t>N/A</t>
        </is>
      </c>
      <c r="K61" s="27" t="inlineStr">
        <is>
          <t>N/A</t>
        </is>
      </c>
      <c r="L61" s="29" t="inlineStr">
        <is>
          <t>선택형</t>
        </is>
      </c>
      <c r="M61" s="26" t="n">
        <v>5</v>
      </c>
      <c r="N61" s="28" t="inlineStr">
        <is>
          <t>선택형: 요건1=0점 / 요건2=25점 / 요건3=50점 / 요건4=75점 / 요건5=100점</t>
        </is>
      </c>
      <c r="O61" s="28" t="inlineStr">
        <is>
          <t>요건1 |  이사회 산하 모든 위원회 설치는 정관에 근거하고 있으며, 모든 위원회에 대해 ‘운영규정’을 제정하고 있는 경우 |  요건2 |  특정 이사(사내이사, 사외이사, 기타비상임이사)가 이사회 산하 모든 위원회의 구성원으로 선임되어 있지 않은 경우 |  요건3 |  이사회 산하 모든 위원회가 구성원의 과반수 이상을 사외이사로 선임하고 있는 경우 |  요건4 |  직전 회계연도 중 이사회 산하 위원회 개최 횟수가 평균적으로 3회 이상인 경우 |  요건5 |  직전 회계연도 중 이사회 산하 모든 위원회가 심의/의결 안건을 다룬 경우</t>
        </is>
      </c>
      <c r="P61" s="21" t="inlineStr">
        <is>
          <t>부분대응</t>
        </is>
      </c>
      <c r="Q61" s="27" t="inlineStr">
        <is>
          <t>KSSB 제1호 문단 27(1)① 위임기구 지정 준용</t>
        </is>
      </c>
      <c r="R61" s="28" t="inlineStr">
        <is>
          <t>지배구조보고서 가이드라인</t>
        </is>
      </c>
      <c r="S61" s="27" t="inlineStr">
        <is>
          <t>1_2_0_업종별 K-ESG 가이드라인(v2.0) 진단항목</t>
        </is>
      </c>
      <c r="T61" s="22" t="n"/>
      <c r="U61" s="23" t="n"/>
      <c r="V61" s="23" t="n"/>
      <c r="W61" s="23" t="n"/>
      <c r="X61" s="30">
        <f>IF(T61="","",MAX(1,SUMPRODUCT(('02_점수산정참고표'!$A$2:$A$314=$B61)*('02_점수산정참고표'!$C$2:$C$314=T61)*'02_점수산정참고표'!$E$2:$E$314)))</f>
        <v/>
      </c>
      <c r="Y61" s="28" t="inlineStr">
        <is>
          <t> 조직의 모든 중요 안건을 이사회에서 검토하고 의사결정을 내리는 것은 비효율적이다. 따라서 전문성을 요구하는 특정 사안이나, 안건 심의에 있어 독립성이 필요한 사안에 대해서는 이사회 산하 위원회를 통해 검토하게 함으로써, 이사회 운영의 효율성을 제고할 수 있다.  ｢상법｣ 제393조의2에서는 이사회가 위원회에 위임할 수 있는 사항을 폭넓게 인정하고 있다. 법에서 제한하고 있는 사항 이외에는 위임이 가능하다. 즉 이사회는 주주총회의 승인을 요하는 사항의 제안, 대표이사의 선임 및 해임, 위원회의 설치와 그 위원의 선임 및 해임, 정관에서 정하는 사항을 제외하고는 그 권한을 위원회에 위임할 수 있다. - ｢상법｣에서는 이사회 내 위원회를 설치할 경우, 해당 위원회에는…</t>
        </is>
      </c>
      <c r="Z61" s="28" t="n"/>
      <c r="AA61" s="25" t="inlineStr">
        <is>
          <t>감사위, 사추위, 보상위, ESG위 등 전문성 있는 산하 위원회를 설치했습니까?</t>
        </is>
      </c>
      <c r="AB61" s="25" t="inlineStr">
        <is>
          <t>단계(1~5)</t>
        </is>
      </c>
    </row>
    <row r="62" ht="91.5" customHeight="1">
      <c r="A62" s="16" t="n">
        <v>61</v>
      </c>
      <c r="B62" s="17" t="inlineStr">
        <is>
          <t>G-2-4</t>
        </is>
      </c>
      <c r="C62" s="18" t="inlineStr">
        <is>
          <t>기본진단항목(v2.0)</t>
        </is>
      </c>
      <c r="D62" s="37" t="inlineStr">
        <is>
          <t>지배구조</t>
        </is>
      </c>
      <c r="E62" s="18" t="inlineStr">
        <is>
          <t>이사회 활동</t>
        </is>
      </c>
      <c r="F62" s="18" t="inlineStr">
        <is>
          <t>이사회 안건 처리</t>
        </is>
      </c>
      <c r="G62" s="18" t="inlineStr">
        <is>
          <t> 이사회 구성원이 상정된 안건에 대해 독립적/전문적/다양한 시각으로 수정 및 보완 의견을 제시하고 있거나, 특히 조직에 리스크가 될 수 있는 안건에 대해서는 적극적인 반대 의견을 제시하는지 확인  이사회 심의/의결 안건 중 원안대로 가결되지 않은 안건이나 원안에 반대한 이사, 그리고 가결되지 않거나 안건에 반대한 사유를 점검</t>
        </is>
      </c>
      <c r="H62" s="18" t="inlineStr">
        <is>
          <t>이사회 구성 현황, 이사회 회의록 등</t>
        </is>
      </c>
      <c r="I62" s="18" t="inlineStr">
        <is>
          <t>지난 1개 회계연도 기준</t>
        </is>
      </c>
      <c r="J62" s="17" t="inlineStr">
        <is>
          <t>N/A</t>
        </is>
      </c>
      <c r="K62" s="18" t="inlineStr">
        <is>
          <t>수정, 보완 및 반대 의견이 나타난 안건 수 / 전체 이사회 상정 안건 수</t>
        </is>
      </c>
      <c r="L62" s="20" t="inlineStr">
        <is>
          <t>단계형</t>
        </is>
      </c>
      <c r="M62" s="16" t="n">
        <v>3</v>
      </c>
      <c r="N62" s="18" t="inlineStr">
        <is>
          <t>단계형: 1단계=0점 / 2단계=50점 / 3단계=100점</t>
        </is>
      </c>
      <c r="O62" s="17" t="inlineStr">
        <is>
          <t>1단계 |  안건에 대한 수정, 보완, 반대하는 의견이 한 건도 없는 경우 |  2단계 |  안건에 대한 수정, 보완, 반대하는 의견이 한 건 이상 존재하는 경우 |  3단계 |  안건에 대한 수정, 보완, 반대하는 의견이 5% 이상 존재하는 경우</t>
        </is>
      </c>
      <c r="P62" s="33" t="inlineStr">
        <is>
          <t>GAP(대응지표 없음)</t>
        </is>
      </c>
      <c r="Q62" s="17" t="inlineStr">
        <is>
          <t>KSSB 별도 규정 없음</t>
        </is>
      </c>
      <c r="R62" s="18" t="inlineStr">
        <is>
          <t>지배구조보고서 가이드라인</t>
        </is>
      </c>
      <c r="S62" s="17" t="inlineStr">
        <is>
          <t>1_2_0_업종별 K-ESG 가이드라인(v2.0) 진단항목</t>
        </is>
      </c>
      <c r="T62" s="22" t="n"/>
      <c r="U62" s="23" t="n"/>
      <c r="V62" s="23" t="n"/>
      <c r="W62" s="23" t="n"/>
      <c r="X62" s="24">
        <f>IF(T62="","",MAX(1,SUMPRODUCT(('02_점수산정참고표'!$A$2:$A$314=$B62)*('02_점수산정참고표'!$C$2:$C$314=T62)*'02_점수산정참고표'!$E$2:$E$314)))</f>
        <v/>
      </c>
      <c r="Y62" s="18" t="inlineStr">
        <is>
          <t> 본 항목은 ‘이사회 구성원이 자유로운 의견을 개진하고 있는지’를 확인하기 위해 설계한 항목으로써, 전체 이사회 안건 처리 중 수정/부결 비율을 측정하는 방법 外 1) 이사회 의사진행에 관한 경과와 결과를 기재하고 있는 의사록 上 논의사항을 확인하는 방법, 2) 이사회 구성원의 안건 검토를 위한 개별 자료제공 요청사항을 확인하는 방법 등으로 ‘이사회 구성원의 자유로운 의견 개진 현황’을 확인할 수 있다.  이사회가 합리적인 의사결정과 경영감독을 수행하기 위해서는 각 이사들이 충분하고 올바른 정보를 가지고 있어야 한다. 이러한 정보는 경영진들 및 실무진의 보고, 개인적인 조사, 실적조사 등 다양한 방식으로 수집될 수 있으며, 이사회 구성원들은 이러한 자료를 사전에…</t>
        </is>
      </c>
      <c r="Z62" s="18" t="n"/>
      <c r="AA62" s="25" t="inlineStr">
        <is>
          <t>안건 사전 검토를 위해 개최 최소 3~7일 전 배포 기간을 엄수합니까?</t>
        </is>
      </c>
      <c r="AB62" s="25" t="inlineStr">
        <is>
          <t>단계(1~5)</t>
        </is>
      </c>
    </row>
    <row r="63" ht="91.5" customHeight="1">
      <c r="A63" s="26" t="n">
        <v>62</v>
      </c>
      <c r="B63" s="27" t="inlineStr">
        <is>
          <t>G-3-1</t>
        </is>
      </c>
      <c r="C63" s="28" t="inlineStr">
        <is>
          <t>기본진단항목(v2.0)</t>
        </is>
      </c>
      <c r="D63" s="37" t="inlineStr">
        <is>
          <t>지배구조</t>
        </is>
      </c>
      <c r="E63" s="28" t="inlineStr">
        <is>
          <t>주주권리</t>
        </is>
      </c>
      <c r="F63" s="28" t="inlineStr">
        <is>
          <t>주주총회 소집 공고</t>
        </is>
      </c>
      <c r="G63" s="28" t="inlineStr">
        <is>
          <t> 주주가 주주총회 참석 전 충분하고 합리적인 판단을 내릴 수 있도록, 주주에게 주주총회 개최 일자, 장소, 안건, 기타 재무사항 등의 정보를 담은 주주총회 소집 공고를 다양한 채널로 전달하는지 확인  조직이 주주총회 소집을 공고하는 방법을 점검</t>
        </is>
      </c>
      <c r="H63" s="28" t="inlineStr">
        <is>
          <t>주주총회 소집 통지서 外 다음의 방식에 따른 공고 1) 조직의 사업장 게시판, 2) 조직의 온라인 홈페이지, 3) 명의개서대행사, 4) 일간지(신문), 5) 전자공시시스템, 6) 기타</t>
        </is>
      </c>
      <c r="I63" s="28" t="inlineStr">
        <is>
          <t>직전 회계연도</t>
        </is>
      </c>
      <c r="J63" s="27" t="inlineStr">
        <is>
          <t>N/A</t>
        </is>
      </c>
      <c r="K63" s="27" t="inlineStr">
        <is>
          <t>N/A</t>
        </is>
      </c>
      <c r="L63" s="29" t="inlineStr">
        <is>
          <t>단계형</t>
        </is>
      </c>
      <c r="M63" s="26" t="n">
        <v>5</v>
      </c>
      <c r="N63" s="28" t="inlineStr">
        <is>
          <t>단계형: 1단계=0점 / 2단계=25점 / 3단계=50점 / 4단계=75점 / 5단계=100점</t>
        </is>
      </c>
      <c r="O63" s="27" t="inlineStr">
        <is>
          <t>1단계 |  주주총회 소집 공고를 서면으로만 통지하거나, 주주의 동의를 받아 전자문서로만 하는 경우 |  2단계 |  서면 또는 전자문서로 통지하는 방식 外 1개의 추가 방식을 이용하는 경우 |  3단계 |  서면 또는 전자문서로 통지하는 방식 外 2개의 추가 방식을 이용하는 경우 |  4단계 |  서면 또는 전자문서로 통지하는 방식 外 3개의 추가 방식을 이용하는 경우 |  5단계 |  서면 또는 전자문서로 통지하는 방식 外 4개 이상의 추가 방식을 이용하는 경우</t>
        </is>
      </c>
      <c r="P63" s="33" t="inlineStr">
        <is>
          <t>GAP(대응지표 없음)</t>
        </is>
      </c>
      <c r="Q63" s="27" t="inlineStr">
        <is>
          <t>KSSB 주주총회 절차 별도 규정 없음</t>
        </is>
      </c>
      <c r="R63" s="28" t="inlineStr">
        <is>
          <t>지배구조보고서 가이드라인</t>
        </is>
      </c>
      <c r="S63" s="27" t="inlineStr">
        <is>
          <t>1_2_0_업종별 K-ESG 가이드라인(v2.0) 진단항목</t>
        </is>
      </c>
      <c r="T63" s="22" t="n"/>
      <c r="U63" s="23" t="n"/>
      <c r="V63" s="23" t="n"/>
      <c r="W63" s="23" t="n"/>
      <c r="X63" s="30">
        <f>IF(T63="","",MAX(1,SUMPRODUCT(('02_점수산정참고표'!$A$2:$A$314=$B63)*('02_점수산정참고표'!$C$2:$C$314=T63)*'02_점수산정참고표'!$E$2:$E$314)))</f>
        <v/>
      </c>
      <c r="Y63" s="28" t="inlineStr">
        <is>
          <t> 기업은 주주총회의 개최 일시, 장소 및 의안에 관한 정보를 사전에 주주에게 제공해야 한다. 주주에게 제공되는 정보는 주주가 의안을 사전에 검토하여 객관적이고 합리적인 판단을 내릴 수 있도록 충분해야 하며, 주주총회의 개최 일시와 장소는 최대한 많은 주주가 참여할 수 있도록 충분한 기간 전에 서면 또는 주주의 동의하에 전자문서로 통지하여야 한다.  ｢상법｣ 제363조에서는 주주총회 소집 통지와 관련하여 아래의 사항들을 명시하고 있다. 1) 주주총회를 소집할 때에는 주주총회일의 2주 전에 각 주주에게 서면으로 통지를 발송하거나 각 주주의 동의를 받아 전자문서로 통지를 발송하여야 한다. 다만, 그 통지가 주주명부상 주주의 주소에 계속 3년간 도달하지 아니한 경우에는…</t>
        </is>
      </c>
      <c r="Z63" s="28" t="n"/>
      <c r="AA63" s="25" t="inlineStr">
        <is>
          <t>주총 소집 공고를 법정기일보다 빠른 3주/4주 전에 이행합니까?</t>
        </is>
      </c>
      <c r="AB63" s="25" t="inlineStr">
        <is>
          <t>단계(1~5)</t>
        </is>
      </c>
    </row>
    <row r="64" ht="91.5" customHeight="1">
      <c r="A64" s="16" t="n">
        <v>63</v>
      </c>
      <c r="B64" s="17" t="inlineStr">
        <is>
          <t>G-3-2</t>
        </is>
      </c>
      <c r="C64" s="18" t="inlineStr">
        <is>
          <t>기본진단항목(v2.0)</t>
        </is>
      </c>
      <c r="D64" s="37" t="inlineStr">
        <is>
          <t>지배구조</t>
        </is>
      </c>
      <c r="E64" s="18" t="inlineStr">
        <is>
          <t>주주권리</t>
        </is>
      </c>
      <c r="F64" s="18" t="inlineStr">
        <is>
          <t>주주총회 집중일 이외 개최</t>
        </is>
      </c>
      <c r="G64" s="18" t="inlineStr">
        <is>
          <t> 주주가 주주총회의 안건을 검토하고 분석하기 위한 충분한 시간과 여건이 확보될 수 있도록 주주총회가 개최되고 있는지 확인  조직이 주주총회 개최일을 지정하는데 있어, 주주를 포함한 주주총회 관련 내/외부 이해관계자의 의견수렴 과정을 진행하고 있는지를 점검</t>
        </is>
      </c>
      <c r="H64" s="18" t="inlineStr">
        <is>
          <t>주주총회 개최일, 주주총회 개최 계획</t>
        </is>
      </c>
      <c r="I64" s="18" t="inlineStr">
        <is>
          <t>직전 회계연도</t>
        </is>
      </c>
      <c r="J64" s="17" t="inlineStr">
        <is>
          <t>N/A</t>
        </is>
      </c>
      <c r="K64" s="17" t="inlineStr">
        <is>
          <t>N/A</t>
        </is>
      </c>
      <c r="L64" s="20" t="inlineStr">
        <is>
          <t>선택형</t>
        </is>
      </c>
      <c r="M64" s="16" t="n">
        <v>5</v>
      </c>
      <c r="N64" s="18" t="inlineStr">
        <is>
          <t>선택형: 요건1=0점 / 요건2=25점 / 요건3=50점 / 요건4=75점 / 요건5=100점</t>
        </is>
      </c>
      <c r="O64" s="18" t="inlineStr">
        <is>
          <t>요건1 |  주주총회 개최일을 지정하는데 있어, 재무결산 및 감사보고서 발행일을 고려함 |  요건2 |  주주총회 개최일을 지정하는데 있어, 조직의 연간 업무계획 및 경영진 등의 업무일정을 고려함 |  요건3 |  주주총회 개최일을 지정하는데 있어, 연기금, 기관투자자, 의결권자문사 등의 주요 시장 참여자 의견을 수렴함 |  요건4 |  주주총회 개최일을 지정하는데 있어, 소액주주 및 기타 이해관계자 등의 의견을 수렴함 |  요건5 |  주주총회 개최일을 지정하는데 있어, 주주총회 예상 집중일을 고려함</t>
        </is>
      </c>
      <c r="P64" s="33" t="inlineStr">
        <is>
          <t>GAP(대응지표 없음)</t>
        </is>
      </c>
      <c r="Q64" s="17" t="inlineStr">
        <is>
          <t>KSSB 별도 규정 없음</t>
        </is>
      </c>
      <c r="R64" s="18" t="inlineStr">
        <is>
          <t>지배구조보고서 가이드라인</t>
        </is>
      </c>
      <c r="S64" s="17" t="inlineStr">
        <is>
          <t>1_2_0_업종별 K-ESG 가이드라인(v2.0) 진단항목</t>
        </is>
      </c>
      <c r="T64" s="22" t="n"/>
      <c r="U64" s="23" t="n"/>
      <c r="V64" s="23" t="n"/>
      <c r="W64" s="23" t="n"/>
      <c r="X64" s="24">
        <f>IF(T64="","",MAX(1,SUMPRODUCT(('02_점수산정참고표'!$A$2:$A$314=$B64)*('02_점수산정참고표'!$C$2:$C$314=T64)*'02_점수산정참고표'!$E$2:$E$314)))</f>
        <v/>
      </c>
      <c r="Y64" s="18" t="inlineStr">
        <is>
          <t> 기업은 주주총회의 개최 일시, 장소 및 의안에 관한 정보를 사전에 주주에게 제공해야 한다. 주주에게 제공되는 정보는 주주가 의안을 사전에 검토하여 객관적이고 합리적인 판단을 내릴 수 있도록 충분해야 하며, 주주총회의 개최 일시와 장소는 최대한 많은 주주가 참여할 수 있도록 충분한 기간 전에 서면 또는 주주의 동의하에 전자문서로 통지하여야 한다.  ｢상법｣ 제363조에서는 주주총회를 소집하기 위해 아래의 사항을 통지할 것을 명시하고 있다. 1) 주주총회를 소집할 때에는 주주총회일의 2주 전에 각 주주에게 서면으로 통지를 발송하거나 각 주주의 동의를 받아 전자문서로 통지를 발송하여야 한다. 다만, 그 통지가 주주명부상 주주의 주소에 3년간 지속적으로 도달하지 아니한…</t>
        </is>
      </c>
      <c r="Z64" s="18" t="n"/>
      <c r="AA64" s="25" t="inlineStr">
        <is>
          <t>지배구조 보고서 내 '주주총회 집중일 이외 개최' 지표를 준수하고 있습니까?</t>
        </is>
      </c>
      <c r="AB64" s="25" t="inlineStr">
        <is>
          <t>단계(1~5)</t>
        </is>
      </c>
    </row>
    <row r="65" ht="91.5" customHeight="1">
      <c r="A65" s="26" t="n">
        <v>64</v>
      </c>
      <c r="B65" s="27" t="inlineStr">
        <is>
          <t>G-3-3</t>
        </is>
      </c>
      <c r="C65" s="28" t="inlineStr">
        <is>
          <t>기본진단항목(v2.0)</t>
        </is>
      </c>
      <c r="D65" s="37" t="inlineStr">
        <is>
          <t>지배구조</t>
        </is>
      </c>
      <c r="E65" s="28" t="inlineStr">
        <is>
          <t>주주권리</t>
        </is>
      </c>
      <c r="F65" s="28" t="inlineStr">
        <is>
          <t>집중/전자/서면 투표제</t>
        </is>
      </c>
      <c r="G65" s="28" t="inlineStr">
        <is>
          <t> 조직의 모든 주주가 의결권을 용이하게 행사할 수 있으며, 소수주주에게 이해관계를 대변할 수 있는 이사 선임 기회를 제공하고 있는지 확인  국내 ｢상법｣ 上 조직의 자율적 의사결정에 따라 선택할 수 있는 소수주주 보호장치인 ‘서면투표제’, ‘전자투표제’, ‘집중투표제’ 도입 여부를 점검</t>
        </is>
      </c>
      <c r="H65" s="28" t="inlineStr">
        <is>
          <t>조직의 정관, 이사회 결의사항</t>
        </is>
      </c>
      <c r="I65" s="28" t="inlineStr">
        <is>
          <t>직전 회계연도</t>
        </is>
      </c>
      <c r="J65" s="27" t="inlineStr">
        <is>
          <t>N/A</t>
        </is>
      </c>
      <c r="K65" s="27" t="inlineStr">
        <is>
          <t>N/A</t>
        </is>
      </c>
      <c r="L65" s="29" t="inlineStr">
        <is>
          <t>복합가중형</t>
        </is>
      </c>
      <c r="M65" s="26" t="n"/>
      <c r="N65" s="28" t="inlineStr">
        <is>
          <t>복합가중형: 2~3개 세부요소를 균등가중평균(예: 1/2+1/2, 1/3×3) — 세부 배점은 점검기준 상세 참조, 자사취득점수는 수동 산정</t>
        </is>
      </c>
      <c r="O65" s="28" t="inlineStr">
        <is>
          <t>집중투표제 도입 서면투표제 도입 전자투표제 도입 |  (1/5) (2/5) (2/5) |  1단계 정관에서 집중투표제를 배제 정관에서 서면투표제를 배제 정관에서 전자투표제를 배제하고 |  하고 있다. 하고 있다. 있다. |  2단계 정관에서 집중투표제를 명시 정관에서 서면투표제를 명시 정관에서 전자투표제를 명시하거나, |  하고 있다. 하고 있다. 이사회 결의로 도입하고 있다.</t>
        </is>
      </c>
      <c r="P65" s="33" t="inlineStr">
        <is>
          <t>GAP(대응지표 없음)</t>
        </is>
      </c>
      <c r="Q65" s="27" t="inlineStr">
        <is>
          <t>KSSB 별도 규정 없음</t>
        </is>
      </c>
      <c r="R65" s="28" t="inlineStr">
        <is>
          <t>지배구조보고서 가이드라인</t>
        </is>
      </c>
      <c r="S65" s="27" t="inlineStr">
        <is>
          <t>1_2_0_업종별 K-ESG 가이드라인(v2.0) 진단항목</t>
        </is>
      </c>
      <c r="T65" s="34" t="inlineStr">
        <is>
          <t>해당없음(복합가중형)</t>
        </is>
      </c>
      <c r="U65" s="23" t="n"/>
      <c r="V65" s="23" t="n"/>
      <c r="W65" s="23" t="n"/>
      <c r="X65" s="35" t="n"/>
      <c r="Y65" s="28" t="inlineStr">
        <is>
          <t> 조직은 주주가 보유하고 있는 기본적인 권리 행사, 재산 보호, 이해관계 대변 등을 용이하게 할 수 있도록 직접적 또는 간접적인 방법을 의결권을 행사할 수 있는 기회를 보장해야 한다. 주주의 의결권 행사 용이성을 높일 수 있는 장치로는 ‘서면투표제’와 ‘전자투표제’가 있다. 주주가 직접 출석하지 않더라도 의결권을 행사할 수 있는 장치를 마련한다면, 조직의 중요한 의사결정에 주주의 의사를 결집하여 반영할 수 있고, 조직에 대한 견제/감독도 수월해지게 된다. 또한, 조직은 주주총회에 소요되는 경비를 절감할 수 있으며, 더 나아가 조직이 필요로 하는 안건에 대해 의결권을 확보하는 데에 도움이 될 수 있다. - 국제기업지배구조네트워크인 ICGN이 2014년 발표한 ｢적극적…</t>
        </is>
      </c>
      <c r="Z65" s="28" t="n"/>
      <c r="AA65" s="25" t="inlineStr">
        <is>
          <t>집중/전자/서면 투표제에 대한 현황을 관리·공시하고 있습니까?</t>
        </is>
      </c>
      <c r="AB65" s="25" t="inlineStr">
        <is>
          <t>단계(1~5)</t>
        </is>
      </c>
    </row>
    <row r="66" ht="91.5" customHeight="1">
      <c r="A66" s="16" t="n">
        <v>65</v>
      </c>
      <c r="B66" s="17" t="inlineStr">
        <is>
          <t>G-3-4</t>
        </is>
      </c>
      <c r="C66" s="18" t="inlineStr">
        <is>
          <t>기본진단항목(v2.0)</t>
        </is>
      </c>
      <c r="D66" s="37" t="inlineStr">
        <is>
          <t>지배구조</t>
        </is>
      </c>
      <c r="E66" s="18" t="inlineStr">
        <is>
          <t>주주권리</t>
        </is>
      </c>
      <c r="F66" s="18" t="inlineStr">
        <is>
          <t>배당정책 및 이행</t>
        </is>
      </c>
      <c r="G66" s="18" t="inlineStr">
        <is>
          <t> 조직이 주주가치 증진 및 투자의사결정에 필요한 배당 관련 정보를 적시에 충분하게 안내하고, 적절하게 배당을 실시했는지 확인  주주에게 배당정책 및 배당계획을 충실히 통지함과 동시에, 배당정책 및 배당계획에 따라 실제 배당을 진행하였는지 점검</t>
        </is>
      </c>
      <c r="H66" s="18" t="inlineStr">
        <is>
          <t>배정정책, 현금현물배당결정</t>
        </is>
      </c>
      <c r="I66" s="18" t="inlineStr">
        <is>
          <t>직전 회계연도</t>
        </is>
      </c>
      <c r="J66" s="17" t="inlineStr">
        <is>
          <t>N/A</t>
        </is>
      </c>
      <c r="K66" s="17" t="inlineStr">
        <is>
          <t>N/A</t>
        </is>
      </c>
      <c r="L66" s="20" t="inlineStr">
        <is>
          <t>단계형</t>
        </is>
      </c>
      <c r="M66" s="16" t="n">
        <v>3</v>
      </c>
      <c r="N66" s="18" t="inlineStr">
        <is>
          <t>단계형: 1단계=0점 / 2단계=50점 / 3단계=100점</t>
        </is>
      </c>
      <c r="O66" s="17" t="inlineStr">
        <is>
          <t>1단계 |  주주에게 배당정책 및 배당계획을 통지하지 아니한 경우 |  2단계 |  주주에게 배당정책 및 배당계획을 연 1회 이상 통지한 경우 |  3단계 |  주주에게 배당정책 및 배당계획을 연 1회 인상 통지하였으며, 배당정책 및 배당계획대로 배당을 집행한 경우</t>
        </is>
      </c>
      <c r="P66" s="33" t="inlineStr">
        <is>
          <t>GAP(대응지표 없음)</t>
        </is>
      </c>
      <c r="Q66" s="17" t="inlineStr">
        <is>
          <t>KSSB 별도 규정 없음</t>
        </is>
      </c>
      <c r="R66" s="18" t="inlineStr">
        <is>
          <t>지배구조보고서 가이드라인, 한국거래소 지침</t>
        </is>
      </c>
      <c r="S66" s="17" t="inlineStr">
        <is>
          <t>1_2_0_업종별 K-ESG 가이드라인(v2.0) 진단항목</t>
        </is>
      </c>
      <c r="T66" s="22" t="n"/>
      <c r="U66" s="23" t="n"/>
      <c r="V66" s="23" t="n"/>
      <c r="W66" s="23" t="n"/>
      <c r="X66" s="24">
        <f>IF(T66="","",MAX(1,SUMPRODUCT(('02_점수산정참고표'!$A$2:$A$314=$B66)*('02_점수산정참고표'!$C$2:$C$314=T66)*'02_점수산정참고표'!$E$2:$E$314)))</f>
        <v/>
      </c>
      <c r="Y66" s="18" t="inlineStr">
        <is>
          <t> 배당정책이란 조직의 향후 배당목표에 대해 주주에게 제공하는 설명으로서, 배당수준의 유지, 확대, 축소에 관한 방향성, 배당목표 결정 시 사용된 재무지표와 이를 산출한 방법, 기타 자사주 매입 및 소각 계획 등을 포함해야 한다. 또한, 조직의 당해연도 배당계획에는 아래의 정보들이 포함되어야 한다. - 배당규모 : 주당배당금, 배당수익률 - 배당성향 : 배당수준 유지, 확대, 축소 - 배당형태 : 현금배당, 주식배당, 기타 현물배당 - 배당시기 : 분기배당, 중간배당, 결산배당  조직의 단순한 배당성향 및 배당수익률 증가는 주주가치 증진과 직접 연계되어 있지 않다. 해당 항목은 주주가치 증진을 위해 배당성향 및 배당수익률 증가를 요구하는 것이 아니라, 주주가…</t>
        </is>
      </c>
      <c r="Z66" s="18" t="n"/>
      <c r="AA66" s="25" t="inlineStr">
        <is>
          <t>중장기 배당 정책 수립/공시 및 선 배당액 확정 밸류업 정책을 이행합니까?</t>
        </is>
      </c>
      <c r="AB66" s="25" t="inlineStr">
        <is>
          <t>단계(1~5)</t>
        </is>
      </c>
    </row>
    <row r="67" ht="91.5" customHeight="1">
      <c r="A67" s="26" t="n">
        <v>66</v>
      </c>
      <c r="B67" s="27" t="inlineStr">
        <is>
          <t>G-4-1</t>
        </is>
      </c>
      <c r="C67" s="28" t="inlineStr">
        <is>
          <t>기본진단항목(v2.0)</t>
        </is>
      </c>
      <c r="D67" s="37" t="inlineStr">
        <is>
          <t>지배구조</t>
        </is>
      </c>
      <c r="E67" s="28" t="inlineStr">
        <is>
          <t>윤리경영</t>
        </is>
      </c>
      <c r="F67" s="28" t="inlineStr">
        <is>
          <t>윤리규범 위반사항 공시</t>
        </is>
      </c>
      <c r="G67" s="28" t="inlineStr">
        <is>
          <t> 조직이 구성원의 윤리규범 위반 행위(부당한 이익이나 뇌물의 수수, 불공정 경쟁 및 거래, 제품/서비스 책임 소홀, 구성원 상호 간 모독 및 비하, 기타 사회적 책임 등)를 관리·감독함과 동시에, 구성원의 윤리규범 위반행위가 재발하지 않도록 내부개선이 이루어지고 있는지 확인  이해관계자와의 신뢰성 및 투명성 관점을 고려하여, 조직이 윤리규범 위반 행위와 개선활동을 대외공시하고 있는지 점검</t>
        </is>
      </c>
      <c r="H67" s="28" t="inlineStr">
        <is>
          <t>윤리규범 위반 내역 및 조치경과</t>
        </is>
      </c>
      <c r="I67" s="28" t="inlineStr">
        <is>
          <t>직전 회계연도</t>
        </is>
      </c>
      <c r="J67" s="27" t="inlineStr">
        <is>
          <t>N/A</t>
        </is>
      </c>
      <c r="K67" s="27" t="inlineStr">
        <is>
          <t>N/A</t>
        </is>
      </c>
      <c r="L67" s="29" t="inlineStr">
        <is>
          <t>선택형</t>
        </is>
      </c>
      <c r="M67" s="26" t="n">
        <v>5</v>
      </c>
      <c r="N67" s="28" t="inlineStr">
        <is>
          <t>선택형: 요건1=0점 / 요건2=25점 / 요건3=50점 / 요건4=75점 / 요건5=100점</t>
        </is>
      </c>
      <c r="O67" s="28" t="inlineStr">
        <is>
          <t>요건1 |  윤리규범 위반 건수를 공시하고 있는 경우 |  요건2 |  윤리규범 위반한 구성원 수를 공시하고 있는 경우 |  요건3 |  윤리규범 위반 건과 관련한 처벌내역(사법상, 행정상)을 공시하고 있는 경우 |  요건4 |  윤리규범 위반 건과 관련된 구성원 처분내역(인사상)을 공시하고 있는 경우 |  요건5 |  윤리규범 위반 사건 재발방지를 위한 개선활동 및 계획을 공시하고 있는 경우 |  * 선택 항목의 합산값으로 평가</t>
        </is>
      </c>
      <c r="P67" s="21" t="inlineStr">
        <is>
          <t>부분대응</t>
        </is>
      </c>
      <c r="Q67" s="27" t="inlineStr">
        <is>
          <t>KSSB 제1호 위험관리 원칙 준용</t>
        </is>
      </c>
      <c r="R67" s="27" t="inlineStr">
        <is>
          <t>GRI 205, 2-26</t>
        </is>
      </c>
      <c r="S67" s="27" t="inlineStr">
        <is>
          <t>1_2_0_업종별 K-ESG 가이드라인(v2.0) 진단항목</t>
        </is>
      </c>
      <c r="T67" s="22" t="n"/>
      <c r="U67" s="23" t="n"/>
      <c r="V67" s="23" t="n"/>
      <c r="W67" s="23" t="n"/>
      <c r="X67" s="30">
        <f>IF(T67="","",MAX(1,SUMPRODUCT(('02_점수산정참고표'!$A$2:$A$314=$B67)*('02_점수산정참고표'!$C$2:$C$314=T67)*'02_점수산정참고표'!$E$2:$E$314)))</f>
        <v/>
      </c>
      <c r="Y67" s="28" t="inlineStr">
        <is>
          <t> 윤리규범이란 윤리경영을 실천하기 위한 올바른 의사결정과 윤리적 판단 기준을 구성원에게 제공하는 것으로서, 조직에 속한 구성원 및 해당 조직과 거래관계에 있는 자들이 업무수행 과정에서 준수해야 하는 행동방식이 담겨 있는 문서를 지칭한다. 조직마다 윤리규범을 일컫는 용어는 다양하며, 윤리헌장, 윤리강령, 행동강령, 행동규범, 청렴규범 등의 용어가 존재한다.  윤리규범 위반이란 조직이 제정한 윤리규범에서 다루는 행동방식을 위반한 행위를 하는 경우 및 이에 준하는 사회통념적 윤리기준을 위반한 행위를 통칭한다. 이러한 윤리규범 위반 행위에 포함되는 사례는 다음과 같다. 이해관계 상충 행위 금품 및 향응 수수 직무권한 및 지위 남용 공정거래 미준수 행위 부정경쟁 행위…</t>
        </is>
      </c>
      <c r="Z67" s="28" t="n"/>
      <c r="AA67" s="25" t="inlineStr">
        <is>
          <t>최근 4개년 간 횡령, 배임, 뇌물 등 부패 위반 제재 내역이 있습니까?</t>
        </is>
      </c>
      <c r="AB67" s="25" t="inlineStr">
        <is>
          <t>단계(1~5)</t>
        </is>
      </c>
    </row>
    <row r="68" ht="91.5" customHeight="1">
      <c r="A68" s="16" t="n">
        <v>67</v>
      </c>
      <c r="B68" s="17" t="inlineStr">
        <is>
          <t>G-5-1</t>
        </is>
      </c>
      <c r="C68" s="18" t="inlineStr">
        <is>
          <t>기본진단항목(v2.0)</t>
        </is>
      </c>
      <c r="D68" s="37" t="inlineStr">
        <is>
          <t>지배구조</t>
        </is>
      </c>
      <c r="E68" s="18" t="inlineStr">
        <is>
          <t>감사기구</t>
        </is>
      </c>
      <c r="F68" s="18" t="inlineStr">
        <is>
          <t>내부감사부서 설치</t>
        </is>
      </c>
      <c r="G68" s="18" t="inlineStr">
        <is>
          <t> 조직의 재무, 회계, 감사 관련 부정사안, 기타 내부통제 관련 현안 등을 상시적으로 점검하고, 중요한 의사결정사항 및 관련 정보를 감사위원회에 보고하는 거버넌스 체계가 구축되어 있는지 확인  조직이 내부감사부서를 두고 있는지, 내부감사부서의 책임과 역할을 명확히 규정하고 있는지 점검</t>
        </is>
      </c>
      <c r="H68" s="18" t="inlineStr">
        <is>
          <t>내부감사부서 등 조직도 및 업무분장</t>
        </is>
      </c>
      <c r="I68" s="18" t="inlineStr">
        <is>
          <t>직전 회계연도</t>
        </is>
      </c>
      <c r="J68" s="17" t="inlineStr">
        <is>
          <t>N/A</t>
        </is>
      </c>
      <c r="K68" s="17" t="inlineStr">
        <is>
          <t>N/A</t>
        </is>
      </c>
      <c r="L68" s="20" t="inlineStr">
        <is>
          <t>단계형</t>
        </is>
      </c>
      <c r="M68" s="16" t="n">
        <v>5</v>
      </c>
      <c r="N68" s="18" t="inlineStr">
        <is>
          <t>단계형: 1단계=0점 / 2단계=25점 / 3단계=50점 / 4단계=75점 / 5단계=100점</t>
        </is>
      </c>
      <c r="O68" s="17" t="inlineStr">
        <is>
          <t>1단계 |  내부감사부서를 두고 있지 않거나, 감사 관련 업무를 수행하는 부서 또는 업무분장을 두고 있지 않은 경우 |  2단계 |  내부감사부서를 두고 있지 않으나, 감사 관련 업무를 수행하는 기타 부서 및 업무분장이 있는 경우 |  3단계 |  내부감사부서를 두고 있으나, 내부감사부서의 업무분장 등에 감사위원회 업무지원과 관련한 내용을 명시하지 않은 경우 |  4단계 |  내부감사부서를 두고 있으며, 내부감사부서의 업무분장 등에 감사위원회 업무지원과 관련한 내용을 명시한 경우 |  5단계 |  감사위원회 지원 역할만을 수행하는 별도 전담부서 또는 업무분장이 규정되어 있는 경우</t>
        </is>
      </c>
      <c r="P68" s="21" t="inlineStr">
        <is>
          <t>부분대응</t>
        </is>
      </c>
      <c r="Q68" s="17" t="inlineStr">
        <is>
          <t>KSSB 제1호 문단 27(1) 내부통제 취지 준용</t>
        </is>
      </c>
      <c r="R68" s="18" t="inlineStr">
        <is>
          <t>외감법, KCGS</t>
        </is>
      </c>
      <c r="S68" s="17" t="inlineStr">
        <is>
          <t>1_2_0_업종별 K-ESG 가이드라인(v2.0) 진단항목</t>
        </is>
      </c>
      <c r="T68" s="22" t="n"/>
      <c r="U68" s="23" t="n"/>
      <c r="V68" s="23" t="n"/>
      <c r="W68" s="23" t="n"/>
      <c r="X68" s="24">
        <f>IF(T68="","",MAX(1,SUMPRODUCT(('02_점수산정참고표'!$A$2:$A$314=$B68)*('02_점수산정참고표'!$C$2:$C$314=T68)*'02_점수산정참고표'!$E$2:$E$314)))</f>
        <v/>
      </c>
      <c r="Y68" s="18" t="inlineStr">
        <is>
          <t> 감사위원회의 회계감사 및 내부통제 업무를 보조하거나, 지원할 수 있는 내부감사부서 설치가 필요하다. 감사위원회는 조직의 회계, 재무, 감사에 관한 감독 등 내부통제제도에 관한 사항을 심의하는 역할에 집중하고 있어, 일상적인 감사 관련 업무를 수행하는데 한계가 있기 때문이다. 특히, 감사위원회가 전원 사외이사로만 구성되어 있을 경우, 조직의 회계, 재무, 감사에 관한 정보 접근성에 제약이 발생하기 때문에, 이를 보완할 수 있는 조직으로서 내부감사부서 설치는 필요하다.  국내 ｢상법｣에서는 상장회사 등에 내부감사부서 설치를 강제하는 규정이 없으나, ｢금융회사의 지배구조에 관한 법률｣ 제20조 및 ｢공공기관 운영에 관한 법률｣ 제32조에는 ‘감사위원회 또는 감사’의…</t>
        </is>
      </c>
      <c r="Z68" s="18" t="n"/>
      <c r="AA68" s="25" t="inlineStr">
        <is>
          <t>감사위 직속 독립 내부감사 부서 및 인사권이 보장되어 있습니까?</t>
        </is>
      </c>
      <c r="AB68" s="25" t="inlineStr">
        <is>
          <t>단계(1~5)</t>
        </is>
      </c>
    </row>
    <row r="69" ht="91.5" customHeight="1">
      <c r="A69" s="26" t="n">
        <v>68</v>
      </c>
      <c r="B69" s="27" t="inlineStr">
        <is>
          <t>G-5-2</t>
        </is>
      </c>
      <c r="C69" s="28" t="inlineStr">
        <is>
          <t>기본진단항목(v2.0)</t>
        </is>
      </c>
      <c r="D69" s="37" t="inlineStr">
        <is>
          <t>지배구조</t>
        </is>
      </c>
      <c r="E69" s="28" t="inlineStr">
        <is>
          <t>감사기구</t>
        </is>
      </c>
      <c r="F69" s="28" t="inlineStr">
        <is>
          <t>감사기구 전문성 (감사기구 내 회계/재무 전문가)</t>
        </is>
      </c>
      <c r="G69" s="28" t="inlineStr">
        <is>
          <t> 조직의 감사위원회(또는 감사)가 거시경제 흐름 및 업종동향에 대한 직관, 상법 등 관련 법률 소양, 회계/재무/감사에 관한 전문적 지식을 보유하고 있는지 확인  국내 법률상 규정되어 있는 감사위원회 전문성 조건을 상회하여, 회계 및 재무 전문가를 감사위원으로 선임하고 있는지 점검</t>
        </is>
      </c>
      <c r="H69" s="28" t="inlineStr">
        <is>
          <t>감사위원회(또는 감사) 구성</t>
        </is>
      </c>
      <c r="I69" s="28" t="inlineStr">
        <is>
          <t>직전 회계연도</t>
        </is>
      </c>
      <c r="J69" s="27" t="inlineStr">
        <is>
          <t>N/A</t>
        </is>
      </c>
      <c r="K69" s="27" t="inlineStr">
        <is>
          <t>N/A</t>
        </is>
      </c>
      <c r="L69" s="29" t="inlineStr">
        <is>
          <t>단계형</t>
        </is>
      </c>
      <c r="M69" s="26" t="n">
        <v>3</v>
      </c>
      <c r="N69" s="28" t="inlineStr">
        <is>
          <t>단계형: 1단계=0점 / 2단계=50점 / 3단계=100점</t>
        </is>
      </c>
      <c r="O69" s="27" t="inlineStr">
        <is>
          <t>1단계 |  감사위원회 내 회계 및 재무 분야 전문성을 보유한 감사위원이 1명 선임되어 있는 경우 |  2단계 |  감사위원회 내 회계 및 재무 전문가가 1명 이상 선임되어 있으나, 전체 감사위원 중 50% 이하인 경우 |  3단계 |  감사위원회 내 회계 및 재무 전문가가 1명 이상 선임되어 있으며, 전체 감사위원 중 50% 초과한 경우</t>
        </is>
      </c>
      <c r="P69" s="21" t="inlineStr">
        <is>
          <t>부분대응</t>
        </is>
      </c>
      <c r="Q69" s="27" t="inlineStr">
        <is>
          <t>KSSB 제1호 문단 27(1)ㄏ 전문성 취지 준용</t>
        </is>
      </c>
      <c r="R69" s="27" t="inlineStr">
        <is>
          <t>KCGS</t>
        </is>
      </c>
      <c r="S69" s="27" t="inlineStr">
        <is>
          <t>1_2_0_업종별 K-ESG 가이드라인(v2.0) 진단항목</t>
        </is>
      </c>
      <c r="T69" s="22" t="n"/>
      <c r="U69" s="23" t="n"/>
      <c r="V69" s="23" t="n"/>
      <c r="W69" s="23" t="n"/>
      <c r="X69" s="30">
        <f>IF(T69="","",MAX(1,SUMPRODUCT(('02_점수산정참고표'!$A$2:$A$314=$B69)*('02_점수산정참고표'!$C$2:$C$314=T69)*'02_점수산정참고표'!$E$2:$E$314)))</f>
        <v/>
      </c>
      <c r="Y69" s="28" t="inlineStr">
        <is>
          <t> 감사위원회의 기본적 업무는 회계감사이며, 감사위원회가 효과적으로 기능하기 위해서는 감사위원이 조직과 이해관계 상충이 없다는 ‘독립성’ 요건을 충족하는 것 이외에 회계, 재무, 감사 분야의 ‘전문성’이 확보되어야 한다. 특히, 감사위원회의 핵심 역할은 재무제표 작성 및 회계감사를 감독하는 업무이므로, 회계 및 감사 업무의 전문성은 꼭 필요하다.  국내 상장회사 및 금융회사의 감사위원회 내 회계 및 재무 분야 전문성을 보유한 감사위원을 선임해야 한다는 규정은 ｢상법｣ 제542조의11 및 ｢금융회사의 지배구조에 관한 법률｣ 제19조에 명시되어 있다. - ｢상법｣ 제542조의11 : 자산규모 2조 원 이상 상장회사 및 자산규모 1천억 원 이상 상장회사 중 감사위원회를…</t>
        </is>
      </c>
      <c r="Z69" s="28" t="n"/>
      <c r="AA69" s="25" t="inlineStr">
        <is>
          <t>감사위원회 내 재무/회계 전문가(공인회계사 등)를 확보하고 있습니까?</t>
        </is>
      </c>
      <c r="AB69" s="25" t="inlineStr">
        <is>
          <t>단계(1~5)</t>
        </is>
      </c>
    </row>
    <row r="70" ht="91.5" customHeight="1">
      <c r="A70" s="16" t="n">
        <v>69</v>
      </c>
      <c r="B70" s="17" t="inlineStr">
        <is>
          <t>G-6-1</t>
        </is>
      </c>
      <c r="C70" s="18" t="inlineStr">
        <is>
          <t>기본진단항목(v2.0)</t>
        </is>
      </c>
      <c r="D70" s="37" t="inlineStr">
        <is>
          <t>지배구조</t>
        </is>
      </c>
      <c r="E70" s="18" t="inlineStr">
        <is>
          <t>지배구조 법/규제 위반</t>
        </is>
      </c>
      <c r="F70" s="18" t="inlineStr">
        <is>
          <t>지배구조 법/규제 위반</t>
        </is>
      </c>
      <c r="G70" s="18" t="inlineStr">
        <is>
          <t> 조직이 주주권리 보호, 이사회 및 경영진 등 최고 거버넌스 운영, 상호출자 등 소유구조, 특수관계인 거래 등과 관련한 법/규제를 명확하게 인식하고, 지배구조 리스크 해결을 위한 제도 및 활동을 도입하고 있는지 확인  지배구조 관련 법/규제 위반 건 중 조직의 재무구조 및 명성 관리에 상당한 영향력을 미치는 사법상 형벌, 행정상 처분(금전적, 비금전적)에 대해 가중치를 달리 적용해 점검</t>
        </is>
      </c>
      <c r="H70" s="18" t="inlineStr">
        <is>
          <t>‘전자공시시스템’ 上 사업보고서, ‘조직별 홈페이지’ 上 지속가능경영보고서</t>
        </is>
      </c>
      <c r="I70" s="18" t="inlineStr">
        <is>
          <t>최근 4개 회계연도</t>
        </is>
      </c>
      <c r="J70" s="17" t="inlineStr">
        <is>
          <t>N/A</t>
        </is>
      </c>
      <c r="K70" s="17" t="inlineStr">
        <is>
          <t>∑(지배구조 법/규제 위반 건 * 처벌수위별 감점 기준)</t>
        </is>
      </c>
      <c r="L70" s="20" t="inlineStr">
        <is>
          <t>감점형</t>
        </is>
      </c>
      <c r="M70" s="16" t="n">
        <v>3</v>
      </c>
      <c r="N70" s="18" t="inlineStr">
        <is>
          <t>감점형: 기준 100점에서 위반유형별(-50/-30/-10점) 차감(중복 적용 가능), 최저 0점</t>
        </is>
      </c>
      <c r="O70" s="18" t="inlineStr">
        <is>
          <t>유형 1 |  지난 4개년 간 지배구조 법/규제 위반내역 중 처분이 확정된 건수에 대해, 처벌수위가 사법상 형벌, 벌금, 과료인 경우, 또는 지배 |  구조 법/규제 위반으로 인해 국가나 지방자치단체를 당사자로 하는 계약에서 입찰참가자격을 제한당한 경우 |  유형 2 |  지난 4개년 간 지배구조 법/규제 위반내역 중 처분이 확정된 건수에 대해, 지배구조 법/규제 위반의 처벌수위가 행정상 처분 중 |  금전적 처분에 해당하는 과태료, 과징금, 이행강제금 등인 경우 |  유형 3 |  지난 4개년 간 지배구조 법/규제 위반내역 중 처분이 확정된 건수에 대해, 지배구조 법/규제 위반의 처벌수위가 행정상 처분 중 |  비금전적 처분에 해당하는 시정명령, 시정권고, 경고 등인 경우 |  * 감점 사항이 없을 경우, 본 항목의 점수는 100점으로 산정. 최저점은 0점으로 제한</t>
        </is>
      </c>
      <c r="P70" s="21" t="inlineStr">
        <is>
          <t>부분대응</t>
        </is>
      </c>
      <c r="Q70" s="17" t="inlineStr">
        <is>
          <t>KSSB 제1호 위험관리 원칙 준용</t>
        </is>
      </c>
      <c r="R70" s="17" t="inlineStr">
        <is>
          <t>GRI 2-27</t>
        </is>
      </c>
      <c r="S70" s="17" t="inlineStr">
        <is>
          <t>1_2_0_업종별 K-ESG 가이드라인(v2.0) 진단항목</t>
        </is>
      </c>
      <c r="T70" s="34" t="inlineStr">
        <is>
          <t>해당없음(감점형)</t>
        </is>
      </c>
      <c r="U70" s="22" t="n">
        <v>0</v>
      </c>
      <c r="V70" s="22" t="n">
        <v>0</v>
      </c>
      <c r="W70" s="22" t="n">
        <v>0</v>
      </c>
      <c r="X70" s="24">
        <f>MAX(1,100-(N(U70)*50+N(V70)*30+N(W70)*10))</f>
        <v/>
      </c>
      <c r="Y70" s="18" t="inlineStr">
        <is>
          <t> 지배구조 법/규제 위반은 ｢상법｣, ｢자본시장과 금융투자업에 관한 법률｣, ｢금융회사의 지배구조에 관한 법률｣ 및 이에 준하는 기타 법률 등에서 규정한 ‘주주권리 보호’, ‘상호출자 등 소유구조’, ‘계열회사 등 특수관계인과의 거래’, ‘이사회 구성 및 운영’, ‘감사기구 구성 및 운영’, ‘경영정보 공시’ 요건을 위반한 경우로 볼 수 있으며, 이에 대한 예시는 아래와 같다. - 주주권리 보호 : 집중투표제, 전자투표제, 주주제안, 주주대표소송 등 - 상호출자 등 소유구조 : 5% 이상 지분율 공시, 상호출자제한기업집단 간 주식 취득 및 소유 등 - 특수관계인과의 거래 : 계열회사 출자총액/지급보증/담보제공 등 - 이사회 구성 및 운영 : 사외이사 선임, 여성(남성)…</t>
        </is>
      </c>
      <c r="Z70" s="18" t="n"/>
      <c r="AA70" s="25" t="inlineStr">
        <is>
          <t>최근 3개년 간 지배구조 법/규제 위반 관련 사례가 있었습니까? (있다면 유형·건수 기재)</t>
        </is>
      </c>
      <c r="AB70" s="25" t="inlineStr">
        <is>
          <t>단계(1~5)</t>
        </is>
      </c>
    </row>
    <row r="71" ht="91.5" customHeight="1">
      <c r="A71" s="26" t="n">
        <v>70</v>
      </c>
      <c r="B71" s="27" t="inlineStr">
        <is>
          <t>E-기후변화 대응-추가1</t>
        </is>
      </c>
      <c r="C71" s="28" t="inlineStr">
        <is>
          <t>추가진단항목(v2.0)</t>
        </is>
      </c>
      <c r="D71" s="32" t="inlineStr">
        <is>
          <t>환경</t>
        </is>
      </c>
      <c r="E71" s="28" t="inlineStr">
        <is>
          <t>기후변화대응</t>
        </is>
      </c>
      <c r="F71" s="28" t="inlineStr">
        <is>
          <t>산림탄소흡수량</t>
        </is>
      </c>
      <c r="G71" s="28" t="inlineStr">
        <is>
          <t> 조직의 탄소배출을 상쇄하기 위한 목적으로 신규조림, 재조림, 산림경영, 식생복구, 목제품 이용, 산림 바이오매스 이용, 산림 전용 및 산림황폐화 방지 활동(REDD+ 등) 등 산림을 통해 탄소 흡수량을 획득하는 수준을 확인</t>
        </is>
      </c>
      <c r="H71" s="28" t="inlineStr">
        <is>
          <t>산림탄소흡수량 공시 여부, 연도별 산림탄소흡수량 산출 현황 (사업보고서, 홈페이지, 산림탄소흡수량 모니터링 및 검증 보고서)</t>
        </is>
      </c>
      <c r="I71" s="28" t="inlineStr">
        <is>
          <t>최근 4개년 (회계연도 기준)</t>
        </is>
      </c>
      <c r="J71" s="28" t="inlineStr">
        <is>
          <t>국내, 해외 지점 포함</t>
        </is>
      </c>
      <c r="K71" s="27" t="inlineStr">
        <is>
          <t>N/A</t>
        </is>
      </c>
      <c r="L71" s="29" t="inlineStr">
        <is>
          <t>단계형</t>
        </is>
      </c>
      <c r="M71" s="26" t="n">
        <v>5</v>
      </c>
      <c r="N71" s="28" t="inlineStr">
        <is>
          <t>단계형: 1단계=0점 / 2단계=25점 / 3단계=50점 / 4단계=75점 / 5단계=100점</t>
        </is>
      </c>
      <c r="O71" s="27" t="inlineStr">
        <is>
          <t>&lt;산림탄소흡수량 산출 기준&gt; |  (a) 산림바이오매스 탄소흡수량 tC |  (b) 고사유기물 및 산림토양의 탄소저장변화량 (선택) tC |  (c) 총 탄소흡수량 (c=a+b) tC |  (d) 베이스라인 흡수량 tC |  (e) 사업활동에 따른 배출량 tCO2 |  (f) 누출량 tCO2 |  (g) t 기간 년 |  (h) 이산화탄소 순흡수량 (h=g/100*(c-d)*44/12-e-f) tCO2 |  1단계 |  과거 4년간 산림탄소흡수량 정보 없음 |  2단계 |  과거 4년간 산림탄소흡수량 공시 |  3단계 |  과거 4년간 자사 배출량 대비 산림탄소흡수 상쇄량 하락 추세 |  4단계 |  과거 4년간 자사 배출량 대비 산림탄소흡수 상쇄량 상승 추세 |  5단계 |  과거 4년간 자사 배출량 대비 산림탄소흡수 상쇄량 매년 상승 추세 |  * 3개년 이하 데이터 보유 시 해당 데이터로 추세 산정</t>
        </is>
      </c>
      <c r="P71" s="33" t="inlineStr">
        <is>
          <t>GAP(대응지표 없음)</t>
        </is>
      </c>
      <c r="Q71" s="27" t="inlineStr">
        <is>
          <t>KSSB 산림탄소흡수 별도 규정 없음</t>
        </is>
      </c>
      <c r="R71" s="27" t="inlineStr">
        <is>
          <t>GRI 304, TNFD</t>
        </is>
      </c>
      <c r="S71" s="27" t="inlineStr">
        <is>
          <t>K-ESG 가이드라인 v2.0 (추가 진단항목, 3장)</t>
        </is>
      </c>
      <c r="T71" s="22" t="n"/>
      <c r="U71" s="23" t="n"/>
      <c r="V71" s="23" t="n"/>
      <c r="W71" s="23" t="n"/>
      <c r="X71" s="30">
        <f>IF(T71="","",MAX(1,SUMPRODUCT(('02_점수산정참고표'!$A$2:$A$314=$B71)*('02_점수산정참고표'!$C$2:$C$314=T71)*'02_점수산정참고표'!$E$2:$E$314)))</f>
        <v/>
      </c>
      <c r="Y71" s="27" t="inlineStr">
        <is>
          <t>&lt;산림탄소흡수량 산출 기준&gt;
 (a) 산림바이오매스 탄소흡수량 tC
 (b) 고사유기물 및 산림토양의 탄소저장변화량 (선택) tC
 (c) 총 탄소흡수량 (c=a+b) tC
 (d) 베이스라인 흡수량 tC
 (e) 사업활동에 따른 배출량 tCO2
 (f) 누출량 tCO2
 (g) t 기간 년
 (h) 이산화탄소 순흡수량 (h=g/100*(c-d)*44/12-e-f) tCO2
 1단계
 과거 4년간 산림탄소흡수량 정보 없음
 2단계
 과거 4년간 산림탄소흡수량 공시
 3단계
 과거 4년간 자사 배출량 대비 산림탄소흡수 상쇄량 하락…</t>
        </is>
      </c>
      <c r="Z71" s="28" t="n"/>
      <c r="AA71" s="25" t="inlineStr">
        <is>
          <t>산림탄소흡수량에 대한 현황을 관리·공시하고 있습니까?</t>
        </is>
      </c>
      <c r="AB71" s="25" t="inlineStr">
        <is>
          <t>단계(1~5)</t>
        </is>
      </c>
    </row>
    <row r="72" ht="91.5" customHeight="1">
      <c r="A72" s="16" t="n">
        <v>71</v>
      </c>
      <c r="B72" s="17" t="inlineStr">
        <is>
          <t>E-기후변화 대응-추가2</t>
        </is>
      </c>
      <c r="C72" s="18" t="inlineStr">
        <is>
          <t>추가진단항목(v2.0)</t>
        </is>
      </c>
      <c r="D72" s="32" t="inlineStr">
        <is>
          <t>환경</t>
        </is>
      </c>
      <c r="E72" s="18" t="inlineStr">
        <is>
          <t>기후변화대응</t>
        </is>
      </c>
      <c r="F72" s="18" t="inlineStr">
        <is>
          <t>친환경 차량 보유 비율</t>
        </is>
      </c>
      <c r="G72" s="18" t="inlineStr">
        <is>
          <t> 조직이 국가온실가스감축목표(NDC) 등 온실가스 배출량 감축 목표에 따라, 운송 부문에서 실질적인 감축 활동을 추진하고 있는지 확인  온실가스배출량감축을위해, 조직소유의기존내연기관운송차량을온실가스배출량이낮은친환경운송차량으로전환하는지의 노력을 측정</t>
        </is>
      </c>
      <c r="H72" s="18" t="inlineStr">
        <is>
          <t>‘조직별 홈페이지’ 上 지속가능경영보고서 내 ‘친환경 차량 보유 비율’</t>
        </is>
      </c>
      <c r="I72" s="18" t="inlineStr">
        <is>
          <t>최근 회계연도</t>
        </is>
      </c>
      <c r="J72" s="17" t="inlineStr">
        <is>
          <t>N/A</t>
        </is>
      </c>
      <c r="K72" s="18" t="inlineStr">
        <is>
          <t>친환경 차량 보유 비율 = 직전 회계년도 기준 조직 내 보유한 친환경 차량 수 / 직전 회계연도 기준 조직 내 보유한 전체 차량 수</t>
        </is>
      </c>
      <c r="L72" s="20" t="inlineStr">
        <is>
          <t>단계형</t>
        </is>
      </c>
      <c r="M72" s="16" t="n">
        <v>5</v>
      </c>
      <c r="N72" s="18" t="inlineStr">
        <is>
          <t>단계형: 1단계=0점 / 2단계=25점 / 3단계=50점 / 4단계=75점 / 5단계=100점</t>
        </is>
      </c>
      <c r="O72" s="17" t="inlineStr">
        <is>
          <t>1단계 |  조직 내 친환경 차량의 보유 비율 0% ~ 20% |  2단계 |  조직 내 친환경 차량의 보유 비율 21% ~ 40% 이내 |  3단계 |  조직 내 친환경 차량의 보유 비율 41% ~ 60% 이내 |  4단계 |  조직 내 친환경 차량의 보유 비율 61% ~ 80% 이내 |  5단계 |  조직 내 친환경 차량의 보유 비율 81% ~ 100% 이내</t>
        </is>
      </c>
      <c r="P72" s="21" t="inlineStr">
        <is>
          <t>부분대응</t>
        </is>
      </c>
      <c r="Q72" s="17" t="inlineStr">
        <is>
          <t>KSSB 제2호 문단 29(5) 자본배치 취지 준용</t>
        </is>
      </c>
      <c r="R72" s="17" t="inlineStr">
        <is>
          <t>GRI 305-5</t>
        </is>
      </c>
      <c r="S72" s="17" t="inlineStr">
        <is>
          <t>K-ESG 가이드라인 v2.0 (추가 진단항목, 3장)</t>
        </is>
      </c>
      <c r="T72" s="22" t="n"/>
      <c r="U72" s="23" t="n"/>
      <c r="V72" s="23" t="n"/>
      <c r="W72" s="23" t="n"/>
      <c r="X72" s="24">
        <f>IF(T72="","",MAX(1,SUMPRODUCT(('02_점수산정참고표'!$A$2:$A$314=$B72)*('02_점수산정참고표'!$C$2:$C$314=T72)*'02_점수산정참고표'!$E$2:$E$314)))</f>
        <v/>
      </c>
      <c r="Y72" s="17" t="inlineStr">
        <is>
          <t>1단계
 조직 내 친환경 차량의 보유 비율 0% ~ 20%
 2단계
 조직 내 친환경 차량의 보유 비율 21% ~ 40% 이내
 3단계
 조직 내 친환경 차량의 보유 비율 41% ~ 60% 이내
 4단계
 조직 내 친환경 차량의 보유 비율 61% ~ 80% 이내
 5단계
 조직 내 친환경 차량의 보유 비율 81% ~ 100% 이내</t>
        </is>
      </c>
      <c r="Z72" s="18" t="n"/>
      <c r="AA72" s="25" t="inlineStr">
        <is>
          <t>친환경 차량 보유 비율을 정량적으로 산정하여 관리·공시하고 있습니까?</t>
        </is>
      </c>
      <c r="AB72" s="25" t="inlineStr">
        <is>
          <t>단계(1~5)</t>
        </is>
      </c>
    </row>
    <row r="73" ht="91.5" customHeight="1">
      <c r="A73" s="26" t="n">
        <v>72</v>
      </c>
      <c r="B73" s="27" t="inlineStr">
        <is>
          <t>S-동반성장-추가1</t>
        </is>
      </c>
      <c r="C73" s="28" t="inlineStr">
        <is>
          <t>추가진단항목(v2.0)</t>
        </is>
      </c>
      <c r="D73" s="36" t="inlineStr">
        <is>
          <t>사회</t>
        </is>
      </c>
      <c r="E73" s="28" t="inlineStr">
        <is>
          <t>동반성장</t>
        </is>
      </c>
      <c r="F73" s="28" t="inlineStr">
        <is>
          <t>공급망 안정</t>
        </is>
      </c>
      <c r="G73" s="28" t="inlineStr">
        <is>
          <t> 국가 간 분쟁, 무역장벽 도입, 물류/유통망 경색 등 다양한 외생변수로 인한 글로벌 공급망 불안정성에 대응하기 위한 계획을 수립하고 있는지 확인  특정 국가 및 지역 의존에서 탈피하거나, 공급선을 다변화하는 등 원부자재 수급 안정화 달성을 위한 조직의 노력을 점검</t>
        </is>
      </c>
      <c r="H73" s="28" t="inlineStr">
        <is>
          <t>공급망 관리 전략, 원부자재 수급 체계, 협력사 ESG 리스크 평가 결과</t>
        </is>
      </c>
      <c r="I73" s="28" t="inlineStr">
        <is>
          <t>직전 회계연도</t>
        </is>
      </c>
      <c r="J73" s="28" t="inlineStr">
        <is>
          <t>국내 및 해외 사업장</t>
        </is>
      </c>
      <c r="K73" s="27" t="inlineStr">
        <is>
          <t>N/A</t>
        </is>
      </c>
      <c r="L73" s="29" t="inlineStr">
        <is>
          <t>선택형</t>
        </is>
      </c>
      <c r="M73" s="26" t="n">
        <v>5</v>
      </c>
      <c r="N73" s="28" t="inlineStr">
        <is>
          <t>선택형: 요건1=0점 / 요건2=25점 / 요건3=50점 / 요건4=75점 / 요건5=100점</t>
        </is>
      </c>
      <c r="O73" s="28" t="inlineStr">
        <is>
          <t>요건1 |  1차 협력사가 원부자재를 생산 및 공급하는데 영향을 미칠 수 있는 정치, 경제, 사회, 문화 분야의 리스크를 모니터링 하고 있는 |  경우 |  요건2 |  1차 협력사 外 2차 이하(N차 협력사, 또는 원산지)에 잠재되어 있는 원부자재 생산-공급 차질 리스크를 모니터링 하고 있는 경우 |  요건3 |  특정 지역 및 국가의 협력사에만 의존하지 않고, 공급선을 다변화하였거나, 대체가능한 협력사를 발굴/확보하고 있는 경우 |  요건4 |  특정 물류/유통망에 의존하지 않고, 물류/유통망을 다변화하였거나, 대체 물류/유통망을 발굴/확보하고 있는 경우 |  요건5 |  공급망 불안정 발생에 대비하여 충분한 원부자재 재고를 확보하고 있거나, 원부자재 생산을 조직이 내재화한 경우</t>
        </is>
      </c>
      <c r="P73" s="21" t="inlineStr">
        <is>
          <t>부분대응</t>
        </is>
      </c>
      <c r="Q73" s="27" t="inlineStr">
        <is>
          <t>KSSB 제2호 물리·전환위험 관점의 공급망 리스크 취지 준용</t>
        </is>
      </c>
      <c r="R73" s="27" t="inlineStr">
        <is>
          <t>GRI 414</t>
        </is>
      </c>
      <c r="S73" s="27" t="inlineStr">
        <is>
          <t>K-ESG 가이드라인 v2.0 (추가 진단항목, 3장)</t>
        </is>
      </c>
      <c r="T73" s="22" t="n"/>
      <c r="U73" s="23" t="n"/>
      <c r="V73" s="23" t="n"/>
      <c r="W73" s="23" t="n"/>
      <c r="X73" s="30">
        <f>IF(T73="","",MAX(1,SUMPRODUCT(('02_점수산정참고표'!$A$2:$A$314=$B73)*('02_점수산정참고표'!$C$2:$C$314=T73)*'02_점수산정참고표'!$E$2:$E$314)))</f>
        <v/>
      </c>
      <c r="Y73" s="28" t="inlineStr">
        <is>
          <t>요건1
 1차 협력사가 원부자재를 생산 및 공급하는데 영향을 미칠 수 있는 정치, 경제, 사회, 문화 분야의 리스크를 모니터링 하고 있는
 경우
 요건2
 1차 협력사 外 2차 이하(N차 협력사, 또는 원산지)에 잠재되어 있는 원부자재 생산-공급 차질 리스크를 모니터링 하고 있는 경우
 요건3
 특정 지역 및 국가의 협력사에만 의존하지 않고, 공급선을 다변화하였거나, 대체가능한 협력사를 발굴/확보하고 있는 경우
 요건4
 특정 물류/유통망에 의존하지 않고, 물류/유통망을 다변화하였거나, 대체 물류/유통망을 발굴/확보하고 있는…</t>
        </is>
      </c>
      <c r="Z73" s="28" t="n"/>
      <c r="AA73" s="25" t="inlineStr">
        <is>
          <t>공급망 안정에 대한 현황을 관리·공시하고 있습니까?</t>
        </is>
      </c>
      <c r="AB73" s="25" t="inlineStr">
        <is>
          <t>선택형(요건 충족 수)</t>
        </is>
      </c>
    </row>
    <row r="74" ht="91.5" customHeight="1">
      <c r="A74" s="16" t="n">
        <v>73</v>
      </c>
      <c r="B74" s="17" t="inlineStr">
        <is>
          <t>S-동반성장-추가2</t>
        </is>
      </c>
      <c r="C74" s="18" t="inlineStr">
        <is>
          <t>추가진단항목(v2.0)</t>
        </is>
      </c>
      <c r="D74" s="36" t="inlineStr">
        <is>
          <t>사회</t>
        </is>
      </c>
      <c r="E74" s="18" t="inlineStr">
        <is>
          <t>동반성장</t>
        </is>
      </c>
      <c r="F74" s="18" t="inlineStr">
        <is>
          <t>협력사 동반성장 기여</t>
        </is>
      </c>
      <c r="G74" s="18" t="inlineStr">
        <is>
          <t> 원청사와 협력사 간 상생협력 관계를 공고히 해 상호 경쟁력 향상 및 양극화 해소를 위한 직/간접적인 공급망 지원 활동을 추진하고 있는지 확인  지속가능한 공급망 조성을 위해 기술, 인력, 자금, 구매, 판로 등의 부문에서 협력사를 지원하는 조직의 재무적/비재무적 노력을 측정</t>
        </is>
      </c>
      <c r="H74" s="18" t="inlineStr">
        <is>
          <t>‘조직별 홈페이지’ 上 동반성장 프로그램 실적</t>
        </is>
      </c>
      <c r="I74" s="18" t="inlineStr">
        <is>
          <t>최근 회계연도</t>
        </is>
      </c>
      <c r="J74" s="17" t="inlineStr">
        <is>
          <t>N/A</t>
        </is>
      </c>
      <c r="K74" s="18" t="inlineStr">
        <is>
          <t>동반성장 지원기금 비율 = 최근 회계연도 말 동반성장 총 지원금액 / 최근 회계연도 말 총 매출액</t>
        </is>
      </c>
      <c r="L74" s="20" t="inlineStr">
        <is>
          <t>복합가중형</t>
        </is>
      </c>
      <c r="M74" s="16" t="n"/>
      <c r="N74" s="18" t="inlineStr">
        <is>
          <t>복합가중형: 2~3개 세부요소를 균등가중평균(예: 1/2+1/2, 1/3×3) — 세부 배점은 점검기준 상세 참조, 자사취득점수는 수동 산정</t>
        </is>
      </c>
      <c r="O74" s="18" t="inlineStr">
        <is>
          <t>영역1 (재무적) |  1단계 |  지난 4개년 재무적 지원자금 비율이 감소 추세 |  2단계 |  지난 4개년 재무적 지원자금 비율이 변동 없음 |  3단계 |  지난 4개년 재무적 지원자금 비율이 증가 추세 |  영역2 (비재무적) |  1단계 |  지난 4개년 비재무적 지원 수혜기업 개수가 감소 추세 |  2단계 |  지난 4개년 비재무적 지원 수혜기업 개수가 변동 없음 |  3단계 |  지난 4개년 비재무적 지원 수혜기업 개수가 증가 추세 |  * 동반성장 기여 관련 재무적/비재무적 지원 데이터를 관리하지 않고 있는 경우 0점 적용 |  * 3개년 이하 데이터 보유 시 해당 데이터로 추세 산정 |  * ‘유지 추세’로 판단할 경우 2단계로 적용해 평가</t>
        </is>
      </c>
      <c r="P74" s="33" t="inlineStr">
        <is>
          <t>GAP(대응지표 없음)</t>
        </is>
      </c>
      <c r="Q74" s="17" t="inlineStr">
        <is>
          <t>KSSB 규정 없음</t>
        </is>
      </c>
      <c r="R74" s="17" t="inlineStr">
        <is>
          <t>GRI 204</t>
        </is>
      </c>
      <c r="S74" s="17" t="inlineStr">
        <is>
          <t>K-ESG 가이드라인 v2.0 (추가 진단항목, 3장)</t>
        </is>
      </c>
      <c r="T74" s="34" t="inlineStr">
        <is>
          <t>해당없음(복합가중형)</t>
        </is>
      </c>
      <c r="U74" s="23" t="n"/>
      <c r="V74" s="23" t="n"/>
      <c r="W74" s="23" t="n"/>
      <c r="X74" s="35" t="n"/>
      <c r="Y74" s="18" t="inlineStr">
        <is>
          <t>영역1 (재무적)
 1단계
 지난 4개년 재무적 지원자금 비율이 감소 추세
 2단계
 지난 4개년 재무적 지원자금 비율이 변동 없음
 3단계
 지난 4개년 재무적 지원자금 비율이 증가 추세
 영역2 (비재무적)
 1단계
 지난 4개년 비재무적 지원 수혜기업 개수가 감소 추세
 2단계
 지난 4개년 비재무적 지원 수혜기업 개수가 변동 없음
 3단계
 지난 4개년 비재무적 지원 수혜기업 개수가 증가 추세
 * 동반성장 기여 관련 재무적/비재무적 지원 데이터를 관리하지 않고 있는 경우 0점 적용
 * 3개년 이하 데이터 보유 시 해당…</t>
        </is>
      </c>
      <c r="Z74" s="18" t="n"/>
      <c r="AA74" s="25" t="inlineStr">
        <is>
          <t>협력사 동반성장 기여를 계획적으로 수행하고 성과를 관리하고 있습니까?</t>
        </is>
      </c>
      <c r="AB74" s="25" t="inlineStr">
        <is>
          <t>복합입력(세부요소 수동 0~100)</t>
        </is>
      </c>
    </row>
    <row r="75" ht="91.5" customHeight="1">
      <c r="A75" s="26" t="n">
        <v>74</v>
      </c>
      <c r="B75" s="27" t="inlineStr">
        <is>
          <t>S-소비자-추가1</t>
        </is>
      </c>
      <c r="C75" s="28" t="inlineStr">
        <is>
          <t>추가진단항목(v2.0)</t>
        </is>
      </c>
      <c r="D75" s="36" t="inlineStr">
        <is>
          <t>사회</t>
        </is>
      </c>
      <c r="E75" s="28" t="inlineStr">
        <is>
          <t>소비자</t>
        </is>
      </c>
      <c r="F75" s="28" t="inlineStr">
        <is>
          <t>소비자 정보 제공</t>
        </is>
      </c>
      <c r="G75" s="28" t="inlineStr">
        <is>
          <t> 조직이 소비자의 알 권리를 충족하기 위해 얼마나 다양한 정보를 적절하게 제공하고 있는지 확인</t>
        </is>
      </c>
      <c r="H75" s="28" t="inlineStr">
        <is>
          <t>소비자 정보 제공 현황 (사업보고서, 홈페이지, 소비자중심경영 공적기술서 등)</t>
        </is>
      </c>
      <c r="I75" s="28" t="inlineStr">
        <is>
          <t>최근 회계연도</t>
        </is>
      </c>
      <c r="J75" s="27" t="inlineStr">
        <is>
          <t>N/A</t>
        </is>
      </c>
      <c r="K75" s="27" t="inlineStr">
        <is>
          <t>N/A</t>
        </is>
      </c>
      <c r="L75" s="29" t="inlineStr">
        <is>
          <t>복합가중형</t>
        </is>
      </c>
      <c r="M75" s="26" t="n"/>
      <c r="N75" s="28" t="inlineStr">
        <is>
          <t>복합가중형: 2~3개 세부요소를 균등가중평균(예: 1/2+1/2, 1/3×3) — 세부 배점은 점검기준 상세 참조, 자사취득점수는 수동 산정</t>
        </is>
      </c>
      <c r="O75" s="28" t="inlineStr">
        <is>
          <t>측정 기준 구분 배점 |  제공하지 않음 0점 |  소비자정보 |  제공함 20점 |  소비자정보 세부 사항 0점부터 최대 80점 |  세부 사항별 10점씩 배분 |  1) 다양한 소비자정보 제공 채널 운영 |  2) 상품정보, 구매정보, 결제 및 배송 정보, 상담/문의 정보 등 충실한 소비자정보 제공 |  3) 검색 등 소비자정보에 대한 접근성 |  4) VOC 등 소비자 의견 개진 방법 보장 |  5) VOC 등 소비자 의견 제기의 처리 절차 명시 |  6) 소비자정보 제공 전 법규 준수 여부 확인 절차 유무 |  7) 소비자정보 제공 전 법규 준수 여부 확인 절차의 체계성 |  8) 소비자정보 제공 전 법규 준수 여부 확인 절차 이행 실적</t>
        </is>
      </c>
      <c r="P75" s="33" t="inlineStr">
        <is>
          <t>GAP(대응지표 없음)</t>
        </is>
      </c>
      <c r="Q75" s="27" t="inlineStr">
        <is>
          <t>KSSB 규정 없음</t>
        </is>
      </c>
      <c r="R75" s="27" t="inlineStr">
        <is>
          <t>GRI 417</t>
        </is>
      </c>
      <c r="S75" s="27" t="inlineStr">
        <is>
          <t>K-ESG 가이드라인 v2.0 (추가 진단항목, 3장)</t>
        </is>
      </c>
      <c r="T75" s="34" t="inlineStr">
        <is>
          <t>해당없음(복합가중형)</t>
        </is>
      </c>
      <c r="U75" s="23" t="n"/>
      <c r="V75" s="23" t="n"/>
      <c r="W75" s="23" t="n"/>
      <c r="X75" s="35" t="n"/>
      <c r="Y75" s="28" t="inlineStr">
        <is>
          <t>측정 기준 구분 배점
 제공하지 않음 0점
 소비자정보
 제공함 20점
 소비자정보 세부 사항 0점부터 최대 80점
 세부 사항별 10점씩 배분
 1) 다양한 소비자정보 제공 채널 운영
 2) 상품정보, 구매정보, 결제 및 배송 정보, 상담/문의 정보 등 충실한 소비자정보 제공
 3) 검색 등 소비자정보에 대한 접근성
 4) VOC 등 소비자 의견 개진 방법 보장
 5) VOC 등 소비자 의견 제기의 처리 절차 명시
 6) 소비자정보 제공 전 법규 준수 여부 확인 절차 유무
 7) 소비자정보 제공 전 법규 준수 여부 확인 절차의…</t>
        </is>
      </c>
      <c r="Z75" s="28" t="n"/>
      <c r="AA75" s="25" t="inlineStr">
        <is>
          <t>소비자 정보 제공에 대한 현황을 관리·공시하고 있습니까?</t>
        </is>
      </c>
      <c r="AB75" s="25" t="inlineStr">
        <is>
          <t>복합입력(세부요소 수동 0~100)</t>
        </is>
      </c>
    </row>
    <row r="76" ht="91.5" customHeight="1">
      <c r="A76" s="16" t="n">
        <v>75</v>
      </c>
      <c r="B76" s="17" t="inlineStr">
        <is>
          <t>S-소비자-추가2</t>
        </is>
      </c>
      <c r="C76" s="18" t="inlineStr">
        <is>
          <t>추가진단항목(v2.0)</t>
        </is>
      </c>
      <c r="D76" s="36" t="inlineStr">
        <is>
          <t>사회</t>
        </is>
      </c>
      <c r="E76" s="18" t="inlineStr">
        <is>
          <t>소비자</t>
        </is>
      </c>
      <c r="F76" s="18" t="inlineStr">
        <is>
          <t>소비자 안전</t>
        </is>
      </c>
      <c r="G76" s="18" t="inlineStr">
        <is>
          <t> 조직이 생산/판매하는 상품/서비스로 인해 소비자의 생명, 신체 또는 재산에 위해가 발생하지 않도록 어떤 체계와 노력을 수행하고 있는지 확인</t>
        </is>
      </c>
      <c r="H76" s="18" t="inlineStr">
        <is>
          <t>소비자 안전 관련 규정, 활동, 실적 (사업보고서, 홈페이지, 소비자중심경영 공적기술서 등)</t>
        </is>
      </c>
      <c r="I76" s="18" t="inlineStr">
        <is>
          <t>최근 회계연도</t>
        </is>
      </c>
      <c r="J76" s="17" t="inlineStr">
        <is>
          <t>N/A</t>
        </is>
      </c>
      <c r="K76" s="17" t="inlineStr">
        <is>
          <t>N/A</t>
        </is>
      </c>
      <c r="L76" s="20" t="inlineStr">
        <is>
          <t>단계형</t>
        </is>
      </c>
      <c r="M76" s="16" t="n">
        <v>5</v>
      </c>
      <c r="N76" s="18" t="inlineStr">
        <is>
          <t>단계형: 1단계=0점 / 2단계=25점 / 3단계=50점 / 4단계=75점 / 5단계=100점</t>
        </is>
      </c>
      <c r="O76" s="17" t="inlineStr">
        <is>
          <t>1단계 |  소비자안전 관련 규정 및 활동이 없음 |  2단계 |  소비자안전 관련 규정이 있으나 활동이 없음 |  3단계 |  소비자안전 관련 규정이 있고, 계획을 수립하고 있으나, 운영 실적이 미흡함 |  4단계 |  소비자안전 관련 규정이 있고, 소비자안전 보장을 위한 계획을 수립하고 운영하고 있음 |  5단계 |  소비자안전 관련 규정이 있고, 소비자안전 보장을 위한 계획을 수립하고 운영하고 있으며, 소비자안전 확보 노력이 지속적으로 |  진행되고 있음</t>
        </is>
      </c>
      <c r="P76" s="33" t="inlineStr">
        <is>
          <t>GAP(대응지표 없음)</t>
        </is>
      </c>
      <c r="Q76" s="17" t="inlineStr">
        <is>
          <t>KSSB 규정 없음</t>
        </is>
      </c>
      <c r="R76" s="17" t="inlineStr">
        <is>
          <t>GRI 416</t>
        </is>
      </c>
      <c r="S76" s="17" t="inlineStr">
        <is>
          <t>K-ESG 가이드라인 v2.0 (추가 진단항목, 3장)</t>
        </is>
      </c>
      <c r="T76" s="22" t="n"/>
      <c r="U76" s="23" t="n"/>
      <c r="V76" s="23" t="n"/>
      <c r="W76" s="23" t="n"/>
      <c r="X76" s="24">
        <f>IF(T76="","",MAX(1,SUMPRODUCT(('02_점수산정참고표'!$A$2:$A$314=$B76)*('02_점수산정참고표'!$C$2:$C$314=T76)*'02_점수산정참고표'!$E$2:$E$314)))</f>
        <v/>
      </c>
      <c r="Y76" s="17" t="inlineStr">
        <is>
          <t>1단계
 소비자안전 관련 규정 및 활동이 없음
 2단계
 소비자안전 관련 규정이 있으나 활동이 없음
 3단계
 소비자안전 관련 규정이 있고, 계획을 수립하고 있으나, 운영 실적이 미흡함
 4단계
 소비자안전 관련 규정이 있고, 소비자안전 보장을 위한 계획을 수립하고 운영하고 있음
 5단계
 소비자안전 관련 규정이 있고, 소비자안전 보장을 위한 계획을 수립하고 운영하고 있으며, 소비자안전 확보 노력이 지속적으로
 진행되고 있음</t>
        </is>
      </c>
      <c r="Z76" s="18" t="n"/>
      <c r="AA76" s="25" t="inlineStr">
        <is>
          <t>소비자 안전에 대한 현황을 관리·공시하고 있습니까?</t>
        </is>
      </c>
      <c r="AB76" s="25" t="inlineStr">
        <is>
          <t>단계(1~5)</t>
        </is>
      </c>
    </row>
    <row r="77" ht="91.5" customHeight="1">
      <c r="A77" s="26" t="n">
        <v>76</v>
      </c>
      <c r="B77" s="27" t="inlineStr">
        <is>
          <t>S-소비자-추가3</t>
        </is>
      </c>
      <c r="C77" s="28" t="inlineStr">
        <is>
          <t>추가진단항목(v2.0)</t>
        </is>
      </c>
      <c r="D77" s="36" t="inlineStr">
        <is>
          <t>사회</t>
        </is>
      </c>
      <c r="E77" s="28" t="inlineStr">
        <is>
          <t>소비자</t>
        </is>
      </c>
      <c r="F77" s="28" t="inlineStr">
        <is>
          <t>고객만족 대응 체계 운영</t>
        </is>
      </c>
      <c r="G77" s="28" t="inlineStr">
        <is>
          <t> 기업과 소비자 간 분쟁 발생 시 해결을 위해 조직이 관련 규정과 담당조직을 마련하여 체계적으로 처리하고 그 내용을 기반으로 소비자 불만을 줄이기 위한 노력을 확인  조직이 소비자 불만 발생 시 이에 대해 적절하게 처리할 수 있는 규정 및 조직을 갖추고 있는지, 소비자 불만 발생을 줄이기 위한 활동을 적극적으로 추진하고 있는지를 점검</t>
        </is>
      </c>
      <c r="H77" s="28" t="inlineStr">
        <is>
          <t>소비자 불만 처리 관련 규정, 조직의 유무, 자료 및 지표 관리 현황 (사업보고서, 내부 규정, 소비자중심경영 공적 기술서 등)</t>
        </is>
      </c>
      <c r="I77" s="28" t="inlineStr">
        <is>
          <t>최근 회계연도</t>
        </is>
      </c>
      <c r="J77" s="27" t="inlineStr">
        <is>
          <t>N/A</t>
        </is>
      </c>
      <c r="K77" s="27" t="inlineStr">
        <is>
          <t>N/A</t>
        </is>
      </c>
      <c r="L77" s="29" t="inlineStr">
        <is>
          <t>복합가중형</t>
        </is>
      </c>
      <c r="M77" s="26" t="n"/>
      <c r="N77" s="28" t="inlineStr">
        <is>
          <t>복합가중형: 2~3개 세부요소를 균등가중평균(예: 1/2+1/2, 1/3×3) — 세부 배점은 점검기준 상세 참조, 자사취득점수는 수동 산정</t>
        </is>
      </c>
      <c r="O77" s="28" t="inlineStr">
        <is>
          <t>측정 기준 구분 배점 |  없음 0점 |  소비자불만 처리 관련 규정 |  있음 20점 |  담당 조직(담당자) 없음 0점 |  소비자불만 처리 담당 조직 |  담당 조직(담당자) 있음 20점 |  1단계 0점 |  2단계 10점 |  소비자불만 처리내용의 관리 |  3단계 20점 |  4단계 30점 |  1단계 0점 |  소비자불만 관련 지표 관리 2단계 15점 |  3단계 30점 |  &lt;소비자불만 처리내용의 관리&gt; |  - 1단계 : 소비자불만 처리내용을 관리하지 않는 경우 |  - 2단계 : 소비자불만 처리내용을 관리하지만 DB화하지 않는 경우(통계자료로서 활용 불가) |  - 3단계 : 소비자불만 처리내용을 DB화하여 관리하지만, 기초적인 통계자료로만 활용하는 경우(건수 취합 등) |  - 4단계 : 소비자불만 처리내용을 DB화하여 관리하고, 제품 개선, 신제품 개발 등에 활용 |  &lt;소비자불만 관련 지표 관리&gt; |  - 1단계 : 소비자불만 관련 지표를 수립하지 않는 경우 |  - 2단계 : 소비자불만 관련 지표를 수립하고 있으나 체계적으로 관리되지 않는 경우 |  - 3단계 : 소비자불만 관련 지표를 수립하여 정기적인 모니터링, 평가 등을 통해 관리하는 경우</t>
        </is>
      </c>
      <c r="P77" s="33" t="inlineStr">
        <is>
          <t>GAP(대응지표 없음)</t>
        </is>
      </c>
      <c r="Q77" s="27" t="inlineStr">
        <is>
          <t>KSSB 규정 없음</t>
        </is>
      </c>
      <c r="R77" s="27" t="inlineStr">
        <is>
          <t>GRI 416, K-ESG</t>
        </is>
      </c>
      <c r="S77" s="27" t="inlineStr">
        <is>
          <t>K-ESG 가이드라인 v2.0 (추가 진단항목, 3장)</t>
        </is>
      </c>
      <c r="T77" s="34" t="inlineStr">
        <is>
          <t>해당없음(복합가중형)</t>
        </is>
      </c>
      <c r="U77" s="23" t="n"/>
      <c r="V77" s="23" t="n"/>
      <c r="W77" s="23" t="n"/>
      <c r="X77" s="35" t="n"/>
      <c r="Y77" s="28" t="inlineStr">
        <is>
          <t>측정 기준 구분 배점
 없음 0점
 소비자불만 처리 관련 규정
 있음 20점
 담당 조직(담당자) 없음 0점
 소비자불만 처리 담당 조직
 담당 조직(담당자) 있음 20점
 1단계 0점
 2단계 10점
 소비자불만 처리내용의 관리
 3단계 20점
 4단계 30점
 1단계 0점
 소비자불만 관련 지표 관리 2단계 15점
 3단계 30점
 &lt;소비자불만 처리내용의 관리&gt;
 - 1단계 : 소비자불만 처리내용을 관리하지 않는 경우
 - 2단계 : 소비자불만 처리내용을 관리하지만 DB화하지 않는 경우(통계자료로서 활용 불가)
 - 3단계 :…</t>
        </is>
      </c>
      <c r="Z77" s="28" t="n"/>
      <c r="AA77" s="25" t="inlineStr">
        <is>
          <t>고객만족 대응 체계 운영을 수립하여 운영하고 있습니까?</t>
        </is>
      </c>
      <c r="AB77" s="25" t="inlineStr">
        <is>
          <t>복합입력(세부요소 수동 0~100)</t>
        </is>
      </c>
    </row>
    <row r="78" ht="91.5" customHeight="1">
      <c r="A78" s="16" t="n">
        <v>77</v>
      </c>
      <c r="B78" s="17" t="inlineStr">
        <is>
          <t>S-노동-추가1</t>
        </is>
      </c>
      <c r="C78" s="18" t="inlineStr">
        <is>
          <t>추가진단항목(v2.0)</t>
        </is>
      </c>
      <c r="D78" s="36" t="inlineStr">
        <is>
          <t>사회</t>
        </is>
      </c>
      <c r="E78" s="18" t="inlineStr">
        <is>
          <t>노동</t>
        </is>
      </c>
      <c r="F78" s="18" t="inlineStr">
        <is>
          <t>정규직 중 고졸자 비율</t>
        </is>
      </c>
      <c r="G78" s="18" t="inlineStr">
        <is>
          <t> 대학 졸업자에 비해 취업 여건이 열악한 고등학교 졸업자에게 적절한 취업 기회를 주고 있는지 확인  정규직(무기계약직 포함) 중 고졸자 비율을 점검</t>
        </is>
      </c>
      <c r="H78" s="18" t="inlineStr">
        <is>
          <t>‘전자공시시스템’ 上 사업보고서, ‘조직별 홈페이지’ 上 지속가능경영보고서</t>
        </is>
      </c>
      <c r="I78" s="18" t="inlineStr">
        <is>
          <t>직전 회계연도</t>
        </is>
      </c>
      <c r="J78" s="18" t="inlineStr">
        <is>
          <t>국내 및 해외 사업장</t>
        </is>
      </c>
      <c r="K78" s="18" t="inlineStr">
        <is>
          <t>정규직 중 고졸자 비율 = 직전 회계연도 말 정규직 중 고졸자 수 / 직전 회계연도 말 총 정규직 수</t>
        </is>
      </c>
      <c r="L78" s="20" t="inlineStr">
        <is>
          <t>단계형</t>
        </is>
      </c>
      <c r="M78" s="16" t="n">
        <v>5</v>
      </c>
      <c r="N78" s="18" t="inlineStr">
        <is>
          <t>단계형: 1단계=0점 / 2단계=25점 / 3단계=50점 / 4단계=75점 / 5단계=100점</t>
        </is>
      </c>
      <c r="O78" s="17" t="inlineStr">
        <is>
          <t>- 1단계 : 정규직(무기계약직 포함) 중 고졸자 비율을 공시하지 않는 경우 |  - 2단계 : 정규직(무기계약직 포함) 중 고졸자 비율을 공시하고 공공기관 평균 대비 고졸자 비율이 적은 경우 |  (공공기관의 50% 미만) |  - 3단계 : 정규직(무기계약직 포함) 중 고졸자 비율을 공시하고 공공기관 평균 대비 고졸자 비율이 적은 경우 |  (공공기관의 50% 이상 ~100% 미만) |  - 4단계 : 정규직(무기계약직 포함) 중 고졸자 비율을 공시하고 공공기관 평균 대비 고졸자 비율이 동일하거나 높은 경우 |  (공공기관의 100% 이상 ~150% 미만) |  - 5단계 : 정규직(무기계약직 포함) 중 고졸자 비율을 공시하고 공공기관 평균 대비 고졸자 비율이 높은 경우 |  (공공기관의 150% 이상)</t>
        </is>
      </c>
      <c r="P78" s="33" t="inlineStr">
        <is>
          <t>GAP(대응지표 없음)</t>
        </is>
      </c>
      <c r="Q78" s="17" t="inlineStr">
        <is>
          <t>KSSB 규정 없음</t>
        </is>
      </c>
      <c r="R78" s="17" t="inlineStr">
        <is>
          <t>GRI 405</t>
        </is>
      </c>
      <c r="S78" s="17" t="inlineStr">
        <is>
          <t>K-ESG 가이드라인 v2.0 (추가 진단항목, 3장)</t>
        </is>
      </c>
      <c r="T78" s="22" t="n"/>
      <c r="U78" s="23" t="n"/>
      <c r="V78" s="23" t="n"/>
      <c r="W78" s="23" t="n"/>
      <c r="X78" s="24">
        <f>IF(T78="","",MAX(1,SUMPRODUCT(('02_점수산정참고표'!$A$2:$A$314=$B78)*('02_점수산정참고표'!$C$2:$C$314=T78)*'02_점수산정참고표'!$E$2:$E$314)))</f>
        <v/>
      </c>
      <c r="Y78" s="17" t="inlineStr">
        <is>
          <t>- 1단계 : 정규직(무기계약직 포함) 중 고졸자 비율을 공시하지 않는 경우
 - 2단계 : 정규직(무기계약직 포함) 중 고졸자 비율을 공시하고 공공기관 평균 대비 고졸자 비율이 적은 경우
 (공공기관의 50% 미만)
 - 3단계 : 정규직(무기계약직 포함) 중 고졸자 비율을 공시하고 공공기관 평균 대비 고졸자 비율이 적은 경우
 (공공기관의 50% 이상 ~100% 미만)
 - 4단계 : 정규직(무기계약직 포함) 중 고졸자 비율을 공시하고 공공기관 평균 대비 고졸자 비율이 동일하거나 높은 경우
 (공공기관의 100% 이상…</t>
        </is>
      </c>
      <c r="Z78" s="18" t="n"/>
      <c r="AA78" s="25" t="inlineStr">
        <is>
          <t>정규직 중 고졸자 비율을 정량적으로 산정하여 관리·공시하고 있습니까?</t>
        </is>
      </c>
      <c r="AB78" s="25" t="inlineStr">
        <is>
          <t>단계(1~5)</t>
        </is>
      </c>
    </row>
    <row r="79" ht="91.5" customHeight="1">
      <c r="A79" s="26" t="n">
        <v>78</v>
      </c>
      <c r="B79" s="27" t="inlineStr">
        <is>
          <t>S-노동-추가2</t>
        </is>
      </c>
      <c r="C79" s="28" t="inlineStr">
        <is>
          <t>추가진단항목(v2.0)</t>
        </is>
      </c>
      <c r="D79" s="36" t="inlineStr">
        <is>
          <t>사회</t>
        </is>
      </c>
      <c r="E79" s="28" t="inlineStr">
        <is>
          <t>노동</t>
        </is>
      </c>
      <c r="F79" s="28" t="inlineStr">
        <is>
          <t>여가친화 경영</t>
        </is>
      </c>
      <c r="G79" s="28" t="inlineStr">
        <is>
          <t> 포용적 경영의 핵심이슈인 근로자의 ‘일과 삶의 균형’ 지원 정도를 확인  조직이 근로자가 일과 여가를 조화롭게 추구할 수 있는 여가 친화적인 환경 제공 및 여가 제도 운영 관련 여가친화경영 인증 여부 점검</t>
        </is>
      </c>
      <c r="H79" s="27" t="inlineStr">
        <is>
          <t>&lt;여가친화인증제도 인증 심사기준&gt; - 근로자의 여가시간(주당 평균 근로시간, 평균 연차휴가 소진율) - 근로자의 여가 지원제도 운영 여부(근로계약 체결 시 명문화, 여가 담당자 여부, 반반차 휴가제 운영 규정, 연차휴가사용 촉진제도, 보상휴가제 운영, 특별휴가 운영, 휴가사용방식 규정) - 근로자 대상 여가활동 지원 정도(여가 공간·시설·비용 및 프로그램 지원 여부) - 여가친화적 기업문화(여가친화적 조직문화, 최고경영층 리더십, 직원 만족도 조사) - 기타 가점(지역사회공헌 등)</t>
        </is>
      </c>
      <c r="I79" s="28" t="inlineStr">
        <is>
          <t>직전 회계연도</t>
        </is>
      </c>
      <c r="J79" s="28" t="inlineStr">
        <is>
          <t>국내 및 해외 사업장</t>
        </is>
      </c>
      <c r="K79" s="27" t="inlineStr">
        <is>
          <t>N/A</t>
        </is>
      </c>
      <c r="L79" s="29" t="inlineStr">
        <is>
          <t>단계형</t>
        </is>
      </c>
      <c r="M79" s="26" t="n">
        <v>2</v>
      </c>
      <c r="N79" s="28" t="inlineStr">
        <is>
          <t>단계형: 1단계=0점 / 2단계=100점</t>
        </is>
      </c>
      <c r="O79" s="27" t="inlineStr">
        <is>
          <t>- 1단계 : 여가친화인증 미획득 |  - 2단계 : 여가친화인증 획득</t>
        </is>
      </c>
      <c r="P79" s="33" t="inlineStr">
        <is>
          <t>GAP(대응지표 없음)</t>
        </is>
      </c>
      <c r="Q79" s="27" t="inlineStr">
        <is>
          <t>KSSB 규정 없음</t>
        </is>
      </c>
      <c r="R79" s="27" t="inlineStr">
        <is>
          <t>GRI 401</t>
        </is>
      </c>
      <c r="S79" s="27" t="inlineStr">
        <is>
          <t>K-ESG 가이드라인 v2.0 (추가 진단항목, 3장)</t>
        </is>
      </c>
      <c r="T79" s="22" t="n"/>
      <c r="U79" s="23" t="n"/>
      <c r="V79" s="23" t="n"/>
      <c r="W79" s="23" t="n"/>
      <c r="X79" s="30">
        <f>IF(T79="","",MAX(1,SUMPRODUCT(('02_점수산정참고표'!$A$2:$A$314=$B79)*('02_점수산정참고표'!$C$2:$C$314=T79)*'02_점수산정참고표'!$E$2:$E$314)))</f>
        <v/>
      </c>
      <c r="Y79" s="27" t="inlineStr">
        <is>
          <t>- 1단계 : 여가친화인증 미획득
 - 2단계 : 여가친화인증 획득</t>
        </is>
      </c>
      <c r="Z79" s="28" t="n"/>
      <c r="AA79" s="25" t="inlineStr">
        <is>
          <t>여가친화 경영을 수립하여 운영하고 있습니까?</t>
        </is>
      </c>
      <c r="AB79" s="25" t="inlineStr">
        <is>
          <t>단계(1~2)</t>
        </is>
      </c>
    </row>
    <row r="80" ht="91.5" customHeight="1">
      <c r="A80" s="16" t="n">
        <v>79</v>
      </c>
      <c r="B80" s="17" t="inlineStr">
        <is>
          <t>S-노동-추가3</t>
        </is>
      </c>
      <c r="C80" s="18" t="inlineStr">
        <is>
          <t>추가진단항목(v2.0)</t>
        </is>
      </c>
      <c r="D80" s="36" t="inlineStr">
        <is>
          <t>사회</t>
        </is>
      </c>
      <c r="E80" s="18" t="inlineStr">
        <is>
          <t>노동</t>
        </is>
      </c>
      <c r="F80" s="17" t="inlineStr">
        <is>
          <t>50세 이상 비자발적 이직예정자 중 재취업지원 제공 비율</t>
        </is>
      </c>
      <c r="G80" s="18" t="inlineStr">
        <is>
          <t> 초고령사회에 대비하여 50대 이상 준·고령층이 노동시장에서 보다 장기간 활동할 수 있도록 지원하는지 확인  사업주가 50세 이상 비자발적 이직예정자 중 진로설계, 취업알선, 취·창업 교육훈련 등 이직이후 재취업지원을 위한 서비스를 제공하는지 점검</t>
        </is>
      </c>
      <c r="H80" s="18" t="inlineStr">
        <is>
          <t>‘전자공시시스템’ 上 사업보고서, ‘조직별 홈페이지’ 上 지속가능경영보고서</t>
        </is>
      </c>
      <c r="I80" s="18" t="inlineStr">
        <is>
          <t>직전 회계연도</t>
        </is>
      </c>
      <c r="J80" s="18" t="inlineStr">
        <is>
          <t>국내 및 해외 사업장</t>
        </is>
      </c>
      <c r="K80" s="18" t="inlineStr">
        <is>
          <t>직전 회계연도 50세 이상 비자발적 이직예정자 중 서비스 제공받은 구성원 / 직전 회계연도 50세 이상 총 비자발적 이직 예정자</t>
        </is>
      </c>
      <c r="L80" s="20" t="inlineStr">
        <is>
          <t>단계형</t>
        </is>
      </c>
      <c r="M80" s="16" t="n">
        <v>3</v>
      </c>
      <c r="N80" s="18" t="inlineStr">
        <is>
          <t>단계형: 1단계=0점 / 2단계=50점 / 3단계=100점</t>
        </is>
      </c>
      <c r="O80" s="17" t="inlineStr">
        <is>
          <t>- 1단계 : 재취업지원서비스 미제공 또는 제공 비율 감소 추세 |  - 2단계 : 재취업지원서비스 제공 비율 유지 추세 |  - 3단계 : 재취업지원서비스 제공 비율 증가 추세</t>
        </is>
      </c>
      <c r="P80" s="33" t="inlineStr">
        <is>
          <t>GAP(대응지표 없음)</t>
        </is>
      </c>
      <c r="Q80" s="17" t="inlineStr">
        <is>
          <t>KSSB 규정 없음</t>
        </is>
      </c>
      <c r="R80" s="17" t="inlineStr">
        <is>
          <t>GRI 401</t>
        </is>
      </c>
      <c r="S80" s="17" t="inlineStr">
        <is>
          <t>K-ESG 가이드라인 v2.0 (추가 진단항목, 3장)</t>
        </is>
      </c>
      <c r="T80" s="22" t="n"/>
      <c r="U80" s="23" t="n"/>
      <c r="V80" s="23" t="n"/>
      <c r="W80" s="23" t="n"/>
      <c r="X80" s="24">
        <f>IF(T80="","",MAX(1,SUMPRODUCT(('02_점수산정참고표'!$A$2:$A$314=$B80)*('02_점수산정참고표'!$C$2:$C$314=T80)*'02_점수산정참고표'!$E$2:$E$314)))</f>
        <v/>
      </c>
      <c r="Y80" s="17" t="inlineStr">
        <is>
          <t>- 1단계 : 재취업지원서비스 미제공 또는 제공 비율 감소 추세
 - 2단계 : 재취업지원서비스 제공 비율 유지 추세
 - 3단계 : 재취업지원서비스 제공 비율 증가 추세</t>
        </is>
      </c>
      <c r="Z80" s="18" t="n"/>
      <c r="AA80" s="25" t="inlineStr">
        <is>
          <t>50세 이상 비자발적 이직예정자 중 재취업지원 제공 비율을 정량적으로 산정하여 관리·공시하고 있습니까?</t>
        </is>
      </c>
      <c r="AB80" s="25" t="inlineStr">
        <is>
          <t>단계(1~3)</t>
        </is>
      </c>
    </row>
    <row r="81" ht="91.5" customHeight="1">
      <c r="A81" s="26" t="n">
        <v>80</v>
      </c>
      <c r="B81" s="27" t="inlineStr">
        <is>
          <t>S-정보보호-추가1</t>
        </is>
      </c>
      <c r="C81" s="28" t="inlineStr">
        <is>
          <t>추가진단항목(v2.0)</t>
        </is>
      </c>
      <c r="D81" s="36" t="inlineStr">
        <is>
          <t>사회</t>
        </is>
      </c>
      <c r="E81" s="28" t="inlineStr">
        <is>
          <t>정보보호</t>
        </is>
      </c>
      <c r="F81" s="28" t="inlineStr">
        <is>
          <t>개인정보보호를 위한 자율적 노력 및 활동</t>
        </is>
      </c>
      <c r="G81" s="28" t="inlineStr">
        <is>
          <t> 조직이 정보주체의 개인정보 자기결정권 보장을 위해서 법적 준수사항 외 자율적으로 개인정보보호를 위해 수행하는 활동 및 노력을 확인</t>
        </is>
      </c>
      <c r="H81" s="28" t="inlineStr">
        <is>
          <t>개인정보보호 관련 활동 현황 (사업보고서, 홈페이지, 지속가능성보고서 등)</t>
        </is>
      </c>
      <c r="I81" s="28" t="inlineStr">
        <is>
          <t>최근 회계연도</t>
        </is>
      </c>
      <c r="J81" s="28" t="inlineStr">
        <is>
          <t>국내 사업장</t>
        </is>
      </c>
      <c r="K81" s="27" t="inlineStr">
        <is>
          <t>N/A</t>
        </is>
      </c>
      <c r="L81" s="29" t="inlineStr">
        <is>
          <t>복합가중형</t>
        </is>
      </c>
      <c r="M81" s="26" t="n"/>
      <c r="N81" s="28" t="inlineStr">
        <is>
          <t>복합가중형: 2~3개 세부요소를 균등가중평균(예: 1/2+1/2, 1/3×3) — 세부 배점은 점검기준 상세 참조, 자사취득점수는 수동 산정</t>
        </is>
      </c>
      <c r="O81" s="28" t="inlineStr">
        <is>
          <t>아래 항목의 공시 여부에 따라 단계 구분 |  ① 개인정보 처리방침을 기호(라벨링) 등을 통해 이해하기 쉽게 작성하여 공개하고 있는지 여부 |  ② ISMS-P 인증 획득 여부 |  ③ 영향평가 수행 여부 |  ④ 개인정보 자율규제단체 활동 여부 |  ⑤ 투명성보고서 발간 여부 |  1단계 : 공시 없음 |  2단계 : 위 사항 중 1개 이상 활동사항 공시 |  3단계 : 위 사항 중 3개 이상 활동사항 공시 |  측정구분 배점 |  1단계 0점 |  2단계 50점 |  3단계 100점</t>
        </is>
      </c>
      <c r="P81" s="33" t="inlineStr">
        <is>
          <t>GAP(대응지표 없음)</t>
        </is>
      </c>
      <c r="Q81" s="27" t="inlineStr">
        <is>
          <t>KSSB 규정 없음</t>
        </is>
      </c>
      <c r="R81" s="27" t="inlineStr">
        <is>
          <t>GRI 418-1, ISMS-P</t>
        </is>
      </c>
      <c r="S81" s="27" t="inlineStr">
        <is>
          <t>K-ESG 가이드라인 v2.0 (추가 진단항목, 3장)</t>
        </is>
      </c>
      <c r="T81" s="34" t="inlineStr">
        <is>
          <t>해당없음(복합가중형)</t>
        </is>
      </c>
      <c r="U81" s="23" t="n"/>
      <c r="V81" s="23" t="n"/>
      <c r="W81" s="23" t="n"/>
      <c r="X81" s="35" t="n"/>
      <c r="Y81" s="28" t="inlineStr">
        <is>
          <t>아래 항목의 공시 여부에 따라 단계 구분
 ① 개인정보 처리방침을 기호(라벨링) 등을 통해 이해하기 쉽게 작성하여 공개하고 있는지 여부
 ② ISMS-P 인증 획득 여부
 ③ 영향평가 수행 여부
 ④ 개인정보 자율규제단체 활동 여부
 ⑤ 투명성보고서 발간 여부
 1단계 : 공시 없음
 2단계 : 위 사항 중 1개 이상 활동사항 공시
 3단계 : 위 사항 중 3개 이상 활동사항 공시
 측정구분 배점
 1단계 0점
 2단계 50점
 3단계 100점</t>
        </is>
      </c>
      <c r="Z81" s="28" t="n"/>
      <c r="AA81" s="25" t="inlineStr">
        <is>
          <t>개인정보보호를 위한 자율적 노력 및 활동을 계획적으로 수행하고 성과를 관리하고 있습니까?</t>
        </is>
      </c>
      <c r="AB81" s="25" t="inlineStr">
        <is>
          <t>복합입력(세부요소 수동 0~100)</t>
        </is>
      </c>
    </row>
    <row r="82" ht="91.5" customHeight="1">
      <c r="A82" s="16" t="n">
        <v>81</v>
      </c>
      <c r="B82" s="17" t="inlineStr">
        <is>
          <t>S-지역사회-추가1</t>
        </is>
      </c>
      <c r="C82" s="18" t="inlineStr">
        <is>
          <t>추가진단항목(v2.0)</t>
        </is>
      </c>
      <c r="D82" s="36" t="inlineStr">
        <is>
          <t>사회</t>
        </is>
      </c>
      <c r="E82" s="18" t="inlineStr">
        <is>
          <t>지역사회</t>
        </is>
      </c>
      <c r="F82" s="18" t="inlineStr">
        <is>
          <t>농어촌지역 상생협력 및 균형발전</t>
        </is>
      </c>
      <c r="G82" s="18" t="inlineStr">
        <is>
          <t> 조직이 농어촌지역 간 상생협력을 통해 농어업인의 삶의 질 향상 및 농어촌 지역사회의 발전에 기여하는 수준을 확인</t>
        </is>
      </c>
      <c r="H82" s="18" t="inlineStr">
        <is>
          <t>농어촌 상생협력기금 출연협약 체결 여부, 지출에 대한 공시 여부, 연도별 매출액 대비 상생협력기금 출연액 증감 여부(사업보고서, 홈페이지, 지속가능성보고서 등)</t>
        </is>
      </c>
      <c r="I82" s="18" t="inlineStr">
        <is>
          <t>최근 4개년 (회계연도 기준)</t>
        </is>
      </c>
      <c r="J82" s="18" t="inlineStr">
        <is>
          <t>국내 사업장</t>
        </is>
      </c>
      <c r="K82" s="17" t="inlineStr">
        <is>
          <t>N/A</t>
        </is>
      </c>
      <c r="L82" s="20" t="inlineStr">
        <is>
          <t>복합가중형</t>
        </is>
      </c>
      <c r="M82" s="16" t="n"/>
      <c r="N82" s="18" t="inlineStr">
        <is>
          <t>복합가중형: 2~3개 세부요소를 균등가중평균(예: 1/2+1/2, 1/3×3) — 세부 배점은 점검기준 상세 참조, 자사취득점수는 수동 산정</t>
        </is>
      </c>
      <c r="O82" s="18" t="inlineStr">
        <is>
          <t>기업의 수준은 (농어촌 상생협력기금 출연협약 체결 여부) + (연도별 매출액 대비 상생협력기금 출연액 증감 여부)의 합산으로 |  측정함 |  측정 기준 구분 배점 |  농어촌상생협력기금 체결하지 않음 0점 |  출연협약 체결 여부 체결함 20점 |  1단계 20점 |  농어촌상생협력기금 2단계 40점 |  지출액 3단계 60점 |  4단계 80점 |  - 1단계 : 과거 4년간 매출액 대비 농어촌 상생협력기금 출연액이 감소하는 경우 |  - 2단계 : 과거 4년간 매출액 대비 농어촌 상생협력기금 출연액이 유지하는 경우 |  - 3단계 : 과거 4년간 매출액 대비 농어촌 상생협력기금 출연액이 증가하는 경우 |  - 4단계 : 과거 4년간 매출액 대비 농어촌 상생협력기금 출연액이 증가하면서, 아래 열거된 출연액 용도 중 2개 이상의 용도에 |  출연액을 중복해서 지원하는 경우 |  · 출연액 용도 : ① 교육·장학 ② 복지 증진 ③ 농어촌 지역개발 ④ 공동 협력 사업 |  * 3개년 이하 데이터 보유 시 해당 데이터로 추세 산정</t>
        </is>
      </c>
      <c r="P82" s="33" t="inlineStr">
        <is>
          <t>GAP(대응지표 없음)</t>
        </is>
      </c>
      <c r="Q82" s="17" t="inlineStr">
        <is>
          <t>KSSB 규정 없음</t>
        </is>
      </c>
      <c r="R82" s="17" t="inlineStr">
        <is>
          <t>K-ESG 고유</t>
        </is>
      </c>
      <c r="S82" s="17" t="inlineStr">
        <is>
          <t>K-ESG 가이드라인 v2.0 (추가 진단항목, 3장)</t>
        </is>
      </c>
      <c r="T82" s="34" t="inlineStr">
        <is>
          <t>해당없음(복합가중형)</t>
        </is>
      </c>
      <c r="U82" s="23" t="n"/>
      <c r="V82" s="23" t="n"/>
      <c r="W82" s="23" t="n"/>
      <c r="X82" s="35" t="n"/>
      <c r="Y82" s="18" t="inlineStr">
        <is>
          <t>기업의 수준은 (농어촌 상생협력기금 출연협약 체결 여부) + (연도별 매출액 대비 상생협력기금 출연액 증감 여부)의 합산으로
 측정함
 측정 기준 구분 배점
 농어촌상생협력기금 체결하지 않음 0점
 출연협약 체결 여부 체결함 20점
 1단계 20점
 농어촌상생협력기금 2단계 40점
 지출액 3단계 60점
 4단계 80점
 - 1단계 : 과거 4년간 매출액 대비 농어촌 상생협력기금 출연액이 감소하는 경우
 - 2단계 : 과거 4년간 매출액 대비 농어촌 상생협력기금 출연액이 유지하는 경우
 - 3단계 : 과거 4년간 매출액 대비…</t>
        </is>
      </c>
      <c r="Z82" s="18" t="n"/>
      <c r="AA82" s="25" t="inlineStr">
        <is>
          <t>농어촌지역 상생협력 및 균형발전에 대한 현황을 관리·공시하고 있습니까?</t>
        </is>
      </c>
      <c r="AB82" s="25" t="inlineStr">
        <is>
          <t>복합입력(세부요소 수동 0~100)</t>
        </is>
      </c>
    </row>
    <row r="83" ht="91.5" customHeight="1">
      <c r="A83" s="26" t="n">
        <v>82</v>
      </c>
      <c r="B83" s="27" t="inlineStr">
        <is>
          <t>S-지역사회-추가2</t>
        </is>
      </c>
      <c r="C83" s="28" t="inlineStr">
        <is>
          <t>추가진단항목(v2.0)</t>
        </is>
      </c>
      <c r="D83" s="36" t="inlineStr">
        <is>
          <t>사회</t>
        </is>
      </c>
      <c r="E83" s="28" t="inlineStr">
        <is>
          <t>지역사회</t>
        </is>
      </c>
      <c r="F83" s="28" t="inlineStr">
        <is>
          <t>산학협력 활성화 기여</t>
        </is>
      </c>
      <c r="G83" s="28" t="inlineStr">
        <is>
          <t> 조직이 대학과의 산학협력을 위해 얼마나 자원을 투입하고 있는지를 확인 * 산학협력이란 산업교육기관과 국가·지방자치단체·정부출연기관 및 산업체 등이 상호협력하여 산업체의 수요와 미래의 산업 발전에 부응하는 인력을 양성하고 새로운 지식, 기술의 창출 및 확산을 위해 연구·개발하며, 산업체 등으로의 기술 이전 및 산업 자문 등의 활동을 의미함(산업교육진흥 및 산학협력촉진에 관한 법률 제2조 제5호).</t>
        </is>
      </c>
      <c r="H83" s="28" t="inlineStr">
        <is>
          <t>산학협력 활동 공시 여부, 산학협력 마일리지 점수(매출액 대비) (사업보고서, 산학협력 마일리지 홈페이지(www.muic.or.kr) 등)</t>
        </is>
      </c>
      <c r="I83" s="28" t="inlineStr">
        <is>
          <t>최근 4개년 (회계연도 기준)</t>
        </is>
      </c>
      <c r="J83" s="28" t="inlineStr">
        <is>
          <t>국내 사업장 및 국내 소재 대학</t>
        </is>
      </c>
      <c r="K83" s="27" t="inlineStr">
        <is>
          <t>N/A</t>
        </is>
      </c>
      <c r="L83" s="29" t="inlineStr">
        <is>
          <t>단계형</t>
        </is>
      </c>
      <c r="M83" s="26" t="n">
        <v>5</v>
      </c>
      <c r="N83" s="28" t="inlineStr">
        <is>
          <t>단계형: 1단계=0점 / 2단계=25점 / 3단계=50점 / 4단계=75점 / 5단계=100점</t>
        </is>
      </c>
      <c r="O83" s="27" t="inlineStr">
        <is>
          <t>1단계 |  산학협력 활동에 관한 정보공시가 없는 경우 |  2단계 |  산학협력 활동 내용은 공시하나 ‘산학협력 마일리지’ 점수에 대한 정보공시가 없는 경우 |  3단계 |  산학협력 활동 내용, 마일리지 점수에 대한 정보공시가 있으나, 최근 4개년 매출액 대비 마일리지 점수 변동을 알 수 없거나 감소 |  추세인 경우 |  4단계 |  산학협력 활동 내용, 마일리지 점수에 대한 정보를 공시하며, 최근 4개년 매출액 대비 마일리지 점수가 유지되는 경우 |  5단계 |  산학협력 활동 내용, 마일리지 점수에 대한 정보를 공시하며, 최근 4개년 매출액 대비 마일리지 점수가 증가 추세인 경우 |  * 3개년 이하 데이터 보유 시 해당 데이터로 추세 산정</t>
        </is>
      </c>
      <c r="P83" s="33" t="inlineStr">
        <is>
          <t>GAP(대응지표 없음)</t>
        </is>
      </c>
      <c r="Q83" s="27" t="inlineStr">
        <is>
          <t>KSSB 규정 없음</t>
        </is>
      </c>
      <c r="R83" s="27" t="inlineStr">
        <is>
          <t>K-ESG 고유</t>
        </is>
      </c>
      <c r="S83" s="27" t="inlineStr">
        <is>
          <t>K-ESG 가이드라인 v2.0 (추가 진단항목, 3장)</t>
        </is>
      </c>
      <c r="T83" s="22" t="n"/>
      <c r="U83" s="23" t="n"/>
      <c r="V83" s="23" t="n"/>
      <c r="W83" s="23" t="n"/>
      <c r="X83" s="30">
        <f>IF(T83="","",MAX(1,SUMPRODUCT(('02_점수산정참고표'!$A$2:$A$314=$B83)*('02_점수산정참고표'!$C$2:$C$314=T83)*'02_점수산정참고표'!$E$2:$E$314)))</f>
        <v/>
      </c>
      <c r="Y83" s="27" t="inlineStr">
        <is>
          <t>1단계
 산학협력 활동에 관한 정보공시가 없는 경우
 2단계
 산학협력 활동 내용은 공시하나 ‘산학협력 마일리지’ 점수에 대한 정보공시가 없는 경우
 3단계
 산학협력 활동 내용, 마일리지 점수에 대한 정보공시가 있으나, 최근 4개년 매출액 대비 마일리지 점수 변동을 알 수 없거나 감소
 추세인 경우
 4단계
 산학협력 활동 내용, 마일리지 점수에 대한 정보를 공시하며, 최근 4개년 매출액 대비 마일리지 점수가 유지되는 경우
 5단계
 산학협력 활동 내용, 마일리지 점수에 대한 정보를 공시하며, 최근 4개년 매출액 대비 마일리지…</t>
        </is>
      </c>
      <c r="Z83" s="28" t="n"/>
      <c r="AA83" s="25" t="inlineStr">
        <is>
          <t>산학협력 활성화 기여를 계획적으로 수행하고 성과를 관리하고 있습니까?</t>
        </is>
      </c>
      <c r="AB83" s="25" t="inlineStr">
        <is>
          <t>단계(1~5)</t>
        </is>
      </c>
    </row>
    <row r="84" ht="91.5" customHeight="1">
      <c r="A84" s="16" t="n">
        <v>83</v>
      </c>
      <c r="B84" s="17" t="inlineStr">
        <is>
          <t>S-지역사회-추가3</t>
        </is>
      </c>
      <c r="C84" s="18" t="inlineStr">
        <is>
          <t>추가진단항목(v2.0)</t>
        </is>
      </c>
      <c r="D84" s="36" t="inlineStr">
        <is>
          <t>사회</t>
        </is>
      </c>
      <c r="E84" s="18" t="inlineStr">
        <is>
          <t>지역사회</t>
        </is>
      </c>
      <c r="F84" s="18" t="inlineStr">
        <is>
          <t>미래세대 성장 및 교육 기여</t>
        </is>
      </c>
      <c r="G84" s="18" t="inlineStr">
        <is>
          <t> 조직이 미래세대의 성장과 교육에 기여하는 수준을 확인 * 기업은 지역사회의 주된 구성원이자 미래세대인 아동과 청년을 위해 각종 교육활동 운영, 현장실습(인턴십) 및 진로체험 기회 제공, 교육기부, 장학금 지원, 역량개발 지원 활동을 추진</t>
        </is>
      </c>
      <c r="H84" s="18" t="inlineStr">
        <is>
          <t>미래세대 성장 및 교육 기여 활동 지출액, 수혜인원 및 지원 기간(매출액 대비) (사업보고서, 지속가능성보고서, 홈페이지 등)</t>
        </is>
      </c>
      <c r="I84" s="18" t="inlineStr">
        <is>
          <t>최근 4개년 (회계연도 기준)</t>
        </is>
      </c>
      <c r="J84" s="18" t="inlineStr">
        <is>
          <t>국내 사업장 및 국내 소재 대학</t>
        </is>
      </c>
      <c r="K84" s="17" t="inlineStr">
        <is>
          <t>N/A</t>
        </is>
      </c>
      <c r="L84" s="20" t="inlineStr">
        <is>
          <t>단계형</t>
        </is>
      </c>
      <c r="M84" s="16" t="n">
        <v>5</v>
      </c>
      <c r="N84" s="18" t="inlineStr">
        <is>
          <t>단계형: 1단계=0점 / 2단계=25점 / 3단계=50점 / 4단계=75점 / 5단계=100점</t>
        </is>
      </c>
      <c r="O84" s="17" t="inlineStr">
        <is>
          <t>1단계 |  미래세대 성장 및 교육 기여 활동에 관한 정보공시가 없는 경우 |  2단계 |  미래세대 성장 및 교육 기여 활동 내용은 공시하나 지출액이나 수혜인원에 대한 정보공시가 없는 경우 |  3단계 |  미래세대 성장 및 교육 기여 활동 내용, 지출액, 수혜규모에 대한 정보공시가 있으나, 최근 4년간 매출액 증감폭 대비 |  미래세대 성장 기여 활동 지출액 또는 수혜규모 변동을 알 수 없거나 감소 추세인 경우 |  4단계 |  미래세대 성장 및 교육 기여 활동 내용, 지출액, 수혜규모에 대한 정보를 공시하며, 최근 4년간 매출액 증감폭 대비 |  미래세대 성장 기여 활동 지출액 또는 수혜규모가 유지되고 있는 경우 |  5단계 |  미래세대 성장 및 교육 기여 활동 내용, 지출액, 수혜규모에 대한 정보를 공시하며, 최근 4년간 매출액 증감폭 대비 |  미래세대 성장 기여 활동 지출액 또는 수혜규모가 증가 추세인 경우 |  * 3개년 이하 데이터 보유 시 해당 데이터로 추세 산정</t>
        </is>
      </c>
      <c r="P84" s="33" t="inlineStr">
        <is>
          <t>GAP(대응지표 없음)</t>
        </is>
      </c>
      <c r="Q84" s="17" t="inlineStr">
        <is>
          <t>KSSB 규정 없음</t>
        </is>
      </c>
      <c r="R84" s="17" t="inlineStr">
        <is>
          <t>K-ESG 고유</t>
        </is>
      </c>
      <c r="S84" s="17" t="inlineStr">
        <is>
          <t>K-ESG 가이드라인 v2.0 (추가 진단항목, 3장)</t>
        </is>
      </c>
      <c r="T84" s="22" t="n"/>
      <c r="U84" s="23" t="n"/>
      <c r="V84" s="23" t="n"/>
      <c r="W84" s="23" t="n"/>
      <c r="X84" s="24">
        <f>IF(T84="","",MAX(1,SUMPRODUCT(('02_점수산정참고표'!$A$2:$A$314=$B84)*('02_점수산정참고표'!$C$2:$C$314=T84)*'02_점수산정참고표'!$E$2:$E$314)))</f>
        <v/>
      </c>
      <c r="Y84" s="17" t="inlineStr">
        <is>
          <t>1단계
 미래세대 성장 및 교육 기여 활동에 관한 정보공시가 없는 경우
 2단계
 미래세대 성장 및 교육 기여 활동 내용은 공시하나 지출액이나 수혜인원에 대한 정보공시가 없는 경우
 3단계
 미래세대 성장 및 교육 기여 활동 내용, 지출액, 수혜규모에 대한 정보공시가 있으나, 최근 4년간 매출액 증감폭 대비
 미래세대 성장 기여 활동 지출액 또는 수혜규모 변동을 알 수 없거나 감소 추세인 경우
 4단계
 미래세대 성장 및 교육 기여 활동 내용, 지출액, 수혜규모에 대한 정보를 공시하며, 최근 4년간 매출액 증감폭 대비
 미래세대…</t>
        </is>
      </c>
      <c r="Z84" s="18" t="n"/>
      <c r="AA84" s="25" t="inlineStr">
        <is>
          <t>미래세대 성장 및 교육 기여를 계획적으로 수행하고 성과를 관리하고 있습니까?</t>
        </is>
      </c>
      <c r="AB84" s="25" t="inlineStr">
        <is>
          <t>단계(1~5)</t>
        </is>
      </c>
    </row>
    <row r="85" ht="91.5" customHeight="1">
      <c r="A85" s="26" t="n">
        <v>84</v>
      </c>
      <c r="B85" s="27" t="inlineStr">
        <is>
          <t>G-경영진-추가1</t>
        </is>
      </c>
      <c r="C85" s="28" t="inlineStr">
        <is>
          <t>추가진단항목(v2.0)</t>
        </is>
      </c>
      <c r="D85" s="37" t="inlineStr">
        <is>
          <t>지배구조</t>
        </is>
      </c>
      <c r="E85" s="28" t="inlineStr">
        <is>
          <t>경영진</t>
        </is>
      </c>
      <c r="F85" s="28" t="inlineStr">
        <is>
          <t>경영진 성과평가 및 보상</t>
        </is>
      </c>
      <c r="G85" s="28" t="inlineStr">
        <is>
          <t> 경영진의 성과를 체계적으로 평가하고 이를 근거로 보상을 지급함으로써, 경영진의 의사결정행위를 직/간접적으로 감독 및 통제하고 있는지 확인  경영진의 성과평가 지표(KPIs)는 조직의 장기적 가치 향상과 연계되어 있으며, 성과평가 행위가 구체적, 연속적, 실효적으로 이루어지고 있는지 점검</t>
        </is>
      </c>
      <c r="H85" s="28" t="inlineStr">
        <is>
          <t>‘전자공시시스템’ 上 사업보고서, ‘조직별 홈페이지’ 上 지속가능경영보고서</t>
        </is>
      </c>
      <c r="I85" s="28" t="inlineStr">
        <is>
          <t>최근 1개 회계연도</t>
        </is>
      </c>
      <c r="J85" s="27" t="inlineStr">
        <is>
          <t>N/A</t>
        </is>
      </c>
      <c r="K85" s="27" t="inlineStr">
        <is>
          <t>N/A</t>
        </is>
      </c>
      <c r="L85" s="29" t="inlineStr">
        <is>
          <t>선택형</t>
        </is>
      </c>
      <c r="M85" s="26" t="n">
        <v>5</v>
      </c>
      <c r="N85" s="28" t="inlineStr">
        <is>
          <t>선택형: 요건1=0점 / 요건2=25점 / 요건3=50점 / 요건4=75점 / 요건5=100점</t>
        </is>
      </c>
      <c r="O85" s="28" t="inlineStr">
        <is>
          <t>요건1 |  조직의 재무적 성과와 연계하여 정량적 ‘성과평가 지표’가 설정되어 있는 경우 |  (매출액, 영업이익, 현금흐름, EBIT, 시가총액, 주주수익률 등) |  요건2 |  조직의 비재무적 성과와 연계하여 정량적 ‘성과평가 지표’가 설정되어 있는 경우 |  (온실가스 배출량, 친환경 제품 비율, 산업재해율, 인권 리스크 개선율 등) |  요건3 |  조직의 재무적/비재무적 성과와 연계하여 3년 이상의 중장기 ‘성과평가 지표’가 설정되어 있는 경우 |  요건4 |  성과평가 결과에 따라 보상(성과급)을 지급하고 있으며, 성과보상 지급을 1년 이상 초과하여 이연지급하고 있는 경우 |  요건5 |  성과평가 종료 후, 지급(예정) 보상을 회수할 수 있는 요건을 두고 있는 경우 |  (경영진 행위가 불법적이거나, 조직에 심각한 피해를 초래한 사유 등)</t>
        </is>
      </c>
      <c r="P85" s="21" t="inlineStr">
        <is>
          <t>부분대응</t>
        </is>
      </c>
      <c r="Q85" s="27" t="inlineStr">
        <is>
          <t>KSSB 제2호 문단 29(7) 경영진 보상-기후지표 연계 취지 준용(ESG 전반 KPI 연계는 KSSB가 더 포괄적)</t>
        </is>
      </c>
      <c r="R85" s="27" t="inlineStr">
        <is>
          <t>GRI 2-19, KCGS</t>
        </is>
      </c>
      <c r="S85" s="27" t="inlineStr">
        <is>
          <t>K-ESG 가이드라인 v2.0 (추가 진단항목, 3장)</t>
        </is>
      </c>
      <c r="T85" s="22" t="n"/>
      <c r="U85" s="23" t="n"/>
      <c r="V85" s="23" t="n"/>
      <c r="W85" s="23" t="n"/>
      <c r="X85" s="30">
        <f>IF(T85="","",MAX(1,SUMPRODUCT(('02_점수산정참고표'!$A$2:$A$314=$B85)*('02_점수산정참고표'!$C$2:$C$314=T85)*'02_점수산정참고표'!$E$2:$E$314)))</f>
        <v/>
      </c>
      <c r="Y85" s="28" t="inlineStr">
        <is>
          <t>요건1
 조직의 재무적 성과와 연계하여 정량적 ‘성과평가 지표’가 설정되어 있는 경우
 (매출액, 영업이익, 현금흐름, EBIT, 시가총액, 주주수익률 등)
 요건2
 조직의 비재무적 성과와 연계하여 정량적 ‘성과평가 지표’가 설정되어 있는 경우
 (온실가스 배출량, 친환경 제품 비율, 산업재해율, 인권 리스크 개선율 등)
 요건3
 조직의 재무적/비재무적 성과와 연계하여 3년 이상의 중장기 ‘성과평가 지표’가 설정되어 있는 경우
 요건4
 성과평가 결과에 따라 보상(성과급)을 지급하고 있으며, 성과보상 지급을 1년 이상 초과하여…</t>
        </is>
      </c>
      <c r="Z85" s="28" t="n"/>
      <c r="AA85" s="25" t="inlineStr">
        <is>
          <t>경영진 성과평가 및 보상을 수립하여 운영하고 있습니까?</t>
        </is>
      </c>
      <c r="AB85" s="25" t="inlineStr">
        <is>
          <t>선택형(요건 충족 수)</t>
        </is>
      </c>
    </row>
    <row r="86" ht="91.5" customHeight="1">
      <c r="A86" s="16" t="n">
        <v>85</v>
      </c>
      <c r="B86" s="17" t="inlineStr">
        <is>
          <t>G-윤리경영-추가1</t>
        </is>
      </c>
      <c r="C86" s="18" t="inlineStr">
        <is>
          <t>추가진단항목(v2.0)</t>
        </is>
      </c>
      <c r="D86" s="37" t="inlineStr">
        <is>
          <t>지배구조</t>
        </is>
      </c>
      <c r="E86" s="18" t="inlineStr">
        <is>
          <t>윤리경영</t>
        </is>
      </c>
      <c r="F86" s="18" t="inlineStr">
        <is>
          <t>윤리경영/반부패 관련 법규/행동강령 등 준수</t>
        </is>
      </c>
      <c r="G86" s="18" t="inlineStr">
        <is>
          <t> 조직이 윤리경영 및 부패방지 관련 법규, 행동강령 및 실천규범 등을 준수하고 있는지 확인</t>
        </is>
      </c>
      <c r="H86" s="18" t="inlineStr">
        <is>
          <t>회사(계열사 제외), 임직원(계열사 제외)의 법규 위반 사항 중 사회 관련 법규 위반 사실 (사업보고서, 지속가능성보고서, 법규위반 정보 관련 웹사이트)</t>
        </is>
      </c>
      <c r="I86" s="18" t="inlineStr">
        <is>
          <t>최근 회계연도 기준</t>
        </is>
      </c>
      <c r="J86" s="18" t="inlineStr">
        <is>
          <t>국내, 해외 지점 포함</t>
        </is>
      </c>
      <c r="K86" s="17" t="inlineStr">
        <is>
          <t>N/A</t>
        </is>
      </c>
      <c r="L86" s="20" t="inlineStr">
        <is>
          <t>감점형</t>
        </is>
      </c>
      <c r="M86" s="16" t="n">
        <v>4</v>
      </c>
      <c r="N86" s="18" t="inlineStr">
        <is>
          <t>감점형: 유형1=-50점 / 유형2=-30점 / 유형3=-10점 (기준 100점에서 위반유형별 차감, 최저 0점, 중복 합산 가능)</t>
        </is>
      </c>
      <c r="O86" s="18" t="inlineStr">
        <is>
          <t>유형1(1단계): 처벌 및 조치내용 중 「과징금·벌금·징역·금고·구류」가 포함된 처벌이 있는 경우 | 유형2(2단계): 처벌 및 조치내용 중 「과태료·범칙금·이행강제금」이 포함된 처벌이 있는 경우 | 유형3(3단계): 상기 조치 이외의 처벌(금전적 처벌 없이 시정명령·영업정지 등 제재만 있는 경우) | 처벌·조치내역이 없는 경우 감점 없음(=100점), 사회 분야 총 평가 최저점은 0점으로 하한 설정. 전년도 회사(계열사 제외)·임직원(계열사 제외)의 윤리경영/반부패 관련 법규·행동강령 위반 사실을 기준으로 평가하며, 항소 중인 건은 전년도 현재 판결 기준으로 평가(금융지주회사는 계열사 및 자회사 포함)</t>
        </is>
      </c>
      <c r="P86" s="21" t="inlineStr">
        <is>
          <t>부분대응</t>
        </is>
      </c>
      <c r="Q86" s="17" t="inlineStr">
        <is>
          <t>KSSB 제1호 위험관리 원칙 준용</t>
        </is>
      </c>
      <c r="R86" s="17" t="inlineStr">
        <is>
          <t>GRI 205</t>
        </is>
      </c>
      <c r="S86" s="17" t="inlineStr">
        <is>
          <t>K-ESG 가이드라인 v2.0 (추가 진단항목, 3장)</t>
        </is>
      </c>
      <c r="T86" s="34" t="inlineStr">
        <is>
          <t>해당없음(감점형)</t>
        </is>
      </c>
      <c r="U86" s="22" t="n">
        <v>0</v>
      </c>
      <c r="V86" s="22" t="n">
        <v>0</v>
      </c>
      <c r="W86" s="22" t="n">
        <v>0</v>
      </c>
      <c r="X86" s="24">
        <f>MAX(1,100-(N(U86)*50+N(V86)*30+N(W86)*10))</f>
        <v/>
      </c>
      <c r="Y86" s="18" t="inlineStr">
        <is>
          <t>윤리경영/반부패 관련 법규 및 행동강령 위반 이력이 없도록 사전 예방 체계(내부신고 채널, 정기 준법교육, 반부패 정책)를 구축·운영하고, 처벌·조치내역 발생 시에도 재발방지 개선활동을 공시해 위반 유형별 감점을 최소화해야 함. 동일 위반유형이 반복되지 않도록 내부통제 프로세스를 개선하는 것이 핵심 개선 방향.</t>
        </is>
      </c>
      <c r="Z86" s="18" t="n"/>
      <c r="AA86" s="25" t="inlineStr">
        <is>
          <t>윤리경영/반부패 관련 법규/행동강령 등 준수를 수립하여 운영하고 있습니까?</t>
        </is>
      </c>
      <c r="AB86" s="25" t="inlineStr">
        <is>
          <t>OX(위반유형별 감점)</t>
        </is>
      </c>
    </row>
    <row r="87" ht="91.5" customHeight="1">
      <c r="A87" s="26" t="n">
        <v>86</v>
      </c>
      <c r="B87" s="28" t="inlineStr">
        <is>
          <t>반도체-E-1</t>
        </is>
      </c>
      <c r="C87" s="28" t="inlineStr">
        <is>
          <t>업종특화(반도체 v1.0)</t>
        </is>
      </c>
      <c r="D87" s="32" t="inlineStr">
        <is>
          <t>환경</t>
        </is>
      </c>
      <c r="E87" s="28" t="inlineStr">
        <is>
          <t>온실가스 및 에너지</t>
        </is>
      </c>
      <c r="F87" s="28" t="inlineStr">
        <is>
          <t>에너지 효율적 제품</t>
        </is>
      </c>
      <c r="G87" s="28" t="inlineStr">
        <is>
          <t>조직이 개발·생산하는 제품 중 에너지 효율적 제품의 비중을 점검하고, 사용단계 에너지 절감 노력을 확인</t>
        </is>
      </c>
      <c r="H87" s="27" t="inlineStr">
        <is>
          <t>'조직별 홈페이지' 上 지속가능경영보고서</t>
        </is>
      </c>
      <c r="I87" s="28" t="inlineStr">
        <is>
          <t>최근 4개 회계연도</t>
        </is>
      </c>
      <c r="J87" s="28" t="inlineStr">
        <is>
          <t>국내외 사업장 및 기타 연결실체</t>
        </is>
      </c>
      <c r="K87" s="27" t="inlineStr">
        <is>
          <t>(에너지 효율적 제품의 수 / 조직이 생산하고 있는 전체 제품의 수) X 100</t>
        </is>
      </c>
      <c r="L87" s="29" t="inlineStr">
        <is>
          <t>단계형</t>
        </is>
      </c>
      <c r="M87" s="26" t="n">
        <v>3</v>
      </c>
      <c r="N87" s="28" t="inlineStr">
        <is>
          <t>단계형: 1단계=0점 / 2단계=50점 / 3단계=100점</t>
        </is>
      </c>
      <c r="O87" s="27" t="inlineStr">
        <is>
          <t>1단계: 지난 4개년간 에너지 효율적 제품의 비중 감소 추세 | 2단계: 지난 4개년간 에너지 효율적 제품의 비중 변동 없음 | 3단계: 지난 4개년간 에너지 효율적 제품의 비중 증가 추세</t>
        </is>
      </c>
      <c r="P87" s="33" t="inlineStr">
        <is>
          <t>GAP(대응지표 없음)</t>
        </is>
      </c>
      <c r="Q87" s="27" t="inlineStr">
        <is>
          <t>KSSB 업종기반지표(반도체 S2 부속지침)로 별도 개발 예정</t>
        </is>
      </c>
      <c r="R87" s="27" t="inlineStr">
        <is>
          <t>SASB Semiconductors</t>
        </is>
      </c>
      <c r="S87" s="27" t="inlineStr">
        <is>
          <t>2_업종별 K-ESG 가이드라인(반도체) 진단항목</t>
        </is>
      </c>
      <c r="T87" s="22" t="n"/>
      <c r="U87" s="23" t="n"/>
      <c r="V87" s="23" t="n"/>
      <c r="W87" s="23" t="n"/>
      <c r="X87" s="30">
        <f>IF(T87="","",MAX(1,SUMPRODUCT(('02_점수산정참고표'!$A$2:$A$314=$B87)*('02_점수산정참고표'!$C$2:$C$314=T87)*'02_점수산정참고표'!$E$2:$E$314)))</f>
        <v/>
      </c>
      <c r="Y87" s="27" t="inlineStr">
        <is>
          <t>Energy Star, EU Energy Label, 국내 에너지소비효율등급표시제도 등 공인 인증 또는 자체평가로 입증 가능한 에너지 효율 제품 비중을 측정. 설비(장비) 생산기업은 판매 장비의 에너지효율 비중으로 대체 측정 가능.</t>
        </is>
      </c>
      <c r="Z87" s="28" t="n"/>
      <c r="AA87" s="25" t="inlineStr">
        <is>
          <t>사용 단계 전력 소모를 절감한 에너지 효율 반도체/장비 비중이 증가 추세입니까?</t>
        </is>
      </c>
      <c r="AB87" s="25" t="inlineStr">
        <is>
          <t>단계(1~3)/감점형</t>
        </is>
      </c>
    </row>
    <row r="88" ht="91.5" customHeight="1">
      <c r="A88" s="16" t="n">
        <v>87</v>
      </c>
      <c r="B88" s="18" t="inlineStr">
        <is>
          <t>반도체-E-2</t>
        </is>
      </c>
      <c r="C88" s="18" t="inlineStr">
        <is>
          <t>업종특화(반도체 v1.0)</t>
        </is>
      </c>
      <c r="D88" s="32" t="inlineStr">
        <is>
          <t>환경</t>
        </is>
      </c>
      <c r="E88" s="18" t="inlineStr">
        <is>
          <t>용수</t>
        </is>
      </c>
      <c r="F88" s="18" t="inlineStr">
        <is>
          <t>초순수 사용량</t>
        </is>
      </c>
      <c r="G88" s="18" t="inlineStr">
        <is>
          <t>반도체 생산에 필요한 초순수(Ultra-pure Water) 사용량을 효과적으로 측정·모니터링·관리하고 있는지 점검</t>
        </is>
      </c>
      <c r="H88" s="17" t="inlineStr">
        <is>
          <t>'조직별 홈페이지' 上 지속가능경영보고서</t>
        </is>
      </c>
      <c r="I88" s="18" t="inlineStr">
        <is>
          <t>최근 4개 회계연도</t>
        </is>
      </c>
      <c r="J88" s="18" t="inlineStr">
        <is>
          <t>국내외 사업장 및 기타 연결실체</t>
        </is>
      </c>
      <c r="K88" s="18" t="inlineStr">
        <is>
          <t>원단위 초순수 사용량 = 전체 초순수 사용량 / 원단위 활용 분모(매출액·생산량 등)</t>
        </is>
      </c>
      <c r="L88" s="20" t="inlineStr">
        <is>
          <t>단계형</t>
        </is>
      </c>
      <c r="M88" s="16" t="n">
        <v>3</v>
      </c>
      <c r="N88" s="18" t="inlineStr">
        <is>
          <t>단계형: 1단계=0점 / 2단계=50점 / 3단계=100점</t>
        </is>
      </c>
      <c r="O88" s="17" t="inlineStr">
        <is>
          <t>1단계: 지난 4개년간 원단위 초순수 사용량 증가 추세 | 2단계: 지난 4개년간 원단위 초순수 사용량 변동 없음 | 3단계: 지난 4개년간 원단위 초순수 사용량 감소 추세 (미산정 시 0점)</t>
        </is>
      </c>
      <c r="P88" s="33" t="inlineStr">
        <is>
          <t>GAP(대응지표 없음)</t>
        </is>
      </c>
      <c r="Q88" s="17" t="inlineStr">
        <is>
          <t>KSSB 업종기반지표로 별도 개발 예정</t>
        </is>
      </c>
      <c r="R88" s="17" t="inlineStr">
        <is>
          <t>GRI 303, SASB Semiconductors</t>
        </is>
      </c>
      <c r="S88" s="17" t="inlineStr">
        <is>
          <t>2_업종별 K-ESG 가이드라인(반도체) 진단항목</t>
        </is>
      </c>
      <c r="T88" s="22" t="n"/>
      <c r="U88" s="23" t="n"/>
      <c r="V88" s="23" t="n"/>
      <c r="W88" s="23" t="n"/>
      <c r="X88" s="24">
        <f>IF(T88="","",MAX(1,SUMPRODUCT(('02_점수산정참고표'!$A$2:$A$314=$B88)*('02_점수산정참고표'!$C$2:$C$314=T88)*'02_점수산정참고표'!$E$2:$E$314)))</f>
        <v/>
      </c>
      <c r="Y88" s="18" t="inlineStr">
        <is>
          <t>초순수는 반도체 웨이퍼·마스크 세정에 필수적인 자원으로, 물부족·기후변화에 따른 공급비용 증가 리스크 관리 지표. 연평균성장률(CAGR)로 4개년 추세 판정.</t>
        </is>
      </c>
      <c r="Z88" s="18" t="n"/>
      <c r="AA88" s="25" t="inlineStr">
        <is>
          <t>웨이퍼 세정에 필수적인 초순수(UPW) 원단위 사용량이 감소 추세입니까?</t>
        </is>
      </c>
      <c r="AB88" s="25" t="inlineStr">
        <is>
          <t>단계(1~3)/감점형</t>
        </is>
      </c>
    </row>
    <row r="89" ht="91.5" customHeight="1">
      <c r="A89" s="26" t="n">
        <v>88</v>
      </c>
      <c r="B89" s="28" t="inlineStr">
        <is>
          <t>반도체-E-3</t>
        </is>
      </c>
      <c r="C89" s="28" t="inlineStr">
        <is>
          <t>업종특화(반도체 v1.0)</t>
        </is>
      </c>
      <c r="D89" s="32" t="inlineStr">
        <is>
          <t>환경</t>
        </is>
      </c>
      <c r="E89" s="28" t="inlineStr">
        <is>
          <t>용수</t>
        </is>
      </c>
      <c r="F89" s="28" t="inlineStr">
        <is>
          <t>물 부족 지역에서의 용수 사용량</t>
        </is>
      </c>
      <c r="G89" s="28" t="inlineStr">
        <is>
          <t>조직의 사업장 중 물부족지역(Water-stressed areas)에 노출된 사업장의 원단위 용수 사용량을 점검</t>
        </is>
      </c>
      <c r="H89" s="27" t="inlineStr">
        <is>
          <t>'조직별 홈페이지' 上 지속가능경영보고서</t>
        </is>
      </c>
      <c r="I89" s="28" t="inlineStr">
        <is>
          <t>최근 4개 회계연도</t>
        </is>
      </c>
      <c r="J89" s="28" t="inlineStr">
        <is>
          <t>국내외 사업장 및 기타 연결실체</t>
        </is>
      </c>
      <c r="K89" s="28" t="inlineStr">
        <is>
          <t>물부족지역 사업장 원단위 용수사용량 = 물부족지역 사업장 용수사용량 / 원단위 활용 분모</t>
        </is>
      </c>
      <c r="L89" s="29" t="inlineStr">
        <is>
          <t>단계형</t>
        </is>
      </c>
      <c r="M89" s="26" t="n">
        <v>3</v>
      </c>
      <c r="N89" s="28" t="inlineStr">
        <is>
          <t>단계형: 1단계=0점 / 2단계=50점 / 3단계=100점</t>
        </is>
      </c>
      <c r="O89" s="27" t="inlineStr">
        <is>
          <t>1단계: 지난 4개년간 물부족지역 사업장 원단위 용수사용량 증가 추세 | 2단계: 변동 없음 | 3단계: 감소 추세 (미식별·미측정 시 0점)</t>
        </is>
      </c>
      <c r="P89" s="33" t="inlineStr">
        <is>
          <t>GAP(대응지표 없음)</t>
        </is>
      </c>
      <c r="Q89" s="27" t="inlineStr">
        <is>
          <t>KSSB 업종기반지표로 별도 개발 예정</t>
        </is>
      </c>
      <c r="R89" s="27" t="inlineStr">
        <is>
          <t>CDP Water Security, SASB Semiconductors</t>
        </is>
      </c>
      <c r="S89" s="27" t="inlineStr">
        <is>
          <t>2_업종별 K-ESG 가이드라인(반도체) 진단항목</t>
        </is>
      </c>
      <c r="T89" s="22" t="n"/>
      <c r="U89" s="23" t="n"/>
      <c r="V89" s="23" t="n"/>
      <c r="W89" s="23" t="n"/>
      <c r="X89" s="30">
        <f>IF(T89="","",MAX(1,SUMPRODUCT(('02_점수산정참고표'!$A$2:$A$314=$B89)*('02_점수산정참고표'!$C$2:$C$314=T89)*'02_점수산정참고표'!$E$2:$E$314)))</f>
        <v/>
      </c>
      <c r="Y89" s="28" t="inlineStr">
        <is>
          <t>물부족지역 식별은 세계자원연구소(WRI Aqueduct), 세계자연기금(WWF Water Risk Filter) 등에서 확인 가능.</t>
        </is>
      </c>
      <c r="Z89" s="28" t="n"/>
      <c r="AA89" s="25" t="inlineStr">
        <is>
          <t>수자원 취수 원단위 총 용수 사용량이 감소 추세입니까?</t>
        </is>
      </c>
      <c r="AB89" s="25" t="inlineStr">
        <is>
          <t>단계(1~3)/감점형</t>
        </is>
      </c>
    </row>
    <row r="90" ht="91.5" customHeight="1">
      <c r="A90" s="16" t="n">
        <v>89</v>
      </c>
      <c r="B90" s="18" t="inlineStr">
        <is>
          <t>반도체-E-4</t>
        </is>
      </c>
      <c r="C90" s="18" t="inlineStr">
        <is>
          <t>업종특화(반도체 v1.0)</t>
        </is>
      </c>
      <c r="D90" s="32" t="inlineStr">
        <is>
          <t>환경</t>
        </is>
      </c>
      <c r="E90" s="18" t="inlineStr">
        <is>
          <t>오염물질</t>
        </is>
      </c>
      <c r="F90" s="18" t="inlineStr">
        <is>
          <t>과불화탄소 배출량</t>
        </is>
      </c>
      <c r="G90" s="18" t="inlineStr">
        <is>
          <t>반도체 식각·챔버세정 공정에서 발생하는 과불화탄소(PFCs, GWP 7,000) 배출을 관리하는지 확인</t>
        </is>
      </c>
      <c r="H90" s="17" t="inlineStr">
        <is>
          <t>'조직별 홈페이지' 上 지속가능경영보고서, TCFD 보고서, CDP 보고서 등</t>
        </is>
      </c>
      <c r="I90" s="18" t="inlineStr">
        <is>
          <t>최근 4개 회계연도</t>
        </is>
      </c>
      <c r="J90" s="18" t="inlineStr">
        <is>
          <t>국내외 사업장 및 기타 연결실체</t>
        </is>
      </c>
      <c r="K90" s="18" t="inlineStr">
        <is>
          <t>원단위 대비 PFC 배출량 = 총 PFC 배출량(tCO2eq) / 원단위 활용 분모</t>
        </is>
      </c>
      <c r="L90" s="20" t="inlineStr">
        <is>
          <t>단계형</t>
        </is>
      </c>
      <c r="M90" s="16" t="n">
        <v>3</v>
      </c>
      <c r="N90" s="18" t="inlineStr">
        <is>
          <t>단계형: 1단계=0점 / 2단계=50점 / 3단계=100점</t>
        </is>
      </c>
      <c r="O90" s="17" t="inlineStr">
        <is>
          <t>1단계: 지난 4개년간 원단위 PFC 배출량 증가 추세 | 2단계: 변동 없음 | 3단계: 감소 추세 (미관리 시 0점)</t>
        </is>
      </c>
      <c r="P90" s="33" t="inlineStr">
        <is>
          <t>GAP(대응지표 없음)</t>
        </is>
      </c>
      <c r="Q90" s="17" t="inlineStr">
        <is>
          <t>KSSB 업종기반지표로 별도 개발 예정(GHG Scope1 총량에는 포함)</t>
        </is>
      </c>
      <c r="R90" s="17" t="inlineStr">
        <is>
          <t>SASB Semiconductors</t>
        </is>
      </c>
      <c r="S90" s="17" t="inlineStr">
        <is>
          <t>2_업종별 K-ESG 가이드라인(반도체) 진단항목</t>
        </is>
      </c>
      <c r="T90" s="22" t="n"/>
      <c r="U90" s="23" t="n"/>
      <c r="V90" s="23" t="n"/>
      <c r="W90" s="23" t="n"/>
      <c r="X90" s="24">
        <f>IF(T90="","",MAX(1,SUMPRODUCT(('02_점수산정참고표'!$A$2:$A$314=$B90)*('02_점수산정참고표'!$C$2:$C$314=T90)*'02_점수산정참고표'!$E$2:$E$314)))</f>
        <v/>
      </c>
      <c r="Y90" s="17" t="inlineStr">
        <is>
          <t>EU 불화온실가스 저감 규정(Regulation (EU) No 517/2014), 교토의정서 7대 온실가스에 해당.</t>
        </is>
      </c>
      <c r="Z90" s="18" t="n"/>
      <c r="AA90" s="25" t="inlineStr">
        <is>
          <t>과불화탄소 배출량에 대한 현황을 관리·공시하고 있습니까?</t>
        </is>
      </c>
      <c r="AB90" s="25" t="inlineStr">
        <is>
          <t>단계(1~3)/감점형</t>
        </is>
      </c>
    </row>
    <row r="91" ht="91.5" customHeight="1">
      <c r="A91" s="26" t="n">
        <v>90</v>
      </c>
      <c r="B91" s="28" t="inlineStr">
        <is>
          <t>반도체-E-5</t>
        </is>
      </c>
      <c r="C91" s="28" t="inlineStr">
        <is>
          <t>업종특화(반도체 v1.0)</t>
        </is>
      </c>
      <c r="D91" s="32" t="inlineStr">
        <is>
          <t>환경</t>
        </is>
      </c>
      <c r="E91" s="28" t="inlineStr">
        <is>
          <t>오염물질</t>
        </is>
      </c>
      <c r="F91" s="28" t="inlineStr">
        <is>
          <t>휘발성 유기화합물 배출량</t>
        </is>
      </c>
      <c r="G91" s="28" t="inlineStr">
        <is>
          <t>제품 생산과정에서 발생하는 휘발성유기화합물(VOC) 배출을 관리하는지 확인</t>
        </is>
      </c>
      <c r="H91" s="27" t="inlineStr">
        <is>
          <t>'조직별 홈페이지' 上 지속가능경영보고서, TCFD·CDP 보고서 등</t>
        </is>
      </c>
      <c r="I91" s="28" t="inlineStr">
        <is>
          <t>최근 4개 회계연도</t>
        </is>
      </c>
      <c r="J91" s="28" t="inlineStr">
        <is>
          <t>국내외 사업장 및 기타 연결실체</t>
        </is>
      </c>
      <c r="K91" s="28" t="inlineStr">
        <is>
          <t>원단위 대비 VOC 배출량 = 총 VOC 배출량(Metric ton) / 원단위 활용 분모</t>
        </is>
      </c>
      <c r="L91" s="29" t="inlineStr">
        <is>
          <t>단계형</t>
        </is>
      </c>
      <c r="M91" s="26" t="n">
        <v>3</v>
      </c>
      <c r="N91" s="28" t="inlineStr">
        <is>
          <t>단계형: 1단계=0점 / 2단계=50점 / 3단계=100점</t>
        </is>
      </c>
      <c r="O91" s="27" t="inlineStr">
        <is>
          <t>1단계: 지난 4개년간 원단위 VOC 배출량 증가 추세 | 2단계: 변동 없음 | 3단계: 감소 추세 (미관리 시 0점)</t>
        </is>
      </c>
      <c r="P91" s="33" t="inlineStr">
        <is>
          <t>GAP(대응지표 없음)</t>
        </is>
      </c>
      <c r="Q91" s="27" t="inlineStr">
        <is>
          <t>KSSB 업종기반지표로 별도 개발 예정</t>
        </is>
      </c>
      <c r="R91" s="27" t="inlineStr">
        <is>
          <t>SASB Semiconductors</t>
        </is>
      </c>
      <c r="S91" s="27" t="inlineStr">
        <is>
          <t>2_업종별 K-ESG 가이드라인(반도체) 진단항목</t>
        </is>
      </c>
      <c r="T91" s="22" t="n"/>
      <c r="U91" s="23" t="n"/>
      <c r="V91" s="23" t="n"/>
      <c r="W91" s="23" t="n"/>
      <c r="X91" s="30">
        <f>IF(T91="","",MAX(1,SUMPRODUCT(('02_점수산정참고표'!$A$2:$A$314=$B91)*('02_점수산정참고표'!$C$2:$C$314=T91)*'02_점수산정참고표'!$E$2:$E$314)))</f>
        <v/>
      </c>
      <c r="Y91" s="28" t="inlineStr">
        <is>
          <t>국내 대기환경보전법 휘발성유기화합물 지정고시(37개 물질), 미국 EPA 40 CFR Part 51.100, RBA 행동규범 배출관리 요구사항 참고.</t>
        </is>
      </c>
      <c r="Z91" s="28" t="n"/>
      <c r="AA91" s="25" t="inlineStr">
        <is>
          <t>휘발성 유기화합물 배출량에 대한 현황을 관리·공시하고 있습니까?</t>
        </is>
      </c>
      <c r="AB91" s="25" t="inlineStr">
        <is>
          <t>단계(1~3)/감점형</t>
        </is>
      </c>
    </row>
    <row r="92" ht="91.5" customHeight="1">
      <c r="A92" s="16" t="n">
        <v>91</v>
      </c>
      <c r="B92" s="18" t="inlineStr">
        <is>
          <t>반도체-G-1</t>
        </is>
      </c>
      <c r="C92" s="18" t="inlineStr">
        <is>
          <t>업종특화(반도체 v1.0)</t>
        </is>
      </c>
      <c r="D92" s="37" t="inlineStr">
        <is>
          <t>지배구조</t>
        </is>
      </c>
      <c r="E92" s="18" t="inlineStr">
        <is>
          <t>윤리경영</t>
        </is>
      </c>
      <c r="F92" s="18" t="inlineStr">
        <is>
          <t>반경쟁행위 위반사항 공시</t>
        </is>
      </c>
      <c r="G92" s="18" t="inlineStr">
        <is>
          <t>조직이 반경쟁행위(가격담합·시장지배력남용 등) 관련 법/규제를 준수하는지, 위반시 처벌수위별 감점으로 점검</t>
        </is>
      </c>
      <c r="H92" s="17" t="inlineStr">
        <is>
          <t>'전자공시시스템' 上 사업보고서, '조직별 홈페이지' 上 지속가능경영보고서</t>
        </is>
      </c>
      <c r="I92" s="18" t="inlineStr">
        <is>
          <t>최근 4개 회계연도</t>
        </is>
      </c>
      <c r="J92" s="18" t="inlineStr">
        <is>
          <t>국내외 사업장 및 기타 연결실체</t>
        </is>
      </c>
      <c r="K92" s="17" t="inlineStr">
        <is>
          <t>∑(반경쟁행위 위반 건 × 처벌수위별 감점기준)</t>
        </is>
      </c>
      <c r="L92" s="20" t="inlineStr">
        <is>
          <t>감점형</t>
        </is>
      </c>
      <c r="M92" s="16" t="n">
        <v>3</v>
      </c>
      <c r="N92" s="18" t="inlineStr">
        <is>
          <t>감점형: 유형1=-50점 / 유형2=-30점 / 유형3=-10점 (감점형: 100점 기준 위반유형별 차감, 최저 0점)</t>
        </is>
      </c>
      <c r="O92" s="18" t="inlineStr">
        <is>
          <t>유형1: 확정판결 中 사법상 형벌·벌금·과료 또는 입찰참가자격 제한 | 유형2: 확정판결 中 금전적 행정처분(과태료·과징금·이행강제금) | 유형3: 확정판결 中 비금전적 행정처분(시정명령·시정권고·경고) — 감점 없을 시 100점, 최저점 0점 하한</t>
        </is>
      </c>
      <c r="P92" s="33" t="inlineStr">
        <is>
          <t>GAP(대응지표 없음)</t>
        </is>
      </c>
      <c r="Q92" s="17" t="inlineStr">
        <is>
          <t>KSSB 규정 없음</t>
        </is>
      </c>
      <c r="R92" s="17" t="inlineStr">
        <is>
          <t>SASB Semiconductors, 공정거래법</t>
        </is>
      </c>
      <c r="S92" s="17" t="inlineStr">
        <is>
          <t>2_업종별 K-ESG 가이드라인(반도체) 진단항목</t>
        </is>
      </c>
      <c r="T92" s="34" t="inlineStr">
        <is>
          <t>해당없음(감점형)</t>
        </is>
      </c>
      <c r="U92" s="22" t="n">
        <v>0</v>
      </c>
      <c r="V92" s="22" t="n">
        <v>0</v>
      </c>
      <c r="W92" s="22" t="n">
        <v>0</v>
      </c>
      <c r="X92" s="24">
        <f>MAX(1,100-(N(U92)*50+N(V92)*30+N(W92)*10))</f>
        <v/>
      </c>
      <c r="Y92" s="18" t="inlineStr">
        <is>
          <t>반도체 산업표준 제정 과정의 상호라이선스·특허풀 활용 등으로 가격담합 등 반독점 리스크가 상대적으로 높은 업종 특성 반영.</t>
        </is>
      </c>
      <c r="Z92" s="18" t="n"/>
      <c r="AA92" s="25" t="inlineStr">
        <is>
          <t>반경쟁행위 위반사항 공시를 충실히 이행하고 있습니까?</t>
        </is>
      </c>
      <c r="AB92" s="25" t="inlineStr">
        <is>
          <t>단계(1~3)/감점형</t>
        </is>
      </c>
    </row>
  </sheetData>
  <dataValidations count="4">
    <dataValidation sqref="T2 T4:T8 T13 T24 T26:T27 T29:T32 T34 T38:T42 T44:T51 T55:T57 T59:T61 T63:T64 T67:T68 T71:T73 T76 T78 T83:T85" showDropDown="0" showInputMessage="0" showErrorMessage="1" allowBlank="1" errorTitle="입력 범위 오류" error="1~5 사이의 정수만 입력하세요." type="whole">
      <formula1>1</formula1>
      <formula2>5</formula2>
    </dataValidation>
    <dataValidation sqref="T3 T9:T11 T14:T21 T23 T35:T37 T43 T58 T62 T66 T69 T80 T87:T91" showDropDown="0" showInputMessage="0" showErrorMessage="1" allowBlank="1" errorTitle="입력 범위 오류" error="1~3 사이의 정수만 입력하세요." type="whole">
      <formula1>1</formula1>
      <formula2>3</formula2>
    </dataValidation>
    <dataValidation sqref="U22:W22 U52:W53 U70:W70 U86:W86 U92:W92" showDropDown="0" showInputMessage="0" showErrorMessage="1" allowBlank="1" errorTitle="입력 오류" error="0(해당없음) 또는 1(해당)만 입력하세요." type="whole">
      <formula1>0</formula1>
      <formula2>1</formula2>
    </dataValidation>
    <dataValidation sqref="T79" showDropDown="0" showInputMessage="0" showErrorMessage="1" allowBlank="1" errorTitle="입력 범위 오류" error="1~2 사이의 정수만 입력하세요." type="whole">
      <formula1>1</formula1>
      <formula2>2</formula2>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3.xml><?xml version="1.0" encoding="utf-8"?>
<worksheet xmlns="http://schemas.openxmlformats.org/spreadsheetml/2006/main">
  <sheetPr>
    <tabColor rgb="FFA6A6A6"/>
    <outlinePr summaryBelow="1" summaryRight="1"/>
    <pageSetUpPr/>
  </sheetPr>
  <dimension ref="A1:F314"/>
  <sheetViews>
    <sheetView showGridLines="0" zoomScaleNormal="100" workbookViewId="0">
      <pane ySplit="1" topLeftCell="A267" activePane="bottomLeft" state="frozen"/>
      <selection pane="bottomLeft" activeCell="F4" sqref="F4"/>
    </sheetView>
  </sheetViews>
  <sheetFormatPr baseColWidth="8" defaultColWidth="8.6640625" defaultRowHeight="14.4"/>
  <cols>
    <col width="16" customWidth="1" min="1" max="1"/>
    <col width="28" customWidth="1" min="2" max="2"/>
    <col width="9" customWidth="1" min="3" max="3"/>
    <col width="10" customWidth="1" min="4" max="4"/>
    <col width="8" customWidth="1" min="5" max="5"/>
    <col width="80" customWidth="1" min="6" max="6"/>
  </cols>
  <sheetData>
    <row r="1" ht="21.75" customHeight="1">
      <c r="A1" s="14" t="inlineStr">
        <is>
          <t>분류코드</t>
        </is>
      </c>
      <c r="B1" s="14" t="inlineStr">
        <is>
          <t>진단항목명</t>
        </is>
      </c>
      <c r="C1" s="14" t="inlineStr">
        <is>
          <t>단계번호</t>
        </is>
      </c>
      <c r="D1" s="14" t="inlineStr">
        <is>
          <t>단계라벨</t>
        </is>
      </c>
      <c r="E1" s="14" t="inlineStr">
        <is>
          <t>배점</t>
        </is>
      </c>
      <c r="F1" s="14" t="inlineStr">
        <is>
          <t>단계별 판단기준(K-ESG v2.0 원문)</t>
        </is>
      </c>
    </row>
    <row r="2" ht="15" customHeight="1">
      <c r="A2" s="17" t="inlineStr">
        <is>
          <t>P-1-1</t>
        </is>
      </c>
      <c r="B2" s="17" t="inlineStr">
        <is>
          <t>ESG 정보공시 방식</t>
        </is>
      </c>
      <c r="C2" s="16" t="n">
        <v>1</v>
      </c>
      <c r="D2" s="17" t="inlineStr">
        <is>
          <t>1단계</t>
        </is>
      </c>
      <c r="E2" s="16" t="n">
        <v>0</v>
      </c>
      <c r="F2" s="18" t="inlineStr">
        <is>
          <t>조직이 어떠한 방식으로든 ESG 정보를 공시하지 않는 경우</t>
        </is>
      </c>
    </row>
    <row r="3" ht="29.25" customHeight="1">
      <c r="A3" s="27" t="inlineStr">
        <is>
          <t>P-1-1</t>
        </is>
      </c>
      <c r="B3" s="27" t="inlineStr">
        <is>
          <t>ESG 정보공시 방식</t>
        </is>
      </c>
      <c r="C3" s="26" t="n">
        <v>2</v>
      </c>
      <c r="D3" s="27" t="inlineStr">
        <is>
          <t>2단계</t>
        </is>
      </c>
      <c r="E3" s="26" t="n">
        <v>25</v>
      </c>
      <c r="F3" s="28" t="inlineStr">
        <is>
          <t>조직의 홈페이지, 지속가능경영보고서, 사업보고서, 기타 간행물 등에 ESG 정보를 분산하여 공시하고 있는 경우</t>
        </is>
      </c>
    </row>
    <row r="4" ht="29.25" customHeight="1">
      <c r="A4" s="17" t="inlineStr">
        <is>
          <t>P-1-1</t>
        </is>
      </c>
      <c r="B4" s="17" t="inlineStr">
        <is>
          <t>ESG 정보공시 방식</t>
        </is>
      </c>
      <c r="C4" s="16" t="n">
        <v>3</v>
      </c>
      <c r="D4" s="17" t="inlineStr">
        <is>
          <t>3단계</t>
        </is>
      </c>
      <c r="E4" s="16" t="n">
        <v>50</v>
      </c>
      <c r="F4" s="18" t="inlineStr">
        <is>
          <t>조직의 홈페이지, 지속가능경영보고서, 사업보고서, 기타 간행물 등에 ESG 정보를 통합하여 공시하고 있는 경우</t>
        </is>
      </c>
    </row>
    <row r="5" ht="29.25" customHeight="1">
      <c r="A5" s="27" t="inlineStr">
        <is>
          <t>P-1-1</t>
        </is>
      </c>
      <c r="B5" s="27" t="inlineStr">
        <is>
          <t>ESG 정보공시 방식</t>
        </is>
      </c>
      <c r="C5" s="26" t="n">
        <v>4</v>
      </c>
      <c r="D5" s="27" t="inlineStr">
        <is>
          <t>4단계</t>
        </is>
      </c>
      <c r="E5" s="26" t="n">
        <v>75</v>
      </c>
      <c r="F5" s="27" t="inlineStr">
        <is>
          <t>ESG 정보를 통합한 조직의 홈페이지, 지속가능경영보고서, 사업보고서, 기타 간행물 등을 지정된 장소에 비치하거나, 특정 URL에 담고 있는 경우</t>
        </is>
      </c>
    </row>
    <row r="6" ht="29.25" customHeight="1">
      <c r="A6" s="17" t="inlineStr">
        <is>
          <t>P-1-1</t>
        </is>
      </c>
      <c r="B6" s="17" t="inlineStr">
        <is>
          <t>ESG 정보공시 방식</t>
        </is>
      </c>
      <c r="C6" s="16" t="n">
        <v>5</v>
      </c>
      <c r="D6" s="17" t="inlineStr">
        <is>
          <t>5단계</t>
        </is>
      </c>
      <c r="E6" s="16" t="n">
        <v>100</v>
      </c>
      <c r="F6" s="17" t="inlineStr">
        <is>
          <t>ESG 정보를 통합한 조직의 홈페이지, 지속가능경영보고서, 사업보고서, 기타 간행물 등의 발행여부를 ‘전자공시시스템-자율공시’ 사항으로 알리는 경우</t>
        </is>
      </c>
    </row>
    <row r="7" ht="15" customHeight="1">
      <c r="A7" s="27" t="inlineStr">
        <is>
          <t>P-1-2</t>
        </is>
      </c>
      <c r="B7" s="27" t="inlineStr">
        <is>
          <t>ESG 정보공시 주기</t>
        </is>
      </c>
      <c r="C7" s="26" t="n">
        <v>1</v>
      </c>
      <c r="D7" s="27" t="inlineStr">
        <is>
          <t>1단계</t>
        </is>
      </c>
      <c r="E7" s="26" t="n">
        <v>0</v>
      </c>
      <c r="F7" s="27" t="inlineStr">
        <is>
          <t>ESG 정보공시 주기를 특정할 수 없거나, 명시하고 있지 않는 경우</t>
        </is>
      </c>
    </row>
    <row r="8" ht="15" customHeight="1">
      <c r="A8" s="17" t="inlineStr">
        <is>
          <t>P-1-2</t>
        </is>
      </c>
      <c r="B8" s="17" t="inlineStr">
        <is>
          <t>ESG 정보공시 주기</t>
        </is>
      </c>
      <c r="C8" s="16" t="n">
        <v>2</v>
      </c>
      <c r="D8" s="17" t="inlineStr">
        <is>
          <t>2단계</t>
        </is>
      </c>
      <c r="E8" s="16" t="n">
        <v>50</v>
      </c>
      <c r="F8" s="17" t="inlineStr">
        <is>
          <t>2년 단위로 보고서 발간 및 ESG 정보를 공시하는 경우</t>
        </is>
      </c>
    </row>
    <row r="9" ht="15" customHeight="1">
      <c r="A9" s="27" t="inlineStr">
        <is>
          <t>P-1-2</t>
        </is>
      </c>
      <c r="B9" s="27" t="inlineStr">
        <is>
          <t>ESG 정보공시 주기</t>
        </is>
      </c>
      <c r="C9" s="26" t="n">
        <v>3</v>
      </c>
      <c r="D9" s="27" t="inlineStr">
        <is>
          <t>3단계</t>
        </is>
      </c>
      <c r="E9" s="26" t="n">
        <v>100</v>
      </c>
      <c r="F9" s="27" t="inlineStr">
        <is>
          <t>1년 단위로 보고서 발간 및 ESG 정보를 공시하는 경우</t>
        </is>
      </c>
    </row>
    <row r="10" ht="15" customHeight="1">
      <c r="A10" s="17" t="inlineStr">
        <is>
          <t>P-1-3</t>
        </is>
      </c>
      <c r="B10" s="17" t="inlineStr">
        <is>
          <t>ESG 정보공시 범위</t>
        </is>
      </c>
      <c r="C10" s="16" t="n">
        <v>1</v>
      </c>
      <c r="D10" s="17" t="inlineStr">
        <is>
          <t>1단계</t>
        </is>
      </c>
      <c r="E10" s="16" t="n">
        <v>0</v>
      </c>
      <c r="F10" s="17" t="inlineStr">
        <is>
          <t>ESG 정보공시 범위를 특정할 수 없거나, 명시하고 있지 않는 경우</t>
        </is>
      </c>
    </row>
    <row r="11" ht="29.25" customHeight="1">
      <c r="A11" s="27" t="inlineStr">
        <is>
          <t>P-1-3</t>
        </is>
      </c>
      <c r="B11" s="27" t="inlineStr">
        <is>
          <t>ESG 정보공시 범위</t>
        </is>
      </c>
      <c r="C11" s="26" t="n">
        <v>2</v>
      </c>
      <c r="D11" s="27" t="inlineStr">
        <is>
          <t>2단계</t>
        </is>
      </c>
      <c r="E11" s="26" t="n">
        <v>25</v>
      </c>
      <c r="F11" s="28" t="inlineStr">
        <is>
          <t>조직이 법적으로 직접 소유하고 있는 사업장(ex. 별도재무제표 기준)의 일부 또는 모든 ESG 정보를 공시하고 있는 경우</t>
        </is>
      </c>
    </row>
    <row r="12" ht="29.25" customHeight="1">
      <c r="A12" s="17" t="inlineStr">
        <is>
          <t>P-1-3</t>
        </is>
      </c>
      <c r="B12" s="17" t="inlineStr">
        <is>
          <t>ESG 정보공시 범위</t>
        </is>
      </c>
      <c r="C12" s="16" t="n">
        <v>3</v>
      </c>
      <c r="D12" s="17" t="inlineStr">
        <is>
          <t>3단계</t>
        </is>
      </c>
      <c r="E12" s="16" t="n">
        <v>50</v>
      </c>
      <c r="F12" s="18" t="inlineStr">
        <is>
          <t>조직의 영향력과 통제력 범위에 있는 곳(자회사, 종속법인, 연결실체 등)의 일부 ESG 정보를 공시하고 있는 경우</t>
        </is>
      </c>
    </row>
    <row r="13" ht="29.25" customHeight="1">
      <c r="A13" s="27" t="inlineStr">
        <is>
          <t>P-1-3</t>
        </is>
      </c>
      <c r="B13" s="27" t="inlineStr">
        <is>
          <t>ESG 정보공시 범위</t>
        </is>
      </c>
      <c r="C13" s="26" t="n">
        <v>4</v>
      </c>
      <c r="D13" s="27" t="inlineStr">
        <is>
          <t>4단계</t>
        </is>
      </c>
      <c r="E13" s="26" t="n">
        <v>75</v>
      </c>
      <c r="F13" s="28" t="inlineStr">
        <is>
          <t>조직의 영향력과 통제력 범위에 있는 곳(자회사, 종속법인, 연결실체 등)의 일부 ESG 정보를 공시하고 있는 경우. 단, 조직의 영향력과 통제력 범위로 ESG 정보공시 범위를 확대한다는 계획을 제시하고 있는 경우</t>
        </is>
      </c>
    </row>
    <row r="14" ht="29.25" customHeight="1">
      <c r="A14" s="17" t="inlineStr">
        <is>
          <t>P-1-3</t>
        </is>
      </c>
      <c r="B14" s="17" t="inlineStr">
        <is>
          <t>ESG 정보공시 범위</t>
        </is>
      </c>
      <c r="C14" s="16" t="n">
        <v>5</v>
      </c>
      <c r="D14" s="17" t="inlineStr">
        <is>
          <t>5단계</t>
        </is>
      </c>
      <c r="E14" s="16" t="n">
        <v>100</v>
      </c>
      <c r="F14" s="18" t="inlineStr">
        <is>
          <t>조직의 영향력과 통제력 범위에 있는 곳(자회사, 종속법인, 연결실체 등)의 모든 ESG 정보를 공시하고 있는 경우</t>
        </is>
      </c>
    </row>
    <row r="15" ht="15" customHeight="1">
      <c r="A15" s="27" t="inlineStr">
        <is>
          <t>P-2-1</t>
        </is>
      </c>
      <c r="B15" s="27" t="inlineStr">
        <is>
          <t>ESG 핵심이슈 및 KPI</t>
        </is>
      </c>
      <c r="C15" s="26" t="n">
        <v>1</v>
      </c>
      <c r="D15" s="27" t="inlineStr">
        <is>
          <t>1단계</t>
        </is>
      </c>
      <c r="E15" s="26" t="n">
        <v>0</v>
      </c>
      <c r="F15" s="28" t="inlineStr">
        <is>
          <t>중대성 평가 결과 또는 ESG 핵심이슈를 공시하고 있지 않은 경우</t>
        </is>
      </c>
    </row>
    <row r="16" ht="15" customHeight="1">
      <c r="A16" s="17" t="inlineStr">
        <is>
          <t>P-2-1</t>
        </is>
      </c>
      <c r="B16" s="17" t="inlineStr">
        <is>
          <t>ESG 핵심이슈 및 KPI</t>
        </is>
      </c>
      <c r="C16" s="16" t="n">
        <v>2</v>
      </c>
      <c r="D16" s="17" t="inlineStr">
        <is>
          <t>2단계</t>
        </is>
      </c>
      <c r="E16" s="16" t="n">
        <v>25</v>
      </c>
      <c r="F16" s="18" t="inlineStr">
        <is>
          <t>중대성 평가 결과와 핵심이슈를 명확히 정의하고 있는 경우</t>
        </is>
      </c>
    </row>
    <row r="17" ht="29.25" customHeight="1">
      <c r="A17" s="27" t="inlineStr">
        <is>
          <t>P-2-1</t>
        </is>
      </c>
      <c r="B17" s="27" t="inlineStr">
        <is>
          <t>ESG 핵심이슈 및 KPI</t>
        </is>
      </c>
      <c r="C17" s="26" t="n">
        <v>3</v>
      </c>
      <c r="D17" s="27" t="inlineStr">
        <is>
          <t>3단계</t>
        </is>
      </c>
      <c r="E17" s="26" t="n">
        <v>50</v>
      </c>
      <c r="F17" s="27" t="inlineStr">
        <is>
          <t>2단계 + 핵심이슈에 대해 조직이 관리하고 있는 성과지표를 설명하고 있는 경우 (예를 들어, 기후변화가 핵심이슈일 경우, 온실가스 배출량 데이터 제시)</t>
        </is>
      </c>
    </row>
    <row r="18" ht="29.25" customHeight="1">
      <c r="A18" s="17" t="inlineStr">
        <is>
          <t>P-2-1</t>
        </is>
      </c>
      <c r="B18" s="17" t="inlineStr">
        <is>
          <t>ESG 핵심이슈 및 KPI</t>
        </is>
      </c>
      <c r="C18" s="16" t="n">
        <v>4</v>
      </c>
      <c r="D18" s="17" t="inlineStr">
        <is>
          <t>4단계</t>
        </is>
      </c>
      <c r="E18" s="16" t="n">
        <v>75</v>
      </c>
      <c r="F18" s="17" t="inlineStr">
        <is>
          <t>3단계 + 핵심이슈가 사업적/사회적 관점에서 중요한 사유를 설명하고 있는 경우 (예를 들어, 사업적/사회적 관점의 기회 요인과 리스크 요인 등)</t>
        </is>
      </c>
    </row>
    <row r="19" ht="29.25" customHeight="1">
      <c r="A19" s="27" t="inlineStr">
        <is>
          <t>P-2-1</t>
        </is>
      </c>
      <c r="B19" s="27" t="inlineStr">
        <is>
          <t>ESG 핵심이슈 및 KPI</t>
        </is>
      </c>
      <c r="C19" s="26" t="n">
        <v>5</v>
      </c>
      <c r="D19" s="27" t="inlineStr">
        <is>
          <t>5단계</t>
        </is>
      </c>
      <c r="E19" s="26" t="n">
        <v>100</v>
      </c>
      <c r="F19" s="27" t="inlineStr">
        <is>
          <t>4단계 + 핵심이슈를 관리하기 위한 시스템 및 절차를 설명하고 있는 경우 (조직, 전략 및 계획, 고충처리체계, 활동 및 교육 등)</t>
        </is>
      </c>
    </row>
    <row r="20" ht="29.25" customHeight="1">
      <c r="A20" s="17" t="inlineStr">
        <is>
          <t>P-3-1</t>
        </is>
      </c>
      <c r="B20" s="17" t="inlineStr">
        <is>
          <t>ESG 정보공시 검증</t>
        </is>
      </c>
      <c r="C20" s="16" t="n">
        <v>1</v>
      </c>
      <c r="D20" s="18" t="inlineStr">
        <is>
          <t>요건1</t>
        </is>
      </c>
      <c r="E20" s="16" t="n">
        <v>0</v>
      </c>
      <c r="F20" s="18" t="inlineStr">
        <is>
          <t>검증의견서에 검증기관(또는 검증인)이 명시되어 있는 경우 (또는, 검증기관이 License Number를 보유하고 있는 경우)</t>
        </is>
      </c>
    </row>
    <row r="21" ht="29.25" customHeight="1">
      <c r="A21" s="27" t="inlineStr">
        <is>
          <t>P-3-1</t>
        </is>
      </c>
      <c r="B21" s="27" t="inlineStr">
        <is>
          <t>ESG 정보공시 검증</t>
        </is>
      </c>
      <c r="C21" s="26" t="n">
        <v>2</v>
      </c>
      <c r="D21" s="28" t="inlineStr">
        <is>
          <t>요건2</t>
        </is>
      </c>
      <c r="E21" s="26" t="n">
        <v>25</v>
      </c>
      <c r="F21" s="28" t="inlineStr">
        <is>
          <t>검증의견서에 검증기관과의 독립성 성명이 포함되어 있는 경우 (즉, 검증기관과 검증받는 조직간 이해관계 상충이 없음을 선언한 경우)</t>
        </is>
      </c>
    </row>
    <row r="22" ht="29.25" customHeight="1">
      <c r="A22" s="17" t="inlineStr">
        <is>
          <t>P-3-1</t>
        </is>
      </c>
      <c r="B22" s="17" t="inlineStr">
        <is>
          <t>ESG 정보공시 검증</t>
        </is>
      </c>
      <c r="C22" s="16" t="n">
        <v>3</v>
      </c>
      <c r="D22" s="18" t="inlineStr">
        <is>
          <t>요건3</t>
        </is>
      </c>
      <c r="E22" s="16" t="n">
        <v>50</v>
      </c>
      <c r="F22" s="18" t="inlineStr">
        <is>
          <t>검증의견서에 검증표준(방법론)이 제시되어 있는 경우 (AA1000AS, ISAE3000, 또는 제3자 검증기관이 개발한 자체 검증표준 등)</t>
        </is>
      </c>
    </row>
    <row r="23" ht="15" customHeight="1">
      <c r="A23" s="27" t="inlineStr">
        <is>
          <t>P-3-1</t>
        </is>
      </c>
      <c r="B23" s="27" t="inlineStr">
        <is>
          <t>ESG 정보공시 검증</t>
        </is>
      </c>
      <c r="C23" s="26" t="n">
        <v>4</v>
      </c>
      <c r="D23" s="28" t="inlineStr">
        <is>
          <t>요건4</t>
        </is>
      </c>
      <c r="E23" s="26" t="n">
        <v>75</v>
      </c>
      <c r="F23" s="28" t="inlineStr">
        <is>
          <t>검증의견서에 ESG 정보 검증수준을 공개하고 있는 경우 (Type1/Type2, Moderate/High, 제한적/합리적 등)</t>
        </is>
      </c>
    </row>
    <row r="24" ht="29.25" customHeight="1">
      <c r="A24" s="17" t="inlineStr">
        <is>
          <t>P-3-1</t>
        </is>
      </c>
      <c r="B24" s="17" t="inlineStr">
        <is>
          <t>ESG 정보공시 검증</t>
        </is>
      </c>
      <c r="C24" s="16" t="n">
        <v>5</v>
      </c>
      <c r="D24" s="18" t="inlineStr">
        <is>
          <t>요건5</t>
        </is>
      </c>
      <c r="E24" s="16" t="n">
        <v>100</v>
      </c>
      <c r="F24" s="18" t="inlineStr">
        <is>
          <t>검증의견서에 제3자 검증기관이 검증한 정보공시 지표가 적시되어 있는 경우 (즉, 조직의 모든 ESG 정보 중 어떠한 정보를 검증하였는지 명시하는 경우)</t>
        </is>
      </c>
    </row>
    <row r="25" ht="15" customHeight="1">
      <c r="A25" s="27" t="inlineStr">
        <is>
          <t>E-1-1</t>
        </is>
      </c>
      <c r="B25" s="28" t="inlineStr">
        <is>
          <t>환경경영 목표 수립</t>
        </is>
      </c>
      <c r="C25" s="26" t="n">
        <v>1</v>
      </c>
      <c r="D25" s="27" t="inlineStr">
        <is>
          <t>1단계</t>
        </is>
      </c>
      <c r="E25" s="26" t="n">
        <v>0</v>
      </c>
      <c r="F25" s="28" t="inlineStr">
        <is>
          <t>단기/중장기 성과목표, 또는 조직의 환경경영 방향성을 나타내는 환경경영 미션/비전/지향점이 없는 경우</t>
        </is>
      </c>
    </row>
    <row r="26" ht="15" customHeight="1">
      <c r="A26" s="17" t="inlineStr">
        <is>
          <t>E-1-1</t>
        </is>
      </c>
      <c r="B26" s="18" t="inlineStr">
        <is>
          <t>환경경영 목표 수립</t>
        </is>
      </c>
      <c r="C26" s="16" t="n">
        <v>2</v>
      </c>
      <c r="D26" s="17" t="inlineStr">
        <is>
          <t>2단계</t>
        </is>
      </c>
      <c r="E26" s="16" t="n">
        <v>25</v>
      </c>
      <c r="F26" s="18" t="inlineStr">
        <is>
          <t>환경경영 미션/비전/지향점만 제시하고 있는 경우</t>
        </is>
      </c>
    </row>
    <row r="27" ht="15" customHeight="1">
      <c r="A27" s="27" t="inlineStr">
        <is>
          <t>E-1-1</t>
        </is>
      </c>
      <c r="B27" s="28" t="inlineStr">
        <is>
          <t>환경경영 목표 수립</t>
        </is>
      </c>
      <c r="C27" s="26" t="n">
        <v>3</v>
      </c>
      <c r="D27" s="27" t="inlineStr">
        <is>
          <t>3단계</t>
        </is>
      </c>
      <c r="E27" s="26" t="n">
        <v>50</v>
      </c>
      <c r="F27" s="27" t="inlineStr">
        <is>
          <t>2단계 + 조직의 환경 분야 핵심이슈에 대한 단기 목표만 설정하고 있는 경우</t>
        </is>
      </c>
    </row>
    <row r="28" ht="15" customHeight="1">
      <c r="A28" s="17" t="inlineStr">
        <is>
          <t>E-1-1</t>
        </is>
      </c>
      <c r="B28" s="18" t="inlineStr">
        <is>
          <t>환경경영 목표 수립</t>
        </is>
      </c>
      <c r="C28" s="16" t="n">
        <v>4</v>
      </c>
      <c r="D28" s="17" t="inlineStr">
        <is>
          <t>4단계</t>
        </is>
      </c>
      <c r="E28" s="16" t="n">
        <v>75</v>
      </c>
      <c r="F28" s="17" t="inlineStr">
        <is>
          <t>3단계 + 중장기 목표까지 수립하고 있는 경우</t>
        </is>
      </c>
    </row>
    <row r="29" ht="15" customHeight="1">
      <c r="A29" s="27" t="inlineStr">
        <is>
          <t>E-1-1</t>
        </is>
      </c>
      <c r="B29" s="28" t="inlineStr">
        <is>
          <t>환경경영 목표 수립</t>
        </is>
      </c>
      <c r="C29" s="26" t="n">
        <v>5</v>
      </c>
      <c r="D29" s="27" t="inlineStr">
        <is>
          <t>5단계</t>
        </is>
      </c>
      <c r="E29" s="26" t="n">
        <v>100</v>
      </c>
      <c r="F29" s="27" t="inlineStr">
        <is>
          <t>4단계 + 중장기 목표 달성을 위한 과제와, 이행점검 지표를 마련한 경우</t>
        </is>
      </c>
    </row>
    <row r="30" ht="29.25" customHeight="1">
      <c r="A30" s="17" t="inlineStr">
        <is>
          <t>E-1-2</t>
        </is>
      </c>
      <c r="B30" s="18" t="inlineStr">
        <is>
          <t>환경경영 추진체계</t>
        </is>
      </c>
      <c r="C30" s="16" t="n">
        <v>1</v>
      </c>
      <c r="D30" s="18" t="inlineStr">
        <is>
          <t>요건1</t>
        </is>
      </c>
      <c r="E30" s="16" t="n">
        <v>0</v>
      </c>
      <c r="F30" s="18" t="inlineStr">
        <is>
          <t>환경경영 추진을 위한 전사 거버넌스 체계를 구축하고 있는 경우 (전담조직, 실무협의회, 경영회의 및 내부점검체계 등)</t>
        </is>
      </c>
    </row>
    <row r="31" ht="29.25" customHeight="1">
      <c r="A31" s="27" t="inlineStr">
        <is>
          <t>E-1-2</t>
        </is>
      </c>
      <c r="B31" s="28" t="inlineStr">
        <is>
          <t>환경경영 추진체계</t>
        </is>
      </c>
      <c r="C31" s="26" t="n">
        <v>2</v>
      </c>
      <c r="D31" s="28" t="inlineStr">
        <is>
          <t>요건2</t>
        </is>
      </c>
      <c r="E31" s="26" t="n">
        <v>25</v>
      </c>
      <c r="F31" s="28" t="inlineStr">
        <is>
          <t>환경경영 추진을 위한 전사 전담조직을 운영하고 있는 경우 (전사 환경경영 기획, 점검, 성과관리 등 실행업무 담당)</t>
        </is>
      </c>
    </row>
    <row r="32" ht="15" customHeight="1">
      <c r="A32" s="17" t="inlineStr">
        <is>
          <t>E-1-2</t>
        </is>
      </c>
      <c r="B32" s="18" t="inlineStr">
        <is>
          <t>환경경영 추진체계</t>
        </is>
      </c>
      <c r="C32" s="16" t="n">
        <v>3</v>
      </c>
      <c r="D32" s="18" t="inlineStr">
        <is>
          <t>요건3</t>
        </is>
      </c>
      <c r="E32" s="16" t="n">
        <v>50</v>
      </c>
      <c r="F32" s="18" t="inlineStr">
        <is>
          <t>환경경영 과제 실행에 필요한 자원을 투입하고 있는 경우 (환경투자 예산, 역량강화 교육, 내외부 전문인력 등)</t>
        </is>
      </c>
    </row>
    <row r="33" ht="29.25" customHeight="1">
      <c r="A33" s="27" t="inlineStr">
        <is>
          <t>E-1-2</t>
        </is>
      </c>
      <c r="B33" s="28" t="inlineStr">
        <is>
          <t>환경경영 추진체계</t>
        </is>
      </c>
      <c r="C33" s="26" t="n">
        <v>4</v>
      </c>
      <c r="D33" s="28" t="inlineStr">
        <is>
          <t>요건4</t>
        </is>
      </c>
      <c r="E33" s="26" t="n">
        <v>75</v>
      </c>
      <c r="F33" s="28" t="inlineStr">
        <is>
          <t>환경경영 추진 현황을 점검/분석/평가하는 시스템이 있는 경우 (IT기반 모니터링 시스템, 과제점검 회의, 제3자 의견수렴 등)</t>
        </is>
      </c>
    </row>
    <row r="34" ht="29.25" customHeight="1">
      <c r="A34" s="17" t="inlineStr">
        <is>
          <t>E-1-2</t>
        </is>
      </c>
      <c r="B34" s="18" t="inlineStr">
        <is>
          <t>환경경영 추진체계</t>
        </is>
      </c>
      <c r="C34" s="16" t="n">
        <v>5</v>
      </c>
      <c r="D34" s="18" t="inlineStr">
        <is>
          <t>요건5</t>
        </is>
      </c>
      <c r="E34" s="16" t="n">
        <v>100</v>
      </c>
      <c r="F34" s="18" t="inlineStr">
        <is>
          <t>환경경영 과제 이행현황이 경영진 포함 관련 구성원의 성과평가지표(KPIs)에 반영되어 있는 경우 * 선택 항목의 합산값으로 평가</t>
        </is>
      </c>
    </row>
    <row r="35" ht="15" customHeight="1">
      <c r="A35" s="27" t="inlineStr">
        <is>
          <t>E-2-1</t>
        </is>
      </c>
      <c r="B35" s="28" t="inlineStr">
        <is>
          <t>원부자재 사용량</t>
        </is>
      </c>
      <c r="C35" s="26" t="n">
        <v>1</v>
      </c>
      <c r="D35" s="27" t="inlineStr">
        <is>
          <t>1단계</t>
        </is>
      </c>
      <c r="E35" s="26" t="n">
        <v>0</v>
      </c>
      <c r="F35" s="28" t="inlineStr">
        <is>
          <t>지난 4개년 원단위 원부자재 사용량 증가 추세</t>
        </is>
      </c>
    </row>
    <row r="36" ht="15" customHeight="1">
      <c r="A36" s="17" t="inlineStr">
        <is>
          <t>E-2-1</t>
        </is>
      </c>
      <c r="B36" s="18" t="inlineStr">
        <is>
          <t>원부자재 사용량</t>
        </is>
      </c>
      <c r="C36" s="16" t="n">
        <v>2</v>
      </c>
      <c r="D36" s="17" t="inlineStr">
        <is>
          <t>2단계</t>
        </is>
      </c>
      <c r="E36" s="16" t="n">
        <v>50</v>
      </c>
      <c r="F36" s="18" t="inlineStr">
        <is>
          <t>지난 4개년 원단위 원부자재 사용량 변동 없음</t>
        </is>
      </c>
    </row>
    <row r="37" ht="29.25" customHeight="1">
      <c r="A37" s="27" t="inlineStr">
        <is>
          <t>E-2-1</t>
        </is>
      </c>
      <c r="B37" s="28" t="inlineStr">
        <is>
          <t>원부자재 사용량</t>
        </is>
      </c>
      <c r="C37" s="26" t="n">
        <v>3</v>
      </c>
      <c r="D37" s="27" t="inlineStr">
        <is>
          <t>3단계</t>
        </is>
      </c>
      <c r="E37" s="26" t="n">
        <v>100</v>
      </c>
      <c r="F37" s="28" t="inlineStr">
        <is>
          <t>지난 4개년 원단위 원부자재 사용량 감소 추세 * 원단위 원부자재 사용량을 관리하지 않는 경우 0점 적용 * 3개년 이하 데이터 보유 시 해당 데이터로 추세 산정 * '유지 추세'로 판단할 경우 2단계로 적용하여 평가</t>
        </is>
      </c>
    </row>
    <row r="38" ht="15" customHeight="1">
      <c r="A38" s="17" t="inlineStr">
        <is>
          <t>E-2-2</t>
        </is>
      </c>
      <c r="B38" s="18" t="inlineStr">
        <is>
          <t>재생 원부자재 비율</t>
        </is>
      </c>
      <c r="C38" s="16" t="n">
        <v>1</v>
      </c>
      <c r="D38" s="17" t="inlineStr">
        <is>
          <t>1단계</t>
        </is>
      </c>
      <c r="E38" s="16" t="n">
        <v>0</v>
      </c>
      <c r="F38" s="18" t="inlineStr">
        <is>
          <t>지난 4개년 재생 원부자재 사용 비율 감소 추세</t>
        </is>
      </c>
    </row>
    <row r="39" ht="15" customHeight="1">
      <c r="A39" s="27" t="inlineStr">
        <is>
          <t>E-2-2</t>
        </is>
      </c>
      <c r="B39" s="28" t="inlineStr">
        <is>
          <t>재생 원부자재 비율</t>
        </is>
      </c>
      <c r="C39" s="26" t="n">
        <v>2</v>
      </c>
      <c r="D39" s="27" t="inlineStr">
        <is>
          <t>2단계</t>
        </is>
      </c>
      <c r="E39" s="26" t="n">
        <v>50</v>
      </c>
      <c r="F39" s="28" t="inlineStr">
        <is>
          <t>지난 4개년 재생 원부자재 사용 비율 변동 없음</t>
        </is>
      </c>
    </row>
    <row r="40" ht="43.5" customHeight="1">
      <c r="A40" s="17" t="inlineStr">
        <is>
          <t>E-2-2</t>
        </is>
      </c>
      <c r="B40" s="18" t="inlineStr">
        <is>
          <t>재생 원부자재 비율</t>
        </is>
      </c>
      <c r="C40" s="16" t="n">
        <v>3</v>
      </c>
      <c r="D40" s="17" t="inlineStr">
        <is>
          <t>3단계</t>
        </is>
      </c>
      <c r="E40" s="16" t="n">
        <v>100</v>
      </c>
      <c r="F40" s="18" t="inlineStr">
        <is>
          <t>지난 4개년 재생 원부자재 사용 비율 증가 추세 * 재생 원부자재를 사용하지 않는 경우 0점 적용 * 국내 및 해외 모든 사업장에서 재생 원부자재를 100% 사용하는 경우 100점 적용 * 3개년 이하 데이터 보유 시 해당 데이터로 추세 산정 * '유지 추세'로 판단할 경우 2단계로 적용하여 평가</t>
        </is>
      </c>
    </row>
    <row r="41" ht="26.25" customHeight="1">
      <c r="A41" s="27" t="inlineStr">
        <is>
          <t>E-3-1</t>
        </is>
      </c>
      <c r="B41" s="28" t="inlineStr">
        <is>
          <t>온실가스 배출량 (Scope1 &amp; Scope2)</t>
        </is>
      </c>
      <c r="C41" s="26" t="n">
        <v>1</v>
      </c>
      <c r="D41" s="27" t="inlineStr">
        <is>
          <t>1단계</t>
        </is>
      </c>
      <c r="E41" s="26" t="n">
        <v>0</v>
      </c>
      <c r="F41" s="28" t="inlineStr">
        <is>
          <t>지난 4개년 원단위 온실가스 배출량 증가 추세</t>
        </is>
      </c>
    </row>
    <row r="42" ht="26.25" customHeight="1">
      <c r="A42" s="17" t="inlineStr">
        <is>
          <t>E-3-1</t>
        </is>
      </c>
      <c r="B42" s="18" t="inlineStr">
        <is>
          <t>온실가스 배출량 (Scope1 &amp; Scope2)</t>
        </is>
      </c>
      <c r="C42" s="16" t="n">
        <v>2</v>
      </c>
      <c r="D42" s="17" t="inlineStr">
        <is>
          <t>2단계</t>
        </is>
      </c>
      <c r="E42" s="16" t="n">
        <v>50</v>
      </c>
      <c r="F42" s="18" t="inlineStr">
        <is>
          <t>지난 4개년 원단위 온실가스 배출량 변동 없음</t>
        </is>
      </c>
    </row>
    <row r="43" ht="43.5" customHeight="1">
      <c r="A43" s="27" t="inlineStr">
        <is>
          <t>E-3-1</t>
        </is>
      </c>
      <c r="B43" s="28" t="inlineStr">
        <is>
          <t>온실가스 배출량 (Scope1 &amp; Scope2)</t>
        </is>
      </c>
      <c r="C43" s="26" t="n">
        <v>3</v>
      </c>
      <c r="D43" s="27" t="inlineStr">
        <is>
          <t>3단계</t>
        </is>
      </c>
      <c r="E43" s="26" t="n">
        <v>100</v>
      </c>
      <c r="F43" s="28" t="inlineStr">
        <is>
          <t>지난 4개년 원단위 온실가스 배출량 감소 추세 * 원단위 온실가스 배출량을 관리하고 있지 않은 경우 0점 적용 * 국내 및 해외 모든 사업장이 ‘탄소중립’ 또는 ‘탄소제로’를 달성한 경우 100점 적용 * 3개년 이하 데이터 보유 시 해당 데이터로 추세 산정 * '유지 추세'로 판단할 경우 2단계로 적용하여 평가</t>
        </is>
      </c>
    </row>
    <row r="44" ht="29.25" customHeight="1">
      <c r="A44" s="17" t="inlineStr">
        <is>
          <t>E-3-3</t>
        </is>
      </c>
      <c r="B44" s="18" t="inlineStr">
        <is>
          <t>온실가스 배출량 검증</t>
        </is>
      </c>
      <c r="C44" s="16" t="n">
        <v>1</v>
      </c>
      <c r="D44" s="18" t="inlineStr">
        <is>
          <t>요건1</t>
        </is>
      </c>
      <c r="E44" s="16" t="n">
        <v>0</v>
      </c>
      <c r="F44" s="18" t="inlineStr">
        <is>
          <t>검증의견서에 검증기관(또는 검증인)이 명시되어 있는 경우 (또는, 검증기관이 License Number를 갖추고 있는 경우)</t>
        </is>
      </c>
    </row>
    <row r="45" ht="29.25" customHeight="1">
      <c r="A45" s="27" t="inlineStr">
        <is>
          <t>E-3-3</t>
        </is>
      </c>
      <c r="B45" s="28" t="inlineStr">
        <is>
          <t>온실가스 배출량 검증</t>
        </is>
      </c>
      <c r="C45" s="26" t="n">
        <v>2</v>
      </c>
      <c r="D45" s="28" t="inlineStr">
        <is>
          <t>요건2</t>
        </is>
      </c>
      <c r="E45" s="26" t="n">
        <v>25</v>
      </c>
      <c r="F45" s="28" t="inlineStr">
        <is>
          <t>검증의견서에 검증표준(방법론)이 제시되어 있는 경우 (온실가스 배출권거래제의 배출량 보고 및 인증에 관한 지침, GHG Protocol, ISO14064-1 등)</t>
        </is>
      </c>
    </row>
    <row r="46" ht="15" customHeight="1">
      <c r="A46" s="17" t="inlineStr">
        <is>
          <t>E-3-3</t>
        </is>
      </c>
      <c r="B46" s="18" t="inlineStr">
        <is>
          <t>온실가스 배출량 검증</t>
        </is>
      </c>
      <c r="C46" s="16" t="n">
        <v>3</v>
      </c>
      <c r="D46" s="18" t="inlineStr">
        <is>
          <t>요건3</t>
        </is>
      </c>
      <c r="E46" s="16" t="n">
        <v>50</v>
      </c>
      <c r="F46" s="18" t="inlineStr">
        <is>
          <t>검증의견서에 ESG 정보 검증수준을 공개하고 있는 경우 (전체/일부 데이터 검증, 제한적/합리적 보증 등)</t>
        </is>
      </c>
    </row>
    <row r="47" ht="29.25" customHeight="1">
      <c r="A47" s="27" t="inlineStr">
        <is>
          <t>E-3-3</t>
        </is>
      </c>
      <c r="B47" s="28" t="inlineStr">
        <is>
          <t>온실가스 배출량 검증</t>
        </is>
      </c>
      <c r="C47" s="26" t="n">
        <v>4</v>
      </c>
      <c r="D47" s="28" t="inlineStr">
        <is>
          <t>요건4</t>
        </is>
      </c>
      <c r="E47" s="26" t="n">
        <v>75</v>
      </c>
      <c r="F47" s="28" t="inlineStr">
        <is>
          <t>제3자 검증기관이 검증한 온실가스 배출량 검증 범위가 적시되어 있는 경우 (즉, 조직의 사업장 중 온실가스 배출량을 검증받은 사업장 및 지역 등)</t>
        </is>
      </c>
    </row>
    <row r="48" ht="29.25" customHeight="1">
      <c r="A48" s="17" t="inlineStr">
        <is>
          <t>E-3-3</t>
        </is>
      </c>
      <c r="B48" s="18" t="inlineStr">
        <is>
          <t>온실가스 배출량 검증</t>
        </is>
      </c>
      <c r="C48" s="16" t="n">
        <v>5</v>
      </c>
      <c r="D48" s="18" t="inlineStr">
        <is>
          <t>요건5</t>
        </is>
      </c>
      <c r="E48" s="16" t="n">
        <v>100</v>
      </c>
      <c r="F48" s="18" t="inlineStr">
        <is>
          <t>조직의 온실가스 관리에 관한 제3자 검증기관 의견이 명시되어 있는 경우 (온실가스 관리 시스템 개선, 향후 검증값의 변동가능성 등)</t>
        </is>
      </c>
    </row>
    <row r="49" ht="15" customHeight="1">
      <c r="A49" s="27" t="inlineStr">
        <is>
          <t>E-4-1</t>
        </is>
      </c>
      <c r="B49" s="28" t="inlineStr">
        <is>
          <t>에너지 사용량</t>
        </is>
      </c>
      <c r="C49" s="26" t="n">
        <v>1</v>
      </c>
      <c r="D49" s="27" t="inlineStr">
        <is>
          <t>1단계</t>
        </is>
      </c>
      <c r="E49" s="26" t="n">
        <v>0</v>
      </c>
      <c r="F49" s="28" t="inlineStr">
        <is>
          <t>지난 4개년 원단위 에너지 사용량이 증가 추세</t>
        </is>
      </c>
    </row>
    <row r="50" ht="15" customHeight="1">
      <c r="A50" s="17" t="inlineStr">
        <is>
          <t>E-4-1</t>
        </is>
      </c>
      <c r="B50" s="18" t="inlineStr">
        <is>
          <t>에너지 사용량</t>
        </is>
      </c>
      <c r="C50" s="16" t="n">
        <v>2</v>
      </c>
      <c r="D50" s="17" t="inlineStr">
        <is>
          <t>2단계</t>
        </is>
      </c>
      <c r="E50" s="16" t="n">
        <v>50</v>
      </c>
      <c r="F50" s="18" t="inlineStr">
        <is>
          <t>지난 4개년 원단위 에너지 사용량이 변동 없음</t>
        </is>
      </c>
    </row>
    <row r="51" ht="29.25" customHeight="1">
      <c r="A51" s="27" t="inlineStr">
        <is>
          <t>E-4-1</t>
        </is>
      </c>
      <c r="B51" s="28" t="inlineStr">
        <is>
          <t>에너지 사용량</t>
        </is>
      </c>
      <c r="C51" s="26" t="n">
        <v>3</v>
      </c>
      <c r="D51" s="27" t="inlineStr">
        <is>
          <t>3단계</t>
        </is>
      </c>
      <c r="E51" s="26" t="n">
        <v>100</v>
      </c>
      <c r="F51" s="28" t="inlineStr">
        <is>
          <t>지난 4개년 원단위 에너지 사용량이 감소 추세 * 원단위 에너지 사용량을 관리하지 않고 있는 경우 0점 적용 * 3개년 이하 데이터 보유 시 해당 데이터로 추세 산정 * '유지 추세'로 판단할 경우 2단계로 적용하여 평가</t>
        </is>
      </c>
    </row>
    <row r="52" ht="15" customHeight="1">
      <c r="A52" s="17" t="inlineStr">
        <is>
          <t>E-4-2</t>
        </is>
      </c>
      <c r="B52" s="18" t="inlineStr">
        <is>
          <t>재생에너지 사용 비율</t>
        </is>
      </c>
      <c r="C52" s="16" t="n">
        <v>1</v>
      </c>
      <c r="D52" s="17" t="inlineStr">
        <is>
          <t>1단계</t>
        </is>
      </c>
      <c r="E52" s="16" t="n">
        <v>0</v>
      </c>
      <c r="F52" s="18" t="inlineStr">
        <is>
          <t>지난 4개년 재생에너지 사용비율이 감소 추세</t>
        </is>
      </c>
    </row>
    <row r="53" ht="15" customHeight="1">
      <c r="A53" s="27" t="inlineStr">
        <is>
          <t>E-4-2</t>
        </is>
      </c>
      <c r="B53" s="28" t="inlineStr">
        <is>
          <t>재생에너지 사용 비율</t>
        </is>
      </c>
      <c r="C53" s="26" t="n">
        <v>2</v>
      </c>
      <c r="D53" s="27" t="inlineStr">
        <is>
          <t>2단계</t>
        </is>
      </c>
      <c r="E53" s="26" t="n">
        <v>50</v>
      </c>
      <c r="F53" s="28" t="inlineStr">
        <is>
          <t>지난 4개년 재생에너지 사용비율이 변동 없음</t>
        </is>
      </c>
    </row>
    <row r="54" ht="43.5" customHeight="1">
      <c r="A54" s="17" t="inlineStr">
        <is>
          <t>E-4-2</t>
        </is>
      </c>
      <c r="B54" s="18" t="inlineStr">
        <is>
          <t>재생에너지 사용 비율</t>
        </is>
      </c>
      <c r="C54" s="16" t="n">
        <v>3</v>
      </c>
      <c r="D54" s="17" t="inlineStr">
        <is>
          <t>3단계</t>
        </is>
      </c>
      <c r="E54" s="16" t="n">
        <v>100</v>
      </c>
      <c r="F54" s="18" t="inlineStr">
        <is>
          <t>지난 4개년 재생에너지 사용비율이 증가 추세 * 재생에너지를 사용하고 있지 않은 경우 0점 적용 * 국내 및 해외 모든 사업장에서 재생에너지를 100% 사용하는 경우 100점 적용 * 3개년 이하 데이터 보유 시 해당 데이터로 추세 산정 * '유지 추세'로 판단할 경우 2단계로 적용하여 평가</t>
        </is>
      </c>
    </row>
    <row r="55" ht="15" customHeight="1">
      <c r="A55" s="27" t="inlineStr">
        <is>
          <t>E-5-1</t>
        </is>
      </c>
      <c r="B55" s="28" t="inlineStr">
        <is>
          <t>용수 사용량</t>
        </is>
      </c>
      <c r="C55" s="26" t="n">
        <v>1</v>
      </c>
      <c r="D55" s="27" t="inlineStr">
        <is>
          <t>1단계</t>
        </is>
      </c>
      <c r="E55" s="26" t="n">
        <v>0</v>
      </c>
      <c r="F55" s="28" t="inlineStr">
        <is>
          <t>지난 4개년 원단위 용수 사용량이 증가 추세</t>
        </is>
      </c>
    </row>
    <row r="56" ht="15" customHeight="1">
      <c r="A56" s="17" t="inlineStr">
        <is>
          <t>E-5-1</t>
        </is>
      </c>
      <c r="B56" s="18" t="inlineStr">
        <is>
          <t>용수 사용량</t>
        </is>
      </c>
      <c r="C56" s="16" t="n">
        <v>2</v>
      </c>
      <c r="D56" s="17" t="inlineStr">
        <is>
          <t>2단계</t>
        </is>
      </c>
      <c r="E56" s="16" t="n">
        <v>50</v>
      </c>
      <c r="F56" s="18" t="inlineStr">
        <is>
          <t>지난 4개년 원단위 용수 사용량이 변동 없음</t>
        </is>
      </c>
    </row>
    <row r="57" ht="29.25" customHeight="1">
      <c r="A57" s="27" t="inlineStr">
        <is>
          <t>E-5-1</t>
        </is>
      </c>
      <c r="B57" s="28" t="inlineStr">
        <is>
          <t>용수 사용량</t>
        </is>
      </c>
      <c r="C57" s="26" t="n">
        <v>3</v>
      </c>
      <c r="D57" s="27" t="inlineStr">
        <is>
          <t>3단계</t>
        </is>
      </c>
      <c r="E57" s="26" t="n">
        <v>100</v>
      </c>
      <c r="F57" s="28" t="inlineStr">
        <is>
          <t>지난 4개년 원단위 용수 사용량이 감소 추세 * 원단위 용수 사용량을 관리하고 있지 않은 경우 0점 적용 * 3개년 이하 데이터 보유 시 해당 데이터로 추세 산정 * '유지 추세'로 판단할 경우 2단계로 적용하여 평가</t>
        </is>
      </c>
    </row>
    <row r="58" ht="15" customHeight="1">
      <c r="A58" s="17" t="inlineStr">
        <is>
          <t>E-5-2</t>
        </is>
      </c>
      <c r="B58" s="18" t="inlineStr">
        <is>
          <t>재사용 용수 비율</t>
        </is>
      </c>
      <c r="C58" s="16" t="n">
        <v>1</v>
      </c>
      <c r="D58" s="17" t="inlineStr">
        <is>
          <t>1단계</t>
        </is>
      </c>
      <c r="E58" s="16" t="n">
        <v>0</v>
      </c>
      <c r="F58" s="18" t="inlineStr">
        <is>
          <t>지난 4개년 재사용 용수 비율이 감소 추세</t>
        </is>
      </c>
    </row>
    <row r="59" ht="15" customHeight="1">
      <c r="A59" s="27" t="inlineStr">
        <is>
          <t>E-5-2</t>
        </is>
      </c>
      <c r="B59" s="28" t="inlineStr">
        <is>
          <t>재사용 용수 비율</t>
        </is>
      </c>
      <c r="C59" s="26" t="n">
        <v>2</v>
      </c>
      <c r="D59" s="27" t="inlineStr">
        <is>
          <t>2단계</t>
        </is>
      </c>
      <c r="E59" s="26" t="n">
        <v>50</v>
      </c>
      <c r="F59" s="28" t="inlineStr">
        <is>
          <t>지난 4개년 재사용 용수 비율이 변동 없음</t>
        </is>
      </c>
    </row>
    <row r="60" ht="43.5" customHeight="1">
      <c r="A60" s="17" t="inlineStr">
        <is>
          <t>E-5-2</t>
        </is>
      </c>
      <c r="B60" s="18" t="inlineStr">
        <is>
          <t>재사용 용수 비율</t>
        </is>
      </c>
      <c r="C60" s="16" t="n">
        <v>3</v>
      </c>
      <c r="D60" s="17" t="inlineStr">
        <is>
          <t>3단계</t>
        </is>
      </c>
      <c r="E60" s="16" t="n">
        <v>100</v>
      </c>
      <c r="F60" s="18" t="inlineStr">
        <is>
          <t>지난 4개년 재사용 용수 비율이 증가 추세 * 용수를 재사용하지 않고 있는 경우 0점 적용 * 국내 및 해외 모든 사업장이 폐수 무방류 시스템을 구축한 경우 100점 적용 * 3개년 이하 데이터 보유 시 해당 데이터로 추세 산정 * '유지 추세'로 판단할 경우 2단계로 적용하여 평가</t>
        </is>
      </c>
    </row>
    <row r="61" ht="15" customHeight="1">
      <c r="A61" s="27" t="inlineStr">
        <is>
          <t>E-6-1</t>
        </is>
      </c>
      <c r="B61" s="28" t="inlineStr">
        <is>
          <t>폐기물 배출량</t>
        </is>
      </c>
      <c r="C61" s="26" t="n">
        <v>1</v>
      </c>
      <c r="D61" s="27" t="inlineStr">
        <is>
          <t>1단계</t>
        </is>
      </c>
      <c r="E61" s="26" t="n">
        <v>0</v>
      </c>
      <c r="F61" s="28" t="inlineStr">
        <is>
          <t>지난 4개년 원단위 폐기물 배출량이 증가 추세</t>
        </is>
      </c>
    </row>
    <row r="62" ht="15" customHeight="1">
      <c r="A62" s="17" t="inlineStr">
        <is>
          <t>E-6-1</t>
        </is>
      </c>
      <c r="B62" s="18" t="inlineStr">
        <is>
          <t>폐기물 배출량</t>
        </is>
      </c>
      <c r="C62" s="16" t="n">
        <v>2</v>
      </c>
      <c r="D62" s="17" t="inlineStr">
        <is>
          <t>2단계</t>
        </is>
      </c>
      <c r="E62" s="16" t="n">
        <v>50</v>
      </c>
      <c r="F62" s="18" t="inlineStr">
        <is>
          <t>지난 4개년 원단위 폐기물 배출량이 변동 없음</t>
        </is>
      </c>
    </row>
    <row r="63" ht="29.25" customHeight="1">
      <c r="A63" s="27" t="inlineStr">
        <is>
          <t>E-6-1</t>
        </is>
      </c>
      <c r="B63" s="28" t="inlineStr">
        <is>
          <t>폐기물 배출량</t>
        </is>
      </c>
      <c r="C63" s="26" t="n">
        <v>3</v>
      </c>
      <c r="D63" s="27" t="inlineStr">
        <is>
          <t>3단계</t>
        </is>
      </c>
      <c r="E63" s="26" t="n">
        <v>100</v>
      </c>
      <c r="F63" s="28" t="inlineStr">
        <is>
          <t>지난 4개년 원단위 폐기물 배출량이 감소 추세 * 원단위 폐기물 배출량을 관리하지 않고 있는 경우 0점 적용 * 3개년 이하 데이터 보유 시 해당 데이터로 추세 산정 * '유지 추세'로 판단할 경우 2단계로 적용하여 평가</t>
        </is>
      </c>
    </row>
    <row r="64" ht="15" customHeight="1">
      <c r="A64" s="17" t="inlineStr">
        <is>
          <t>E-6-2</t>
        </is>
      </c>
      <c r="B64" s="18" t="inlineStr">
        <is>
          <t>폐기물 재활용 비율</t>
        </is>
      </c>
      <c r="C64" s="16" t="n">
        <v>1</v>
      </c>
      <c r="D64" s="17" t="inlineStr">
        <is>
          <t>1단계</t>
        </is>
      </c>
      <c r="E64" s="16" t="n">
        <v>0</v>
      </c>
      <c r="F64" s="18" t="inlineStr">
        <is>
          <t>지난 4개년 폐기물 재활용 비율이 감소 추세</t>
        </is>
      </c>
    </row>
    <row r="65" ht="15" customHeight="1">
      <c r="A65" s="27" t="inlineStr">
        <is>
          <t>E-6-2</t>
        </is>
      </c>
      <c r="B65" s="28" t="inlineStr">
        <is>
          <t>폐기물 재활용 비율</t>
        </is>
      </c>
      <c r="C65" s="26" t="n">
        <v>2</v>
      </c>
      <c r="D65" s="27" t="inlineStr">
        <is>
          <t>2단계</t>
        </is>
      </c>
      <c r="E65" s="26" t="n">
        <v>50</v>
      </c>
      <c r="F65" s="28" t="inlineStr">
        <is>
          <t>지난 4개년 폐기물 재활용 비율이 변동 없음</t>
        </is>
      </c>
    </row>
    <row r="66" ht="43.5" customHeight="1">
      <c r="A66" s="17" t="inlineStr">
        <is>
          <t>E-6-2</t>
        </is>
      </c>
      <c r="B66" s="18" t="inlineStr">
        <is>
          <t>폐기물 재활용 비율</t>
        </is>
      </c>
      <c r="C66" s="16" t="n">
        <v>3</v>
      </c>
      <c r="D66" s="17" t="inlineStr">
        <is>
          <t>3단계</t>
        </is>
      </c>
      <c r="E66" s="16" t="n">
        <v>100</v>
      </c>
      <c r="F66" s="18" t="inlineStr">
        <is>
          <t>지난 4개년 폐기물 재활용 비율이 증가 추세 * 폐기물 재활용 비율을 관리하지 않고 있는 경우 0점 적용 * 국내 및 해외 모든 사업장이 재활용 및 재사용 가능한 폐기물 전부를 재활용 및 재사용하고 있는 경우 100점 적용 * 3개년 이하 데이터 보유 시 해당 데이터로 추세 산정 * '유지 추세'로 판단할 경우 2단계로 적용하여 평가</t>
        </is>
      </c>
    </row>
    <row r="67" ht="15" customHeight="1">
      <c r="A67" s="27" t="inlineStr">
        <is>
          <t>E-7-1</t>
        </is>
      </c>
      <c r="B67" s="28" t="inlineStr">
        <is>
          <t>대기오염물질 배출량</t>
        </is>
      </c>
      <c r="C67" s="26" t="n">
        <v>1</v>
      </c>
      <c r="D67" s="27" t="inlineStr">
        <is>
          <t>1단계</t>
        </is>
      </c>
      <c r="E67" s="26" t="n">
        <v>0</v>
      </c>
      <c r="F67" s="28" t="inlineStr">
        <is>
          <t>지난 4개년 대기오염물질 평균 배출농도가 증가 추세</t>
        </is>
      </c>
    </row>
    <row r="68" ht="15" customHeight="1">
      <c r="A68" s="17" t="inlineStr">
        <is>
          <t>E-7-1</t>
        </is>
      </c>
      <c r="B68" s="18" t="inlineStr">
        <is>
          <t>대기오염물질 배출량</t>
        </is>
      </c>
      <c r="C68" s="16" t="n">
        <v>2</v>
      </c>
      <c r="D68" s="17" t="inlineStr">
        <is>
          <t>2단계</t>
        </is>
      </c>
      <c r="E68" s="16" t="n">
        <v>50</v>
      </c>
      <c r="F68" s="18" t="inlineStr">
        <is>
          <t>지난 4개년 대기오염물질 평균 배출농도가 변동 없음</t>
        </is>
      </c>
    </row>
    <row r="69" ht="43.5" customHeight="1">
      <c r="A69" s="27" t="inlineStr">
        <is>
          <t>E-7-1</t>
        </is>
      </c>
      <c r="B69" s="28" t="inlineStr">
        <is>
          <t>대기오염물질 배출량</t>
        </is>
      </c>
      <c r="C69" s="26" t="n">
        <v>3</v>
      </c>
      <c r="D69" s="27" t="inlineStr">
        <is>
          <t>3단계</t>
        </is>
      </c>
      <c r="E69" s="26" t="n">
        <v>100</v>
      </c>
      <c r="F69" s="28" t="inlineStr">
        <is>
          <t>지난 4개년 대기오염물질 평균 배출농도가 감소 추세 * 대기오염물질 평균 배출농도를 관리하지 않고 있는 경우 0점 적용 * 국내 및 해외 모든 사업장의 대기오염물질 배출농도가 ‘0’인 경우 100점 적용 * 3개년 이하 데이터 보유 시 해당 데이터로 추세 산정 * '유지 추세'로 판단할 경우 2단계로 적용하여 평가</t>
        </is>
      </c>
    </row>
    <row r="70" ht="15" customHeight="1">
      <c r="A70" s="17" t="inlineStr">
        <is>
          <t>E-7-2</t>
        </is>
      </c>
      <c r="B70" s="18" t="inlineStr">
        <is>
          <t>수질오염물질 배출량</t>
        </is>
      </c>
      <c r="C70" s="16" t="n">
        <v>1</v>
      </c>
      <c r="D70" s="17" t="inlineStr">
        <is>
          <t>1단계</t>
        </is>
      </c>
      <c r="E70" s="16" t="n">
        <v>0</v>
      </c>
      <c r="F70" s="18" t="inlineStr">
        <is>
          <t>지난 4개년 수질오염물질 평균 배출농도가 증가 추세</t>
        </is>
      </c>
    </row>
    <row r="71" ht="15" customHeight="1">
      <c r="A71" s="27" t="inlineStr">
        <is>
          <t>E-7-2</t>
        </is>
      </c>
      <c r="B71" s="28" t="inlineStr">
        <is>
          <t>수질오염물질 배출량</t>
        </is>
      </c>
      <c r="C71" s="26" t="n">
        <v>2</v>
      </c>
      <c r="D71" s="27" t="inlineStr">
        <is>
          <t>2단계</t>
        </is>
      </c>
      <c r="E71" s="26" t="n">
        <v>50</v>
      </c>
      <c r="F71" s="28" t="inlineStr">
        <is>
          <t>지난 4개년 수질오염물질 평균 배출농도가 변동 없음</t>
        </is>
      </c>
    </row>
    <row r="72" ht="43.5" customHeight="1">
      <c r="A72" s="17" t="inlineStr">
        <is>
          <t>E-7-2</t>
        </is>
      </c>
      <c r="B72" s="18" t="inlineStr">
        <is>
          <t>수질오염물질 배출량</t>
        </is>
      </c>
      <c r="C72" s="16" t="n">
        <v>3</v>
      </c>
      <c r="D72" s="17" t="inlineStr">
        <is>
          <t>3단계</t>
        </is>
      </c>
      <c r="E72" s="16" t="n">
        <v>100</v>
      </c>
      <c r="F72" s="18" t="inlineStr">
        <is>
          <t>지난 4개년 수질오염물질 평균 배출농도가 감소 추세 * 수질오염물질 평균 배출농도를 관리하지 않고 있는 경우 0점 적용 * 국내 및 해외 모든 사업장의 수질오염물질 배출농도가 ‘0’인 경우 100점 적용 * 3개년 이하 데이터 보유 시 해당 데이터로 추세 산정 * '유지 추세'로 판단할 경우 2단계로 적용하여 평가</t>
        </is>
      </c>
    </row>
    <row r="73" ht="29.25" customHeight="1">
      <c r="A73" s="27" t="inlineStr">
        <is>
          <t>E-9-1</t>
        </is>
      </c>
      <c r="B73" s="28" t="inlineStr">
        <is>
          <t>친환경 인증 제품 및 서비스 비율</t>
        </is>
      </c>
      <c r="C73" s="26" t="n">
        <v>1</v>
      </c>
      <c r="D73" s="27" t="inlineStr">
        <is>
          <t>1단계</t>
        </is>
      </c>
      <c r="E73" s="26" t="n">
        <v>100</v>
      </c>
      <c r="F73" s="28" t="inlineStr">
        <is>
          <t>친환경 인증을 획득한 제품 및 서비스, 또는 친환경 인증 원부자재 등이 포함된 제품군의 매출비율이 증가 추세</t>
        </is>
      </c>
    </row>
    <row r="74" ht="29.25" customHeight="1">
      <c r="A74" s="17" t="inlineStr">
        <is>
          <t>E-9-1</t>
        </is>
      </c>
      <c r="B74" s="18" t="inlineStr">
        <is>
          <t>친환경 인증 제품 및 서비스 비율</t>
        </is>
      </c>
      <c r="C74" s="16" t="n">
        <v>2</v>
      </c>
      <c r="D74" s="17" t="inlineStr">
        <is>
          <t>2단계</t>
        </is>
      </c>
      <c r="E74" s="16" t="n">
        <v>50</v>
      </c>
      <c r="F74" s="18" t="inlineStr">
        <is>
          <t>친환경 인증을 획득한 제품 및 서비스, 또는 친환경 인증 원부자재 등이 포함된 제품군의 매출비율이 변동 없음</t>
        </is>
      </c>
    </row>
    <row r="75" ht="43.5" customHeight="1">
      <c r="A75" s="27" t="inlineStr">
        <is>
          <t>E-9-1</t>
        </is>
      </c>
      <c r="B75" s="28" t="inlineStr">
        <is>
          <t>친환경 인증 제품 및 서비스 비율</t>
        </is>
      </c>
      <c r="C75" s="26" t="n">
        <v>3</v>
      </c>
      <c r="D75" s="27" t="inlineStr">
        <is>
          <t>3단계</t>
        </is>
      </c>
      <c r="E75" s="26" t="n">
        <v>0</v>
      </c>
      <c r="F75" s="28" t="inlineStr">
        <is>
          <t>친환경 인증을 획득한 제품 및 서비스, 또는 친환경 인증 원부자재 등이 포함된 제품군의 매출비율이 감소 추세 * 완성품이 아닌 원부자재 생산 업종의 경우 원부자재에 대한 친환경 인증을 기준으로 점검 * 3개년 이하 데이터 보유 시 해당 데이터로 추세 산정 * '유지 추세'로 판단할 경우 2단계로 적용하여 평가</t>
        </is>
      </c>
    </row>
    <row r="76" ht="15" customHeight="1">
      <c r="A76" s="17" t="inlineStr">
        <is>
          <t>E-10-1</t>
        </is>
      </c>
      <c r="B76" s="18" t="inlineStr">
        <is>
          <t>기후변화 거버넌스</t>
        </is>
      </c>
      <c r="C76" s="16" t="n">
        <v>1</v>
      </c>
      <c r="D76" s="17" t="inlineStr">
        <is>
          <t>1단계</t>
        </is>
      </c>
      <c r="E76" s="16" t="n">
        <v>0</v>
      </c>
      <c r="F76" s="18" t="inlineStr">
        <is>
          <t>기후변화 문제에 대응할 수 있는 담당자(혹은 기구)가 없음</t>
        </is>
      </c>
    </row>
    <row r="77" ht="29.25" customHeight="1">
      <c r="A77" s="27" t="inlineStr">
        <is>
          <t>E-10-1</t>
        </is>
      </c>
      <c r="B77" s="28" t="inlineStr">
        <is>
          <t>기후변화 거버넌스</t>
        </is>
      </c>
      <c r="C77" s="26" t="n">
        <v>2</v>
      </c>
      <c r="D77" s="27" t="inlineStr">
        <is>
          <t>2단계</t>
        </is>
      </c>
      <c r="E77" s="26" t="n">
        <v>25</v>
      </c>
      <c r="F77" s="28" t="inlineStr">
        <is>
          <t>기후변화 문제에 대응하기 위한 관리자(혹은 담당부서)가 있으며, 담당부서의 KPIs에 조직의 기후변화 대응 목표가 반영되어 있음</t>
        </is>
      </c>
    </row>
    <row r="78" ht="29.25" customHeight="1">
      <c r="A78" s="17" t="inlineStr">
        <is>
          <t>E-10-1</t>
        </is>
      </c>
      <c r="B78" s="18" t="inlineStr">
        <is>
          <t>기후변화 거버넌스</t>
        </is>
      </c>
      <c r="C78" s="16" t="n">
        <v>3</v>
      </c>
      <c r="D78" s="17" t="inlineStr">
        <is>
          <t>3단계</t>
        </is>
      </c>
      <c r="E78" s="16" t="n">
        <v>50</v>
      </c>
      <c r="F78" s="18" t="inlineStr">
        <is>
          <t>기후변화 문제에 대응하기 위한 관리직(C-level) 혹은 위원회가 있으며, 관리직의 KPIs에 조직의 기후변화 대응 목표가 반영되어 있음 (예 : 기후/지속가능성/ESG 최고 책임자, 리스크 관리 최고 책임자(CEO 제외) 등)</t>
        </is>
      </c>
    </row>
    <row r="79" ht="29.25" customHeight="1">
      <c r="A79" s="27" t="inlineStr">
        <is>
          <t>E-10-1</t>
        </is>
      </c>
      <c r="B79" s="28" t="inlineStr">
        <is>
          <t>기후변화 거버넌스</t>
        </is>
      </c>
      <c r="C79" s="26" t="n">
        <v>4</v>
      </c>
      <c r="D79" s="27" t="inlineStr">
        <is>
          <t>4단계</t>
        </is>
      </c>
      <c r="E79" s="26" t="n">
        <v>75</v>
      </c>
      <c r="F79" s="27" t="inlineStr">
        <is>
          <t>3단계 + 기후 관련 문제를 이사회 차원의 위원회에서 관리·감독하고 있으며, 이사회 안건으로 상정하고 있음 (예 : 기후/지속가능성/ESG 위원회, 리스크 관리 위원회 등)</t>
        </is>
      </c>
    </row>
    <row r="80" ht="15" customHeight="1">
      <c r="A80" s="17" t="inlineStr">
        <is>
          <t>E-10-1</t>
        </is>
      </c>
      <c r="B80" s="18" t="inlineStr">
        <is>
          <t>기후변화 거버넌스</t>
        </is>
      </c>
      <c r="C80" s="16" t="n">
        <v>5</v>
      </c>
      <c r="D80" s="17" t="inlineStr">
        <is>
          <t>5단계</t>
        </is>
      </c>
      <c r="E80" s="16" t="n">
        <v>100</v>
      </c>
      <c r="F80" s="17" t="inlineStr">
        <is>
          <t>4단계 + 조직 구성원에게 기후변화 대응 목표 KPIs 달성도에 따라 인센티브를 제공하고 있음</t>
        </is>
      </c>
    </row>
    <row r="81" ht="15" customHeight="1">
      <c r="A81" s="27" t="inlineStr">
        <is>
          <t>E-10-3</t>
        </is>
      </c>
      <c r="B81" s="28" t="inlineStr">
        <is>
          <t>기후변화 물리 리스크 및 대응 방안</t>
        </is>
      </c>
      <c r="C81" s="26" t="n">
        <v>1</v>
      </c>
      <c r="D81" s="27" t="inlineStr">
        <is>
          <t>1단계</t>
        </is>
      </c>
      <c r="E81" s="26" t="n">
        <v>0</v>
      </c>
      <c r="F81" s="28" t="inlineStr">
        <is>
          <t>조직이 기후변화로 인한 물리 리스크를 분석하지 않는 경우</t>
        </is>
      </c>
    </row>
    <row r="82" ht="15" customHeight="1">
      <c r="A82" s="17" t="inlineStr">
        <is>
          <t>E-10-3</t>
        </is>
      </c>
      <c r="B82" s="18" t="inlineStr">
        <is>
          <t>기후변화 물리 리스크 및 대응 방안</t>
        </is>
      </c>
      <c r="C82" s="16" t="n">
        <v>2</v>
      </c>
      <c r="D82" s="17" t="inlineStr">
        <is>
          <t>2단계</t>
        </is>
      </c>
      <c r="E82" s="16" t="n">
        <v>25</v>
      </c>
      <c r="F82" s="18" t="inlineStr">
        <is>
          <t>조직이 기후변화로 인한 조직 전체 차원의 물리 리스크를 식별하고 정의하는 경우</t>
        </is>
      </c>
    </row>
    <row r="83" ht="15" customHeight="1">
      <c r="A83" s="27" t="inlineStr">
        <is>
          <t>E-10-3</t>
        </is>
      </c>
      <c r="B83" s="28" t="inlineStr">
        <is>
          <t>기후변화 물리 리스크 및 대응 방안</t>
        </is>
      </c>
      <c r="C83" s="26" t="n">
        <v>3</v>
      </c>
      <c r="D83" s="27" t="inlineStr">
        <is>
          <t>3단계</t>
        </is>
      </c>
      <c r="E83" s="26" t="n">
        <v>50</v>
      </c>
      <c r="F83" s="27" t="inlineStr">
        <is>
          <t>2단계 + 물리 리스크로 인한 사업 영향력을 정성적으로 측정하는 경우</t>
        </is>
      </c>
    </row>
    <row r="84" ht="15" customHeight="1">
      <c r="A84" s="17" t="inlineStr">
        <is>
          <t>E-10-3</t>
        </is>
      </c>
      <c r="B84" s="18" t="inlineStr">
        <is>
          <t>기후변화 물리 리스크 및 대응 방안</t>
        </is>
      </c>
      <c r="C84" s="16" t="n">
        <v>4</v>
      </c>
      <c r="D84" s="17" t="inlineStr">
        <is>
          <t>4단계</t>
        </is>
      </c>
      <c r="E84" s="16" t="n">
        <v>75</v>
      </c>
      <c r="F84" s="17" t="inlineStr">
        <is>
          <t>3단계 +물리 리스크로 인한 사업 영향력을 정량적으로 측정하여 리스크 해소한 경우</t>
        </is>
      </c>
    </row>
    <row r="85" ht="43.5" customHeight="1">
      <c r="A85" s="27" t="inlineStr">
        <is>
          <t>E-10-3</t>
        </is>
      </c>
      <c r="B85" s="28" t="inlineStr">
        <is>
          <t>기후변화 물리 리스크 및 대응 방안</t>
        </is>
      </c>
      <c r="C85" s="26" t="n">
        <v>5</v>
      </c>
      <c r="D85" s="27" t="inlineStr">
        <is>
          <t>5단계</t>
        </is>
      </c>
      <c r="E85" s="26" t="n">
        <v>100</v>
      </c>
      <c r="F85" s="27" t="inlineStr">
        <is>
          <t>4단계 + 물리 리스크로 인해 발생할 수 있는 리스크에 대한 새로운 사업기회를 모색하는 등 기업의 회복탄력성을 수립한 경우 * 4단계에서 리스크에 따른 사업 영향력을 정량적으로 측정할 경우, 재해보험의 위험 전가율(%) 등도 고려할 수 있음</t>
        </is>
      </c>
    </row>
    <row r="86" ht="15" customHeight="1">
      <c r="A86" s="17" t="inlineStr">
        <is>
          <t>E-10-4</t>
        </is>
      </c>
      <c r="B86" s="18" t="inlineStr">
        <is>
          <t>기후변화 전환 리스크 및 대응 방안</t>
        </is>
      </c>
      <c r="C86" s="16" t="n">
        <v>1</v>
      </c>
      <c r="D86" s="17" t="inlineStr">
        <is>
          <t>1단계</t>
        </is>
      </c>
      <c r="E86" s="16" t="n">
        <v>0</v>
      </c>
      <c r="F86" s="18" t="inlineStr">
        <is>
          <t>조직이 기후변화로 인한 전환 리스크를 분석하지 않는 경우</t>
        </is>
      </c>
    </row>
    <row r="87" ht="15" customHeight="1">
      <c r="A87" s="27" t="inlineStr">
        <is>
          <t>E-10-4</t>
        </is>
      </c>
      <c r="B87" s="28" t="inlineStr">
        <is>
          <t>기후변화 전환 리스크 및 대응 방안</t>
        </is>
      </c>
      <c r="C87" s="26" t="n">
        <v>2</v>
      </c>
      <c r="D87" s="27" t="inlineStr">
        <is>
          <t>2단계</t>
        </is>
      </c>
      <c r="E87" s="26" t="n">
        <v>25</v>
      </c>
      <c r="F87" s="28" t="inlineStr">
        <is>
          <t>조직이 기후변화로 인한 조직 전체 차원의 전환 리스크를 식별하고 정의하는 경우</t>
        </is>
      </c>
    </row>
    <row r="88" ht="15" customHeight="1">
      <c r="A88" s="17" t="inlineStr">
        <is>
          <t>E-10-4</t>
        </is>
      </c>
      <c r="B88" s="18" t="inlineStr">
        <is>
          <t>기후변화 전환 리스크 및 대응 방안</t>
        </is>
      </c>
      <c r="C88" s="16" t="n">
        <v>3</v>
      </c>
      <c r="D88" s="17" t="inlineStr">
        <is>
          <t>3단계</t>
        </is>
      </c>
      <c r="E88" s="16" t="n">
        <v>50</v>
      </c>
      <c r="F88" s="17" t="inlineStr">
        <is>
          <t>2단계 + 전환 리스크로 인한 사업 영향력을 정량적으로 측정하는 경우</t>
        </is>
      </c>
    </row>
    <row r="89" ht="29.25" customHeight="1">
      <c r="A89" s="27" t="inlineStr">
        <is>
          <t>E-10-4</t>
        </is>
      </c>
      <c r="B89" s="28" t="inlineStr">
        <is>
          <t>기후변화 전환 리스크 및 대응 방안</t>
        </is>
      </c>
      <c r="C89" s="26" t="n">
        <v>4</v>
      </c>
      <c r="D89" s="27" t="inlineStr">
        <is>
          <t>4단계</t>
        </is>
      </c>
      <c r="E89" s="26" t="n">
        <v>75</v>
      </c>
      <c r="F89" s="27" t="inlineStr">
        <is>
          <t>3단계+ 전환리스크로인한사업영향력을사업장별로측정해리스크해소에드는예상비용, 예상평균소요기간 등을분석하는경우</t>
        </is>
      </c>
    </row>
    <row r="90" ht="15" customHeight="1">
      <c r="A90" s="17" t="inlineStr">
        <is>
          <t>E-10-4</t>
        </is>
      </c>
      <c r="B90" s="18" t="inlineStr">
        <is>
          <t>기후변화 전환 리스크 및 대응 방안</t>
        </is>
      </c>
      <c r="C90" s="16" t="n">
        <v>5</v>
      </c>
      <c r="D90" s="17" t="inlineStr">
        <is>
          <t>5단계</t>
        </is>
      </c>
      <c r="E90" s="16" t="n">
        <v>100</v>
      </c>
      <c r="F90" s="17" t="inlineStr">
        <is>
          <t>4단계 + 전환 리스크로 인해 발생할 수 있는 새로운 사업 기회를 모색하고 수립한 경우</t>
        </is>
      </c>
    </row>
    <row r="91" ht="15" customHeight="1">
      <c r="A91" s="27" t="inlineStr">
        <is>
          <t>E-11-1</t>
        </is>
      </c>
      <c r="B91" s="28" t="inlineStr">
        <is>
          <t>자연자본 식별</t>
        </is>
      </c>
      <c r="C91" s="26" t="n">
        <v>1</v>
      </c>
      <c r="D91" s="27" t="inlineStr">
        <is>
          <t>1단계</t>
        </is>
      </c>
      <c r="E91" s="26" t="n">
        <v>0</v>
      </c>
      <c r="F91" s="28" t="inlineStr">
        <is>
          <t>조직이 위치한 사업장의 자연자본을 식별하고 있지 않은 경우</t>
        </is>
      </c>
    </row>
    <row r="92" ht="15" customHeight="1">
      <c r="A92" s="17" t="inlineStr">
        <is>
          <t>E-11-1</t>
        </is>
      </c>
      <c r="B92" s="18" t="inlineStr">
        <is>
          <t>자연자본 식별</t>
        </is>
      </c>
      <c r="C92" s="16" t="n">
        <v>2</v>
      </c>
      <c r="D92" s="17" t="inlineStr">
        <is>
          <t>2단계</t>
        </is>
      </c>
      <c r="E92" s="16" t="n">
        <v>25</v>
      </c>
      <c r="F92" s="18" t="inlineStr">
        <is>
          <t>조직이 위치한 사업장의 자연자본을 식별할 계획을 수립한 경우</t>
        </is>
      </c>
    </row>
    <row r="93" ht="15" customHeight="1">
      <c r="A93" s="27" t="inlineStr">
        <is>
          <t>E-11-1</t>
        </is>
      </c>
      <c r="B93" s="28" t="inlineStr">
        <is>
          <t>자연자본 식별</t>
        </is>
      </c>
      <c r="C93" s="26" t="n">
        <v>3</v>
      </c>
      <c r="D93" s="27" t="inlineStr">
        <is>
          <t>3단계</t>
        </is>
      </c>
      <c r="E93" s="26" t="n">
        <v>50</v>
      </c>
      <c r="F93" s="28" t="inlineStr">
        <is>
          <t>조직이 위치한 일부 사업장의 자연자본을 식별하고 있는 경우</t>
        </is>
      </c>
    </row>
    <row r="94" ht="15" customHeight="1">
      <c r="A94" s="17" t="inlineStr">
        <is>
          <t>E-11-1</t>
        </is>
      </c>
      <c r="B94" s="18" t="inlineStr">
        <is>
          <t>자연자본 식별</t>
        </is>
      </c>
      <c r="C94" s="16" t="n">
        <v>4</v>
      </c>
      <c r="D94" s="17" t="inlineStr">
        <is>
          <t>4단계</t>
        </is>
      </c>
      <c r="E94" s="16" t="n">
        <v>75</v>
      </c>
      <c r="F94" s="18" t="inlineStr">
        <is>
          <t>조직이 위치한 전체 사업장의 자연자본을 식별하고 있는 경우</t>
        </is>
      </c>
    </row>
    <row r="95" ht="15" customHeight="1">
      <c r="A95" s="27" t="inlineStr">
        <is>
          <t>E-11-1</t>
        </is>
      </c>
      <c r="B95" s="28" t="inlineStr">
        <is>
          <t>자연자본 식별</t>
        </is>
      </c>
      <c r="C95" s="26" t="n">
        <v>5</v>
      </c>
      <c r="D95" s="27" t="inlineStr">
        <is>
          <t>5단계</t>
        </is>
      </c>
      <c r="E95" s="26" t="n">
        <v>100</v>
      </c>
      <c r="F95" s="28" t="inlineStr">
        <is>
          <t>대외적으로 식별된 자연자본을 공개하고 있는 경우</t>
        </is>
      </c>
    </row>
    <row r="96" ht="15" customHeight="1">
      <c r="A96" s="17" t="inlineStr">
        <is>
          <t>E-11-2</t>
        </is>
      </c>
      <c r="B96" s="18" t="inlineStr">
        <is>
          <t>생물다양성 보존 전략</t>
        </is>
      </c>
      <c r="C96" s="16" t="n">
        <v>1</v>
      </c>
      <c r="D96" s="18" t="inlineStr">
        <is>
          <t>요건1</t>
        </is>
      </c>
      <c r="E96" s="16" t="n">
        <v>0</v>
      </c>
      <c r="F96" s="18" t="inlineStr">
        <is>
          <t>회피(Avoid)</t>
        </is>
      </c>
    </row>
    <row r="97" ht="15" customHeight="1">
      <c r="A97" s="27" t="inlineStr">
        <is>
          <t>E-11-2</t>
        </is>
      </c>
      <c r="B97" s="28" t="inlineStr">
        <is>
          <t>생물다양성 보존 전략</t>
        </is>
      </c>
      <c r="C97" s="26" t="n">
        <v>2</v>
      </c>
      <c r="D97" s="28" t="inlineStr">
        <is>
          <t>요건2</t>
        </is>
      </c>
      <c r="E97" s="26" t="n">
        <v>25</v>
      </c>
      <c r="F97" s="28" t="inlineStr">
        <is>
          <t>저감(Reduce)</t>
        </is>
      </c>
    </row>
    <row r="98" ht="15" customHeight="1">
      <c r="A98" s="17" t="inlineStr">
        <is>
          <t>E-11-2</t>
        </is>
      </c>
      <c r="B98" s="18" t="inlineStr">
        <is>
          <t>생물다양성 보존 전략</t>
        </is>
      </c>
      <c r="C98" s="16" t="n">
        <v>3</v>
      </c>
      <c r="D98" s="18" t="inlineStr">
        <is>
          <t>요건3</t>
        </is>
      </c>
      <c r="E98" s="16" t="n">
        <v>50</v>
      </c>
      <c r="F98" s="18" t="inlineStr">
        <is>
          <t>복원(Restore)</t>
        </is>
      </c>
    </row>
    <row r="99" ht="15" customHeight="1">
      <c r="A99" s="27" t="inlineStr">
        <is>
          <t>E-11-2</t>
        </is>
      </c>
      <c r="B99" s="28" t="inlineStr">
        <is>
          <t>생물다양성 보존 전략</t>
        </is>
      </c>
      <c r="C99" s="26" t="n">
        <v>4</v>
      </c>
      <c r="D99" s="28" t="inlineStr">
        <is>
          <t>요건4</t>
        </is>
      </c>
      <c r="E99" s="26" t="n">
        <v>75</v>
      </c>
      <c r="F99" s="28" t="inlineStr">
        <is>
          <t>재생(Regenerate)</t>
        </is>
      </c>
    </row>
    <row r="100" ht="15" customHeight="1">
      <c r="A100" s="17" t="inlineStr">
        <is>
          <t>E-11-2</t>
        </is>
      </c>
      <c r="B100" s="18" t="inlineStr">
        <is>
          <t>생물다양성 보존 전략</t>
        </is>
      </c>
      <c r="C100" s="16" t="n">
        <v>5</v>
      </c>
      <c r="D100" s="18" t="inlineStr">
        <is>
          <t>요건5</t>
        </is>
      </c>
      <c r="E100" s="16" t="n">
        <v>100</v>
      </c>
      <c r="F100" s="18" t="inlineStr">
        <is>
          <t>변경(Transform)</t>
        </is>
      </c>
    </row>
    <row r="101" ht="29.25" customHeight="1">
      <c r="A101" s="27" t="inlineStr">
        <is>
          <t>E-11-3</t>
        </is>
      </c>
      <c r="B101" s="28" t="inlineStr">
        <is>
          <t>산림보호 활동</t>
        </is>
      </c>
      <c r="C101" s="26" t="n">
        <v>1</v>
      </c>
      <c r="D101" s="28" t="inlineStr">
        <is>
          <t>요건1</t>
        </is>
      </c>
      <c r="E101" s="26" t="n">
        <v>0</v>
      </c>
      <c r="F101" s="28" t="inlineStr">
        <is>
          <t>산림보호 혹은 산림파괴 예방 정책을 수립한 경우 (사업 운영 전반에서 발생하는 산림파괴 리스크 관리 및 산림파괴 예방 등)</t>
        </is>
      </c>
    </row>
    <row r="102" ht="29.25" customHeight="1">
      <c r="A102" s="17" t="inlineStr">
        <is>
          <t>E-11-3</t>
        </is>
      </c>
      <c r="B102" s="18" t="inlineStr">
        <is>
          <t>산림보호 활동</t>
        </is>
      </c>
      <c r="C102" s="16" t="n">
        <v>2</v>
      </c>
      <c r="D102" s="18" t="inlineStr">
        <is>
          <t>요건2</t>
        </is>
      </c>
      <c r="E102" s="16" t="n">
        <v>25</v>
      </c>
      <c r="F102" s="18" t="inlineStr">
        <is>
          <t>사업 활동으로 인해 영향을 받는 지역을 조사하고 주요 보호지역을 정의한 경우 (산림이 제공하는 경관 및 지형학/지질학적 특성, 산림에 서식하는 생물다양성 등)</t>
        </is>
      </c>
    </row>
    <row r="103" ht="29.25" customHeight="1">
      <c r="A103" s="27" t="inlineStr">
        <is>
          <t>E-11-3</t>
        </is>
      </c>
      <c r="B103" s="28" t="inlineStr">
        <is>
          <t>산림보호 활동</t>
        </is>
      </c>
      <c r="C103" s="26" t="n">
        <v>3</v>
      </c>
      <c r="D103" s="28" t="inlineStr">
        <is>
          <t>요건3</t>
        </is>
      </c>
      <c r="E103" s="26" t="n">
        <v>50</v>
      </c>
      <c r="F103" s="28" t="inlineStr">
        <is>
          <t>산림보호를 위해 전사 차원의 목표를 수립한 경우 (산림파괴 없는 사업 운영 구조 완성, 탄소상쇄 활동(REDD+ 등)에 대한 성과개선 목표 설정 등)</t>
        </is>
      </c>
    </row>
    <row r="104" ht="29.25" customHeight="1">
      <c r="A104" s="17" t="inlineStr">
        <is>
          <t>E-11-3</t>
        </is>
      </c>
      <c r="B104" s="18" t="inlineStr">
        <is>
          <t>산림보호 활동</t>
        </is>
      </c>
      <c r="C104" s="16" t="n">
        <v>4</v>
      </c>
      <c r="D104" s="18" t="inlineStr">
        <is>
          <t>요건4</t>
        </is>
      </c>
      <c r="E104" s="16" t="n">
        <v>75</v>
      </c>
      <c r="F104" s="18" t="inlineStr">
        <is>
          <t>산림보호를 위한 단기/중장기 목표 수립 및 연도별 이행 현황을 파악하고 있는 경우 (중장기 산림 보호-복원-확대 목표 이행 현황 및 목표 대비 이행률 점검 등)</t>
        </is>
      </c>
    </row>
    <row r="105" ht="29.25" customHeight="1">
      <c r="A105" s="27" t="inlineStr">
        <is>
          <t>E-11-3</t>
        </is>
      </c>
      <c r="B105" s="28" t="inlineStr">
        <is>
          <t>산림보호 활동</t>
        </is>
      </c>
      <c r="C105" s="26" t="n">
        <v>5</v>
      </c>
      <c r="D105" s="28" t="inlineStr">
        <is>
          <t>요건5</t>
        </is>
      </c>
      <c r="E105" s="26" t="n">
        <v>100</v>
      </c>
      <c r="F105" s="28" t="inlineStr">
        <is>
          <t>산림보호를 위해 이해관계자로부터 의견을 수렴하고 관련 성과를 공유하는 경우 (산림 보호 활동 및 성과 공유, 외부 전문기관 및 비영리기관 등과 협력체계 구축 등)</t>
        </is>
      </c>
    </row>
    <row r="106" ht="29.25" customHeight="1">
      <c r="A106" s="17" t="inlineStr">
        <is>
          <t>S-1-1</t>
        </is>
      </c>
      <c r="B106" s="18" t="inlineStr">
        <is>
          <t>목표 수립 및 공시</t>
        </is>
      </c>
      <c r="C106" s="16" t="n">
        <v>1</v>
      </c>
      <c r="D106" s="17" t="inlineStr">
        <is>
          <t>1단계</t>
        </is>
      </c>
      <c r="E106" s="16" t="n">
        <v>0</v>
      </c>
      <c r="F106" s="18" t="inlineStr">
        <is>
          <t>단기/중장기 성과목표 또는 조직의 사회 분야 추진 방향성을 나타내는 사회분야 경영 미션/비전/지향점이 없는 경우</t>
        </is>
      </c>
    </row>
    <row r="107" ht="29.25" customHeight="1">
      <c r="A107" s="27" t="inlineStr">
        <is>
          <t>S-1-1</t>
        </is>
      </c>
      <c r="B107" s="28" t="inlineStr">
        <is>
          <t>목표 수립 및 공시</t>
        </is>
      </c>
      <c r="C107" s="26" t="n">
        <v>2</v>
      </c>
      <c r="D107" s="27" t="inlineStr">
        <is>
          <t>2단계</t>
        </is>
      </c>
      <c r="E107" s="26" t="n">
        <v>25</v>
      </c>
      <c r="F107" s="28" t="inlineStr">
        <is>
          <t>단기/중장기 성과목표는 수립되지 않았으나, 조직의 사회 분야 추진 방향성을 나타내는 사회분야 미션/비전/지향점을 제시하고 있는 경우</t>
        </is>
      </c>
    </row>
    <row r="108" ht="15" customHeight="1">
      <c r="A108" s="17" t="inlineStr">
        <is>
          <t>S-1-1</t>
        </is>
      </c>
      <c r="B108" s="18" t="inlineStr">
        <is>
          <t>목표 수립 및 공시</t>
        </is>
      </c>
      <c r="C108" s="16" t="n">
        <v>3</v>
      </c>
      <c r="D108" s="17" t="inlineStr">
        <is>
          <t>3단계</t>
        </is>
      </c>
      <c r="E108" s="16" t="n">
        <v>50</v>
      </c>
      <c r="F108" s="18" t="inlineStr">
        <is>
          <t>조직의 사회분야 핵심이슈에 대한 단기 목표를 설정하고 있는 경우</t>
        </is>
      </c>
    </row>
    <row r="109" ht="29.25" customHeight="1">
      <c r="A109" s="27" t="inlineStr">
        <is>
          <t>S-1-1</t>
        </is>
      </c>
      <c r="B109" s="28" t="inlineStr">
        <is>
          <t>목표 수립 및 공시</t>
        </is>
      </c>
      <c r="C109" s="26" t="n">
        <v>4</v>
      </c>
      <c r="D109" s="27" t="inlineStr">
        <is>
          <t>4단계</t>
        </is>
      </c>
      <c r="E109" s="26" t="n">
        <v>75</v>
      </c>
      <c r="F109" s="28" t="inlineStr">
        <is>
          <t>조직의 사회분야 핵심이슈에 대한 중장기 목표를 설정하고 있으나, 모든 중장기 목표가 정성적 형태로 되어 있는 경우</t>
        </is>
      </c>
    </row>
    <row r="110" ht="29.25" customHeight="1">
      <c r="A110" s="17" t="inlineStr">
        <is>
          <t>S-1-1</t>
        </is>
      </c>
      <c r="B110" s="18" t="inlineStr">
        <is>
          <t>목표 수립 및 공시</t>
        </is>
      </c>
      <c r="C110" s="16" t="n">
        <v>5</v>
      </c>
      <c r="D110" s="17" t="inlineStr">
        <is>
          <t>5단계</t>
        </is>
      </c>
      <c r="E110" s="16" t="n">
        <v>100</v>
      </c>
      <c r="F110" s="18" t="inlineStr">
        <is>
          <t>조직의 사회분야 핵심이슈에 대한 중장기 목표를 설정하고 있으며, 중장기 목표에는 정성 外 정량적 목표를 포함하고 있는 경우</t>
        </is>
      </c>
    </row>
    <row r="111" ht="15" customHeight="1">
      <c r="A111" s="27" t="inlineStr">
        <is>
          <t>S-2-2</t>
        </is>
      </c>
      <c r="B111" s="28" t="inlineStr">
        <is>
          <t>정규직 비율</t>
        </is>
      </c>
      <c r="C111" s="26" t="n">
        <v>1</v>
      </c>
      <c r="D111" s="27" t="inlineStr">
        <is>
          <t>1단계</t>
        </is>
      </c>
      <c r="E111" s="26" t="n">
        <v>0</v>
      </c>
      <c r="F111" s="28" t="inlineStr">
        <is>
          <t>최근 4개년 간 정규직 비율 데이터가 관리되지 않는 경우</t>
        </is>
      </c>
    </row>
    <row r="112" ht="15" customHeight="1">
      <c r="A112" s="17" t="inlineStr">
        <is>
          <t>S-2-2</t>
        </is>
      </c>
      <c r="B112" s="18" t="inlineStr">
        <is>
          <t>정규직 비율</t>
        </is>
      </c>
      <c r="C112" s="16" t="n">
        <v>2</v>
      </c>
      <c r="D112" s="17" t="inlineStr">
        <is>
          <t>2단계</t>
        </is>
      </c>
      <c r="E112" s="16" t="n">
        <v>25</v>
      </c>
      <c r="F112" s="18" t="inlineStr">
        <is>
          <t>조직의 정규직 비율이 40%인 이하인 경우</t>
        </is>
      </c>
    </row>
    <row r="113" ht="15" customHeight="1">
      <c r="A113" s="27" t="inlineStr">
        <is>
          <t>S-2-2</t>
        </is>
      </c>
      <c r="B113" s="28" t="inlineStr">
        <is>
          <t>정규직 비율</t>
        </is>
      </c>
      <c r="C113" s="26" t="n">
        <v>3</v>
      </c>
      <c r="D113" s="27" t="inlineStr">
        <is>
          <t>3단계</t>
        </is>
      </c>
      <c r="E113" s="26" t="n">
        <v>50</v>
      </c>
      <c r="F113" s="28" t="inlineStr">
        <is>
          <t>조직의 정규직 비율이 40% 초과 60% 이하인 경우</t>
        </is>
      </c>
    </row>
    <row r="114" ht="15" customHeight="1">
      <c r="A114" s="17" t="inlineStr">
        <is>
          <t>S-2-2</t>
        </is>
      </c>
      <c r="B114" s="18" t="inlineStr">
        <is>
          <t>정규직 비율</t>
        </is>
      </c>
      <c r="C114" s="16" t="n">
        <v>4</v>
      </c>
      <c r="D114" s="17" t="inlineStr">
        <is>
          <t>4단계</t>
        </is>
      </c>
      <c r="E114" s="16" t="n">
        <v>75</v>
      </c>
      <c r="F114" s="18" t="inlineStr">
        <is>
          <t>조직의 정규직 비율이 60% 초과 80% 이하인 경우</t>
        </is>
      </c>
    </row>
    <row r="115" ht="15" customHeight="1">
      <c r="A115" s="27" t="inlineStr">
        <is>
          <t>S-2-2</t>
        </is>
      </c>
      <c r="B115" s="28" t="inlineStr">
        <is>
          <t>정규직 비율</t>
        </is>
      </c>
      <c r="C115" s="26" t="n">
        <v>5</v>
      </c>
      <c r="D115" s="27" t="inlineStr">
        <is>
          <t>5단계</t>
        </is>
      </c>
      <c r="E115" s="26" t="n">
        <v>100</v>
      </c>
      <c r="F115" s="28" t="inlineStr">
        <is>
          <t>조직의 정규직 비율이 80%를 초과하는 경우 * 3개년 이하 데이터 보유 시 해당 데이터로 추세 산정</t>
        </is>
      </c>
    </row>
    <row r="116" ht="15" customHeight="1">
      <c r="A116" s="17" t="inlineStr">
        <is>
          <t>S-2-3</t>
        </is>
      </c>
      <c r="B116" s="18" t="inlineStr">
        <is>
          <t>자발적 이직률</t>
        </is>
      </c>
      <c r="C116" s="16" t="n">
        <v>1</v>
      </c>
      <c r="D116" s="17" t="inlineStr">
        <is>
          <t>1단계</t>
        </is>
      </c>
      <c r="E116" s="16" t="n">
        <v>0</v>
      </c>
      <c r="F116" s="18" t="inlineStr">
        <is>
          <t>지난 4개년 자발적 이직률이 증가 추세</t>
        </is>
      </c>
    </row>
    <row r="117" ht="15" customHeight="1">
      <c r="A117" s="27" t="inlineStr">
        <is>
          <t>S-2-3</t>
        </is>
      </c>
      <c r="B117" s="28" t="inlineStr">
        <is>
          <t>자발적 이직률</t>
        </is>
      </c>
      <c r="C117" s="26" t="n">
        <v>2</v>
      </c>
      <c r="D117" s="27" t="inlineStr">
        <is>
          <t>2단계</t>
        </is>
      </c>
      <c r="E117" s="26" t="n">
        <v>50</v>
      </c>
      <c r="F117" s="28" t="inlineStr">
        <is>
          <t>지난 4개년 자발적 이직률이 변동 없음</t>
        </is>
      </c>
    </row>
    <row r="118" ht="29.25" customHeight="1">
      <c r="A118" s="17" t="inlineStr">
        <is>
          <t>S-2-3</t>
        </is>
      </c>
      <c r="B118" s="18" t="inlineStr">
        <is>
          <t>자발적 이직률</t>
        </is>
      </c>
      <c r="C118" s="16" t="n">
        <v>3</v>
      </c>
      <c r="D118" s="17" t="inlineStr">
        <is>
          <t>3단계</t>
        </is>
      </c>
      <c r="E118" s="16" t="n">
        <v>100</v>
      </c>
      <c r="F118" s="18" t="inlineStr">
        <is>
          <t>지난 4개년 자발적 이직률이 감소 추세 * 자발적 이직률 데이터를 관리하지 않고 있는 경우 0점 적용 * ‘유지 추세’로 판단할 경우 2단계로 적용하여 평가 * 3개년 이하 데이터 보유 시 해당 데이터로 추세 산정</t>
        </is>
      </c>
    </row>
    <row r="119" ht="15" customHeight="1">
      <c r="A119" s="27" t="inlineStr">
        <is>
          <t>S-2-4</t>
        </is>
      </c>
      <c r="B119" s="28" t="inlineStr">
        <is>
          <t>교육훈련비</t>
        </is>
      </c>
      <c r="C119" s="26" t="n">
        <v>1</v>
      </c>
      <c r="D119" s="27" t="inlineStr">
        <is>
          <t>1단계</t>
        </is>
      </c>
      <c r="E119" s="26" t="n">
        <v>0</v>
      </c>
      <c r="F119" s="28" t="inlineStr">
        <is>
          <t>지난 4개년 1인당 교육훈련비 감소 추세</t>
        </is>
      </c>
    </row>
    <row r="120" ht="15" customHeight="1">
      <c r="A120" s="17" t="inlineStr">
        <is>
          <t>S-2-4</t>
        </is>
      </c>
      <c r="B120" s="18" t="inlineStr">
        <is>
          <t>교육훈련비</t>
        </is>
      </c>
      <c r="C120" s="16" t="n">
        <v>2</v>
      </c>
      <c r="D120" s="17" t="inlineStr">
        <is>
          <t>2단계</t>
        </is>
      </c>
      <c r="E120" s="16" t="n">
        <v>50</v>
      </c>
      <c r="F120" s="18" t="inlineStr">
        <is>
          <t>지난 4개년 1인당 교육훈련비 변동 없음</t>
        </is>
      </c>
    </row>
    <row r="121" ht="43.5" customHeight="1">
      <c r="A121" s="27" t="inlineStr">
        <is>
          <t>S-2-4</t>
        </is>
      </c>
      <c r="B121" s="28" t="inlineStr">
        <is>
          <t>교육훈련비</t>
        </is>
      </c>
      <c r="C121" s="26" t="n">
        <v>3</v>
      </c>
      <c r="D121" s="27" t="inlineStr">
        <is>
          <t>3단계</t>
        </is>
      </c>
      <c r="E121" s="26" t="n">
        <v>100</v>
      </c>
      <c r="F121" s="28" t="inlineStr">
        <is>
          <t>지난 4개년 1인당 교육훈련비 증가 추세 * 최근 4개년 간 교육훈련비가 없거나, 1인당 교육훈련비 데이터가 관리되지 않는 경우 0점 적용 * ‘유지 추세’로 판단할 경우 2단계로 적용하여 평가 * 3개년 이하 데이터 보유 시 해당 데이터로 추세 산정</t>
        </is>
      </c>
    </row>
    <row r="122" ht="15" customHeight="1">
      <c r="A122" s="17" t="inlineStr">
        <is>
          <t>S-2-5</t>
        </is>
      </c>
      <c r="B122" s="18" t="inlineStr">
        <is>
          <t>복리후생비</t>
        </is>
      </c>
      <c r="C122" s="16" t="n">
        <v>1</v>
      </c>
      <c r="D122" s="17" t="inlineStr">
        <is>
          <t>1단계</t>
        </is>
      </c>
      <c r="E122" s="16" t="n">
        <v>0</v>
      </c>
      <c r="F122" s="18" t="inlineStr">
        <is>
          <t>지난 4개년 1인당 복리후생비 감소 추세</t>
        </is>
      </c>
    </row>
    <row r="123" ht="15" customHeight="1">
      <c r="A123" s="27" t="inlineStr">
        <is>
          <t>S-2-5</t>
        </is>
      </c>
      <c r="B123" s="28" t="inlineStr">
        <is>
          <t>복리후생비</t>
        </is>
      </c>
      <c r="C123" s="26" t="n">
        <v>2</v>
      </c>
      <c r="D123" s="27" t="inlineStr">
        <is>
          <t>2단계</t>
        </is>
      </c>
      <c r="E123" s="26" t="n">
        <v>50</v>
      </c>
      <c r="F123" s="28" t="inlineStr">
        <is>
          <t>지난 4개년 1인당 복리후생비 변동 없음</t>
        </is>
      </c>
    </row>
    <row r="124" ht="29.25" customHeight="1">
      <c r="A124" s="17" t="inlineStr">
        <is>
          <t>S-2-5</t>
        </is>
      </c>
      <c r="B124" s="18" t="inlineStr">
        <is>
          <t>복리후생비</t>
        </is>
      </c>
      <c r="C124" s="16" t="n">
        <v>3</v>
      </c>
      <c r="D124" s="17" t="inlineStr">
        <is>
          <t>3단계</t>
        </is>
      </c>
      <c r="E124" s="16" t="n">
        <v>100</v>
      </c>
      <c r="F124" s="18" t="inlineStr">
        <is>
          <t>지난 4개년 1인당 복리후생비 증가 추세 * 최근 4개년 간 1인당 복리후생비 정보 없는 경우 0점 적용 * ‘유지 추세’로 판단할 경우 2단계로 적용하여 평가 * 3개년 이하 데이터 보유 시 해당 데이터로 추세 산정</t>
        </is>
      </c>
    </row>
    <row r="125" ht="29.25" customHeight="1">
      <c r="A125" s="27" t="inlineStr">
        <is>
          <t>S-2-6</t>
        </is>
      </c>
      <c r="B125" s="28" t="inlineStr">
        <is>
          <t>결사의 자유 보장</t>
        </is>
      </c>
      <c r="C125" s="26" t="n">
        <v>1</v>
      </c>
      <c r="D125" s="27" t="inlineStr">
        <is>
          <t>1단계</t>
        </is>
      </c>
      <c r="E125" s="26" t="n">
        <v>0</v>
      </c>
      <c r="F125" s="28" t="inlineStr">
        <is>
          <t>노동조합 가입‧설립, 노사협의회 설치 관련 정보가 모두 없음 (노조 가입‧신설 관련 부당노동행위로 노동위 판정 또는 법원 판결이 유죄로 확정된 경우)</t>
        </is>
      </c>
    </row>
    <row r="126" ht="15" customHeight="1">
      <c r="A126" s="17" t="inlineStr">
        <is>
          <t>S-2-6</t>
        </is>
      </c>
      <c r="B126" s="18" t="inlineStr">
        <is>
          <t>결사의 자유 보장</t>
        </is>
      </c>
      <c r="C126" s="16" t="n">
        <v>2</v>
      </c>
      <c r="D126" s="17" t="inlineStr">
        <is>
          <t>2단계</t>
        </is>
      </c>
      <c r="E126" s="16" t="n">
        <v>25</v>
      </c>
      <c r="F126" s="18" t="inlineStr">
        <is>
          <t>노동조합 가입‧설립 또는 상시근로자 30인 이상인 경우 노사협의회 설치(위원 선임, 협의회규정 제정 등)</t>
        </is>
      </c>
    </row>
    <row r="127" ht="29.25" customHeight="1">
      <c r="A127" s="27" t="inlineStr">
        <is>
          <t>S-2-6</t>
        </is>
      </c>
      <c r="B127" s="28" t="inlineStr">
        <is>
          <t>결사의 자유 보장</t>
        </is>
      </c>
      <c r="C127" s="26" t="n">
        <v>3</v>
      </c>
      <c r="D127" s="27" t="inlineStr">
        <is>
          <t>3단계</t>
        </is>
      </c>
      <c r="E127" s="26" t="n">
        <v>50</v>
      </c>
      <c r="F127" s="27" t="inlineStr">
        <is>
          <t>2단계 + 과거 또는 현재 적법한 교섭당사자로서의 노동조합과 단체교섭 진행 + 3개월마다 노사협의회 정기회의 개최 (회의록 작성·비치)</t>
        </is>
      </c>
    </row>
    <row r="128" ht="29.25" customHeight="1">
      <c r="A128" s="17" t="inlineStr">
        <is>
          <t>S-2-6</t>
        </is>
      </c>
      <c r="B128" s="18" t="inlineStr">
        <is>
          <t>결사의 자유 보장</t>
        </is>
      </c>
      <c r="C128" s="16" t="n">
        <v>4</v>
      </c>
      <c r="D128" s="17" t="inlineStr">
        <is>
          <t>4단계</t>
        </is>
      </c>
      <c r="E128" s="16" t="n">
        <v>75</v>
      </c>
      <c r="F128" s="17" t="inlineStr">
        <is>
          <t>3단계 + 노동조합과 단체협약(임금협약 포함) 체결 + 노사협의회 정기회의 외 추가 임시회의(노사 실무협의 포함) 개최</t>
        </is>
      </c>
    </row>
    <row r="129" ht="15" customHeight="1">
      <c r="A129" s="27" t="inlineStr">
        <is>
          <t>S-2-6</t>
        </is>
      </c>
      <c r="B129" s="28" t="inlineStr">
        <is>
          <t>결사의 자유 보장</t>
        </is>
      </c>
      <c r="C129" s="26" t="n">
        <v>5</v>
      </c>
      <c r="D129" s="27" t="inlineStr">
        <is>
          <t>5단계</t>
        </is>
      </c>
      <c r="E129" s="26" t="n">
        <v>100</v>
      </c>
      <c r="F129" s="27" t="inlineStr">
        <is>
          <t>4단계 + 체결된 단체협약의 성실한 이행(단체협약 위반 시 불이행으로 간주) + 노사협의회 의결(합의) 여부</t>
        </is>
      </c>
    </row>
    <row r="130" ht="29.25" customHeight="1">
      <c r="A130" s="17" t="inlineStr">
        <is>
          <t>S-3-1</t>
        </is>
      </c>
      <c r="B130" s="18" t="inlineStr">
        <is>
          <t>여성 구성원 비율</t>
        </is>
      </c>
      <c r="C130" s="16" t="n">
        <v>1</v>
      </c>
      <c r="D130" s="17" t="inlineStr">
        <is>
          <t>1단계</t>
        </is>
      </c>
      <c r="E130" s="16" t="n">
        <v>0</v>
      </c>
      <c r="F130" s="18" t="inlineStr">
        <is>
          <t>조직의 전체 구성원 중 여성이 차지하는 비율과, 미등기임원 중 여성이 차지하는 비율의 차이가 80%를 초과하는 경우</t>
        </is>
      </c>
    </row>
    <row r="131" ht="29.25" customHeight="1">
      <c r="A131" s="27" t="inlineStr">
        <is>
          <t>S-3-1</t>
        </is>
      </c>
      <c r="B131" s="28" t="inlineStr">
        <is>
          <t>여성 구성원 비율</t>
        </is>
      </c>
      <c r="C131" s="26" t="n">
        <v>2</v>
      </c>
      <c r="D131" s="27" t="inlineStr">
        <is>
          <t>2단계</t>
        </is>
      </c>
      <c r="E131" s="26" t="n">
        <v>25</v>
      </c>
      <c r="F131" s="28" t="inlineStr">
        <is>
          <t>조직의 전체 구성원 중 여성이 차지하는 비율과, 미등기임원 중 여성이 차지하는 비율의 차이가 60% 초과 ~ 80% 이하인 경우</t>
        </is>
      </c>
    </row>
    <row r="132" ht="29.25" customHeight="1">
      <c r="A132" s="17" t="inlineStr">
        <is>
          <t>S-3-1</t>
        </is>
      </c>
      <c r="B132" s="18" t="inlineStr">
        <is>
          <t>여성 구성원 비율</t>
        </is>
      </c>
      <c r="C132" s="16" t="n">
        <v>3</v>
      </c>
      <c r="D132" s="17" t="inlineStr">
        <is>
          <t>3단계</t>
        </is>
      </c>
      <c r="E132" s="16" t="n">
        <v>50</v>
      </c>
      <c r="F132" s="18" t="inlineStr">
        <is>
          <t>조직의 전체 구성원 중 여성이 차지하는 비율과, 미등기임원 중 여성이 차지하는 비율의 차이가 40% 초과 ~ 60% 이하인 경우</t>
        </is>
      </c>
    </row>
    <row r="133" ht="29.25" customHeight="1">
      <c r="A133" s="27" t="inlineStr">
        <is>
          <t>S-3-1</t>
        </is>
      </c>
      <c r="B133" s="28" t="inlineStr">
        <is>
          <t>여성 구성원 비율</t>
        </is>
      </c>
      <c r="C133" s="26" t="n">
        <v>4</v>
      </c>
      <c r="D133" s="27" t="inlineStr">
        <is>
          <t>4단계</t>
        </is>
      </c>
      <c r="E133" s="26" t="n">
        <v>75</v>
      </c>
      <c r="F133" s="28" t="inlineStr">
        <is>
          <t>조직의 전체 구성원 중 여성이 차지하는 비율과, 미등기임원 중 여성이 차지하는 비율의 차이가 20% 초과 ~ 40% 이하인 경우</t>
        </is>
      </c>
    </row>
    <row r="134" ht="29.25" customHeight="1">
      <c r="A134" s="17" t="inlineStr">
        <is>
          <t>S-3-1</t>
        </is>
      </c>
      <c r="B134" s="18" t="inlineStr">
        <is>
          <t>여성 구성원 비율</t>
        </is>
      </c>
      <c r="C134" s="16" t="n">
        <v>5</v>
      </c>
      <c r="D134" s="17" t="inlineStr">
        <is>
          <t>5단계</t>
        </is>
      </c>
      <c r="E134" s="16" t="n">
        <v>100</v>
      </c>
      <c r="F134" s="18" t="inlineStr">
        <is>
          <t>조직의 전체 구성원 중 여성이 차지하는 비율과, 미등기임원 중 여성이 차지하는 비율의 차이가 20% 이하인 경우 * 단, 결과값이 ‘-’ 일 경우, 본 지표에서 고려한 조직형태와 다른 경우이므로 적용하지 않음</t>
        </is>
      </c>
    </row>
    <row r="135" ht="15" customHeight="1">
      <c r="A135" s="27" t="inlineStr">
        <is>
          <t>S-3-2</t>
        </is>
      </c>
      <c r="B135" s="28" t="inlineStr">
        <is>
          <t>여성 급여 비율 (평균 급여액 대비)</t>
        </is>
      </c>
      <c r="C135" s="26" t="n">
        <v>1</v>
      </c>
      <c r="D135" s="27" t="inlineStr">
        <is>
          <t>1단계</t>
        </is>
      </c>
      <c r="E135" s="26" t="n">
        <v>0</v>
      </c>
      <c r="F135" s="28" t="inlineStr">
        <is>
          <t>조직의 1인 평균 급여액 대비 ‘여성(또는 남성) 1인 평균 급여액’ 비율이 60% 이하인 경우</t>
        </is>
      </c>
    </row>
    <row r="136" ht="15" customHeight="1">
      <c r="A136" s="17" t="inlineStr">
        <is>
          <t>S-3-2</t>
        </is>
      </c>
      <c r="B136" s="18" t="inlineStr">
        <is>
          <t>여성 급여 비율 (평균 급여액 대비)</t>
        </is>
      </c>
      <c r="C136" s="16" t="n">
        <v>2</v>
      </c>
      <c r="D136" s="17" t="inlineStr">
        <is>
          <t>2단계</t>
        </is>
      </c>
      <c r="E136" s="16" t="n">
        <v>25</v>
      </c>
      <c r="F136" s="18" t="inlineStr">
        <is>
          <t>조직의 1인 평균 급여액 대비 ‘여성(또는 남성) 1인 평균 급여액’ 비율이 60% 초과 ~ 70% 이하인 경우</t>
        </is>
      </c>
    </row>
    <row r="137" ht="15" customHeight="1">
      <c r="A137" s="27" t="inlineStr">
        <is>
          <t>S-3-2</t>
        </is>
      </c>
      <c r="B137" s="28" t="inlineStr">
        <is>
          <t>여성 급여 비율 (평균 급여액 대비)</t>
        </is>
      </c>
      <c r="C137" s="26" t="n">
        <v>3</v>
      </c>
      <c r="D137" s="27" t="inlineStr">
        <is>
          <t>3단계</t>
        </is>
      </c>
      <c r="E137" s="26" t="n">
        <v>50</v>
      </c>
      <c r="F137" s="28" t="inlineStr">
        <is>
          <t>조직의 1인 평균 급여액 대비 ‘여성(또는 남성) 1인 평균 급여액’ 비율이 70% 초과 ~ 80% 이하인 경우</t>
        </is>
      </c>
    </row>
    <row r="138" ht="15" customHeight="1">
      <c r="A138" s="17" t="inlineStr">
        <is>
          <t>S-3-2</t>
        </is>
      </c>
      <c r="B138" s="18" t="inlineStr">
        <is>
          <t>여성 급여 비율 (평균 급여액 대비)</t>
        </is>
      </c>
      <c r="C138" s="16" t="n">
        <v>4</v>
      </c>
      <c r="D138" s="17" t="inlineStr">
        <is>
          <t>4단계</t>
        </is>
      </c>
      <c r="E138" s="16" t="n">
        <v>75</v>
      </c>
      <c r="F138" s="18" t="inlineStr">
        <is>
          <t>조직의 1인 평균 급여액 대비 ‘여성(또는 남성) 1인 평균 급여액’ 비율이 80% 초과 ~ 90% 이하인 경우</t>
        </is>
      </c>
    </row>
    <row r="139" ht="15" customHeight="1">
      <c r="A139" s="27" t="inlineStr">
        <is>
          <t>S-3-2</t>
        </is>
      </c>
      <c r="B139" s="28" t="inlineStr">
        <is>
          <t>여성 급여 비율 (평균 급여액 대비)</t>
        </is>
      </c>
      <c r="C139" s="26" t="n">
        <v>5</v>
      </c>
      <c r="D139" s="27" t="inlineStr">
        <is>
          <t>5단계</t>
        </is>
      </c>
      <c r="E139" s="26" t="n">
        <v>100</v>
      </c>
      <c r="F139" s="28" t="inlineStr">
        <is>
          <t>조직의 1인 평균 급여액 대비 ‘여성(또는 남성) 1인 평균 급여액’ 비율이 90%를 초과하는 경우</t>
        </is>
      </c>
    </row>
    <row r="140" ht="15" customHeight="1">
      <c r="A140" s="17" t="inlineStr">
        <is>
          <t>S-3-3</t>
        </is>
      </c>
      <c r="B140" s="18" t="inlineStr">
        <is>
          <t>장애인 고용률</t>
        </is>
      </c>
      <c r="C140" s="16" t="n">
        <v>1</v>
      </c>
      <c r="D140" s="17" t="inlineStr">
        <is>
          <t>1단계</t>
        </is>
      </c>
      <c r="E140" s="16" t="n">
        <v>0</v>
      </c>
      <c r="F140" s="18" t="inlineStr">
        <is>
          <t>직전 1개년도 장애인 의무고용률의 60% 미만일 경우</t>
        </is>
      </c>
    </row>
    <row r="141" ht="15" customHeight="1">
      <c r="A141" s="27" t="inlineStr">
        <is>
          <t>S-3-3</t>
        </is>
      </c>
      <c r="B141" s="28" t="inlineStr">
        <is>
          <t>장애인 고용률</t>
        </is>
      </c>
      <c r="C141" s="26" t="n">
        <v>2</v>
      </c>
      <c r="D141" s="27" t="inlineStr">
        <is>
          <t>2단계</t>
        </is>
      </c>
      <c r="E141" s="26" t="n">
        <v>25</v>
      </c>
      <c r="F141" s="28" t="inlineStr">
        <is>
          <t>직전 1개년도 장애인 고용률이 법적 의무고용률의 60% 이상 80% 미만 수준인 경우</t>
        </is>
      </c>
    </row>
    <row r="142" ht="15" customHeight="1">
      <c r="A142" s="17" t="inlineStr">
        <is>
          <t>S-3-3</t>
        </is>
      </c>
      <c r="B142" s="18" t="inlineStr">
        <is>
          <t>장애인 고용률</t>
        </is>
      </c>
      <c r="C142" s="16" t="n">
        <v>3</v>
      </c>
      <c r="D142" s="17" t="inlineStr">
        <is>
          <t>3단계</t>
        </is>
      </c>
      <c r="E142" s="16" t="n">
        <v>50</v>
      </c>
      <c r="F142" s="18" t="inlineStr">
        <is>
          <t>직전 1개년도 장애인 고용률이 법적 의무고용률의 80% 이상 100% 미만 수준인 경우</t>
        </is>
      </c>
    </row>
    <row r="143" ht="15" customHeight="1">
      <c r="A143" s="27" t="inlineStr">
        <is>
          <t>S-3-3</t>
        </is>
      </c>
      <c r="B143" s="28" t="inlineStr">
        <is>
          <t>장애인 고용률</t>
        </is>
      </c>
      <c r="C143" s="26" t="n">
        <v>4</v>
      </c>
      <c r="D143" s="27" t="inlineStr">
        <is>
          <t>4단계</t>
        </is>
      </c>
      <c r="E143" s="26" t="n">
        <v>75</v>
      </c>
      <c r="F143" s="28" t="inlineStr">
        <is>
          <t>직전 1개년도 장애인 고용률이 법적 의무고용률의 100% 이상 120% 미만 수준인 경우</t>
        </is>
      </c>
    </row>
    <row r="144" ht="43.5" customHeight="1">
      <c r="A144" s="17" t="inlineStr">
        <is>
          <t>S-3-3</t>
        </is>
      </c>
      <c r="B144" s="18" t="inlineStr">
        <is>
          <t>장애인 고용률</t>
        </is>
      </c>
      <c r="C144" s="16" t="n">
        <v>5</v>
      </c>
      <c r="D144" s="17" t="inlineStr">
        <is>
          <t>5단계</t>
        </is>
      </c>
      <c r="E144" s="16" t="n">
        <v>100</v>
      </c>
      <c r="F144" s="18" t="inlineStr">
        <is>
          <t>직전 1개년도 장애인 고용률이 법적 의무고용률의 120% 이상 수준인 경우 ※ 장애인 미고용 부담금 납부 시에도 실제 고용한 인원을 기준으로 산정 ※ 중증장애인 중 월 임금지급기초일수 16일 이상, 소정근로시간 60시간 이상인 근로자는 2명으로 계산</t>
        </is>
      </c>
    </row>
    <row r="145" ht="29.25" customHeight="1">
      <c r="A145" s="27" t="inlineStr">
        <is>
          <t>S-4-1</t>
        </is>
      </c>
      <c r="B145" s="28" t="inlineStr">
        <is>
          <t>안전보건 추진체계</t>
        </is>
      </c>
      <c r="C145" s="26" t="n">
        <v>1</v>
      </c>
      <c r="D145" s="28" t="inlineStr">
        <is>
          <t>요건1</t>
        </is>
      </c>
      <c r="E145" s="26" t="n">
        <v>0</v>
      </c>
      <c r="F145" s="28" t="inlineStr">
        <is>
          <t>경영자가 확고한 리더십으로 비전을 제시하고 필요한 자원을 배정하는 경우 (안전경영방침 공표, 인력·시설·장비 등 배정, 구성원에게 책임과 권한 부여)</t>
        </is>
      </c>
    </row>
    <row r="146" ht="29.25" customHeight="1">
      <c r="A146" s="17" t="inlineStr">
        <is>
          <t>S-4-1</t>
        </is>
      </c>
      <c r="B146" s="18" t="inlineStr">
        <is>
          <t>안전보건 추진체계</t>
        </is>
      </c>
      <c r="C146" s="16" t="n">
        <v>2</v>
      </c>
      <c r="D146" s="18" t="inlineStr">
        <is>
          <t>요건2</t>
        </is>
      </c>
      <c r="E146" s="16" t="n">
        <v>25</v>
      </c>
      <c r="F146" s="18" t="inlineStr">
        <is>
          <t>안전보건관리체계 구축을 위해 근로자의 참여 및 협의를 보장하는 경우 (안전보건 정보공개, 구성원 참여절차 마련, 의견제시 문화 조성 등)</t>
        </is>
      </c>
    </row>
    <row r="147" ht="29.25" customHeight="1">
      <c r="A147" s="27" t="inlineStr">
        <is>
          <t>S-4-1</t>
        </is>
      </c>
      <c r="B147" s="28" t="inlineStr">
        <is>
          <t>안전보건 추진체계</t>
        </is>
      </c>
      <c r="C147" s="26" t="n">
        <v>3</v>
      </c>
      <c r="D147" s="28" t="inlineStr">
        <is>
          <t>요건3</t>
        </is>
      </c>
      <c r="E147" s="26" t="n">
        <v>50</v>
      </c>
      <c r="F147" s="28" t="inlineStr">
        <is>
          <t>조직의 위험요인 파악과 이에 대한 제거·대체·통제 조치를 하는 경우 (유해위험요인 파악, 위험성 평가, 위험요인 제거·대체·통제 방안 마련, 교육훈련 실시)</t>
        </is>
      </c>
    </row>
    <row r="148" ht="29.25" customHeight="1">
      <c r="A148" s="17" t="inlineStr">
        <is>
          <t>S-4-1</t>
        </is>
      </c>
      <c r="B148" s="18" t="inlineStr">
        <is>
          <t>안전보건 추진체계</t>
        </is>
      </c>
      <c r="C148" s="16" t="n">
        <v>4</v>
      </c>
      <c r="D148" s="18" t="inlineStr">
        <is>
          <t>요건4</t>
        </is>
      </c>
      <c r="E148" s="16" t="n">
        <v>75</v>
      </c>
      <c r="F148" s="18" t="inlineStr">
        <is>
          <t>중대한 위험요인에 대처할 수 있는 비상 조치계획을 수립한 경우 (위험요인별 시나리오 및 조치계획 수립, 주기적 훈련, 사업장 내 도급 근로자 등 모든 구성원에 대한 보호 여부)</t>
        </is>
      </c>
    </row>
    <row r="149" ht="29.25" customHeight="1">
      <c r="A149" s="27" t="inlineStr">
        <is>
          <t>S-4-1</t>
        </is>
      </c>
      <c r="B149" s="28" t="inlineStr">
        <is>
          <t>안전보건 추진체계</t>
        </is>
      </c>
      <c r="C149" s="26" t="n">
        <v>5</v>
      </c>
      <c r="D149" s="28" t="inlineStr">
        <is>
          <t>요건5</t>
        </is>
      </c>
      <c r="E149" s="26" t="n">
        <v>100</v>
      </c>
      <c r="F149" s="28" t="inlineStr">
        <is>
          <t>안전보건 과제 및 목표의 이행현황을 평가하고 개선하는 경우 (목표 설정, 계획대비 달성 여부 평가, 문제점에 대한 주기적 검토와 개선)</t>
        </is>
      </c>
    </row>
    <row r="150" ht="15" customHeight="1">
      <c r="A150" s="17" t="inlineStr">
        <is>
          <t>S-4-2</t>
        </is>
      </c>
      <c r="B150" s="18" t="inlineStr">
        <is>
          <t>산업재해율</t>
        </is>
      </c>
      <c r="C150" s="16" t="n">
        <v>1</v>
      </c>
      <c r="D150" s="17" t="inlineStr">
        <is>
          <t>1단계</t>
        </is>
      </c>
      <c r="E150" s="16" t="n">
        <v>0</v>
      </c>
      <c r="F150" s="18" t="inlineStr">
        <is>
          <t>지난 4개년 산업재해율 증가 추세</t>
        </is>
      </c>
    </row>
    <row r="151" ht="15" customHeight="1">
      <c r="A151" s="27" t="inlineStr">
        <is>
          <t>S-4-2</t>
        </is>
      </c>
      <c r="B151" s="28" t="inlineStr">
        <is>
          <t>산업재해율</t>
        </is>
      </c>
      <c r="C151" s="26" t="n">
        <v>2</v>
      </c>
      <c r="D151" s="27" t="inlineStr">
        <is>
          <t>2단계</t>
        </is>
      </c>
      <c r="E151" s="26" t="n">
        <v>50</v>
      </c>
      <c r="F151" s="28" t="inlineStr">
        <is>
          <t>지난 4개년 산업재해율 변동 없음</t>
        </is>
      </c>
    </row>
    <row r="152" ht="43.5" customHeight="1">
      <c r="A152" s="17" t="inlineStr">
        <is>
          <t>S-4-2</t>
        </is>
      </c>
      <c r="B152" s="18" t="inlineStr">
        <is>
          <t>산업재해율</t>
        </is>
      </c>
      <c r="C152" s="16" t="n">
        <v>3</v>
      </c>
      <c r="D152" s="17" t="inlineStr">
        <is>
          <t>3단계</t>
        </is>
      </c>
      <c r="E152" s="16" t="n">
        <v>100</v>
      </c>
      <c r="F152" s="18" t="inlineStr">
        <is>
          <t>지난 4개년 산업재해율 감소 추세 * 최근 4개년 간 산업재해율 정보를 관리하지 않는 경우 0점 적용 * 무재해의 경우에는 100점 적용 * '유지 추세'로 판단할 경우 2단계로 적용하여 평가 * 3개년 이하 데이터 보유 시 해당 데이터로 추세 산정</t>
        </is>
      </c>
    </row>
    <row r="153" ht="29.25" customHeight="1">
      <c r="A153" s="27" t="inlineStr">
        <is>
          <t>S-5-1</t>
        </is>
      </c>
      <c r="B153" s="28" t="inlineStr">
        <is>
          <t>인권정책 수립</t>
        </is>
      </c>
      <c r="C153" s="26" t="n">
        <v>1</v>
      </c>
      <c r="D153" s="27" t="inlineStr">
        <is>
          <t>1단계</t>
        </is>
      </c>
      <c r="E153" s="26" t="n">
        <v>0</v>
      </c>
      <c r="F153" s="28" t="inlineStr">
        <is>
          <t>조직의 대외공식적 인권정책이 수립되지 않은 경우. 또는, 인권정책이 있으나, 상기의 이슈 중 1~2개에 대한 조직의 정책적 접근 방향이 설명되어 있는 경우</t>
        </is>
      </c>
    </row>
    <row r="154" ht="15" customHeight="1">
      <c r="A154" s="17" t="inlineStr">
        <is>
          <t>S-5-1</t>
        </is>
      </c>
      <c r="B154" s="18" t="inlineStr">
        <is>
          <t>인권정책 수립</t>
        </is>
      </c>
      <c r="C154" s="16" t="n">
        <v>2</v>
      </c>
      <c r="D154" s="17" t="inlineStr">
        <is>
          <t>2단계</t>
        </is>
      </c>
      <c r="E154" s="16" t="n">
        <v>25</v>
      </c>
      <c r="F154" s="18" t="inlineStr">
        <is>
          <t>상기의 이슈 중 3~4개에 대한 조직의 정책적 접근방향이 설명되어 있는 경우</t>
        </is>
      </c>
    </row>
    <row r="155" ht="15" customHeight="1">
      <c r="A155" s="27" t="inlineStr">
        <is>
          <t>S-5-1</t>
        </is>
      </c>
      <c r="B155" s="28" t="inlineStr">
        <is>
          <t>인권정책 수립</t>
        </is>
      </c>
      <c r="C155" s="26" t="n">
        <v>3</v>
      </c>
      <c r="D155" s="27" t="inlineStr">
        <is>
          <t>3단계</t>
        </is>
      </c>
      <c r="E155" s="26" t="n">
        <v>50</v>
      </c>
      <c r="F155" s="28" t="inlineStr">
        <is>
          <t>상기의 이슈 중 5~6개에 대한 조직의 정책적 접근방향이 설명되어 있는 경우</t>
        </is>
      </c>
    </row>
    <row r="156" ht="15" customHeight="1">
      <c r="A156" s="17" t="inlineStr">
        <is>
          <t>S-5-1</t>
        </is>
      </c>
      <c r="B156" s="18" t="inlineStr">
        <is>
          <t>인권정책 수립</t>
        </is>
      </c>
      <c r="C156" s="16" t="n">
        <v>4</v>
      </c>
      <c r="D156" s="17" t="inlineStr">
        <is>
          <t>4단계</t>
        </is>
      </c>
      <c r="E156" s="16" t="n">
        <v>75</v>
      </c>
      <c r="F156" s="18" t="inlineStr">
        <is>
          <t>상기의 이슈 중 7~8개에 대한 조직의 정책적 접근방향이 설명되어 있는 경우</t>
        </is>
      </c>
    </row>
    <row r="157" ht="15" customHeight="1">
      <c r="A157" s="27" t="inlineStr">
        <is>
          <t>S-5-1</t>
        </is>
      </c>
      <c r="B157" s="28" t="inlineStr">
        <is>
          <t>인권정책 수립</t>
        </is>
      </c>
      <c r="C157" s="26" t="n">
        <v>5</v>
      </c>
      <c r="D157" s="27" t="inlineStr">
        <is>
          <t>5단계</t>
        </is>
      </c>
      <c r="E157" s="26" t="n">
        <v>100</v>
      </c>
      <c r="F157" s="28" t="inlineStr">
        <is>
          <t>상기의 이슈 중 9개 이상에 대한 조직의 정책적 접근방향이 설명되어 있는 경우</t>
        </is>
      </c>
    </row>
    <row r="158" ht="15" customHeight="1">
      <c r="A158" s="17" t="inlineStr">
        <is>
          <t>S-5-2</t>
        </is>
      </c>
      <c r="B158" s="18" t="inlineStr">
        <is>
          <t>인권 리스크 평가</t>
        </is>
      </c>
      <c r="C158" s="16" t="n">
        <v>1</v>
      </c>
      <c r="D158" s="17" t="inlineStr">
        <is>
          <t>1단계</t>
        </is>
      </c>
      <c r="E158" s="16" t="n">
        <v>0</v>
      </c>
      <c r="F158" s="18" t="inlineStr">
        <is>
          <t>인권 리스크 평가 지표, 평가 기준, 평가 일정 등의 체계가 구축되지 않은 경우</t>
        </is>
      </c>
    </row>
    <row r="159" ht="29.25" customHeight="1">
      <c r="A159" s="27" t="inlineStr">
        <is>
          <t>S-5-2</t>
        </is>
      </c>
      <c r="B159" s="28" t="inlineStr">
        <is>
          <t>인권 리스크 평가</t>
        </is>
      </c>
      <c r="C159" s="26" t="n">
        <v>2</v>
      </c>
      <c r="D159" s="27" t="inlineStr">
        <is>
          <t>2단계</t>
        </is>
      </c>
      <c r="E159" s="26" t="n">
        <v>25</v>
      </c>
      <c r="F159" s="28" t="inlineStr">
        <is>
          <t>인권 리스크 평가 지표, 평가 기준, 평가 일정 등의 체계가 구축되어 있는 경우 단, 해당 인권 리스크 평가 체계를 운용하지 않은 경우</t>
        </is>
      </c>
    </row>
    <row r="160" ht="29.25" customHeight="1">
      <c r="A160" s="17" t="inlineStr">
        <is>
          <t>S-5-2</t>
        </is>
      </c>
      <c r="B160" s="18" t="inlineStr">
        <is>
          <t>인권 리스크 평가</t>
        </is>
      </c>
      <c r="C160" s="16" t="n">
        <v>3</v>
      </c>
      <c r="D160" s="17" t="inlineStr">
        <is>
          <t>3단계</t>
        </is>
      </c>
      <c r="E160" s="16" t="n">
        <v>50</v>
      </c>
      <c r="F160" s="18" t="inlineStr">
        <is>
          <t>인권 리스크 평가 체계를 구축하고 있으나, 온라인/서면 등 비대면 방식으로 인권 리스크 진단 행위만 실시한 경우</t>
        </is>
      </c>
    </row>
    <row r="161" ht="29.25" customHeight="1">
      <c r="A161" s="27" t="inlineStr">
        <is>
          <t>S-5-2</t>
        </is>
      </c>
      <c r="B161" s="28" t="inlineStr">
        <is>
          <t>인권 리스크 평가</t>
        </is>
      </c>
      <c r="C161" s="26" t="n">
        <v>4</v>
      </c>
      <c r="D161" s="27" t="inlineStr">
        <is>
          <t>4단계</t>
        </is>
      </c>
      <c r="E161" s="26" t="n">
        <v>75</v>
      </c>
      <c r="F161" s="28" t="inlineStr">
        <is>
          <t>인권 리스크 평가 체계를 구축하고 있으며, 온라인/서면 등 비대면 방식의 진단과 함께, 고위험 인권 리스크에 대해서는 현장실사까지 실시한 경우</t>
        </is>
      </c>
    </row>
    <row r="162" ht="29.25" customHeight="1">
      <c r="A162" s="17" t="inlineStr">
        <is>
          <t>S-5-2</t>
        </is>
      </c>
      <c r="B162" s="18" t="inlineStr">
        <is>
          <t>인권 리스크 평가</t>
        </is>
      </c>
      <c r="C162" s="16" t="n">
        <v>5</v>
      </c>
      <c r="D162" s="17" t="inlineStr">
        <is>
          <t>5단계</t>
        </is>
      </c>
      <c r="E162" s="16" t="n">
        <v>100</v>
      </c>
      <c r="F162" s="18" t="inlineStr">
        <is>
          <t>인권 리스크 평가 체계를 구축하고 있으며, 비대면 진단 및 현장실사 행위를 실시한 경우. 또한, 확인된 인권 리스크에 대한 개선계획/개선활동을 추진한 경우</t>
        </is>
      </c>
    </row>
    <row r="163" ht="15" customHeight="1">
      <c r="A163" s="27" t="inlineStr">
        <is>
          <t>S-6-1</t>
        </is>
      </c>
      <c r="B163" s="28" t="inlineStr">
        <is>
          <t>협력사 ESG 경영</t>
        </is>
      </c>
      <c r="C163" s="26" t="n">
        <v>1</v>
      </c>
      <c r="D163" s="27" t="inlineStr">
        <is>
          <t>1단계</t>
        </is>
      </c>
      <c r="E163" s="26" t="n">
        <v>0</v>
      </c>
      <c r="F163" s="28" t="inlineStr">
        <is>
          <t>협력사 ESG 리스크 평가 지표, 평가 기준, 평가 일정 등의 관리 체계가 구축되지 않은 경우</t>
        </is>
      </c>
    </row>
    <row r="164" ht="29.25" customHeight="1">
      <c r="A164" s="17" t="inlineStr">
        <is>
          <t>S-6-1</t>
        </is>
      </c>
      <c r="B164" s="18" t="inlineStr">
        <is>
          <t>협력사 ESG 경영</t>
        </is>
      </c>
      <c r="C164" s="16" t="n">
        <v>2</v>
      </c>
      <c r="D164" s="17" t="inlineStr">
        <is>
          <t>2단계</t>
        </is>
      </c>
      <c r="E164" s="16" t="n">
        <v>25</v>
      </c>
      <c r="F164" s="18" t="inlineStr">
        <is>
          <t>협력사 ESG 리스크 평가 지표, 평가 기준, 평가 일정 등의 관리 체계를 구축하고 있으나, 해당 협력사 ESG 리스크 관리 체계를 운용하지 않은 경우</t>
        </is>
      </c>
    </row>
    <row r="165" ht="29.25" customHeight="1">
      <c r="A165" s="27" t="inlineStr">
        <is>
          <t>S-6-1</t>
        </is>
      </c>
      <c r="B165" s="28" t="inlineStr">
        <is>
          <t>협력사 ESG 경영</t>
        </is>
      </c>
      <c r="C165" s="26" t="n">
        <v>3</v>
      </c>
      <c r="D165" s="27" t="inlineStr">
        <is>
          <t>3단계</t>
        </is>
      </c>
      <c r="E165" s="26" t="n">
        <v>50</v>
      </c>
      <c r="F165" s="28" t="inlineStr">
        <is>
          <t>협력사 ESG 리스크 관리 체계를 구축하고 있으나, 온라인/서면 등 비대면 방식으로 리스크 진단 행위만 실시한 경우</t>
        </is>
      </c>
    </row>
    <row r="166" ht="29.25" customHeight="1">
      <c r="A166" s="17" t="inlineStr">
        <is>
          <t>S-6-1</t>
        </is>
      </c>
      <c r="B166" s="18" t="inlineStr">
        <is>
          <t>협력사 ESG 경영</t>
        </is>
      </c>
      <c r="C166" s="16" t="n">
        <v>4</v>
      </c>
      <c r="D166" s="17" t="inlineStr">
        <is>
          <t>4단계</t>
        </is>
      </c>
      <c r="E166" s="16" t="n">
        <v>75</v>
      </c>
      <c r="F166" s="18" t="inlineStr">
        <is>
          <t>협력사 ESG 리스크 관리 체계를 구축하고 있으며, 온라인/서면 등 비대면 방식의 진단과 함께, 고위험 ESG 리스크에 대해서는 현장실사 행위까지 실시한 경우</t>
        </is>
      </c>
    </row>
    <row r="167" ht="29.25" customHeight="1">
      <c r="A167" s="27" t="inlineStr">
        <is>
          <t>S-6-1</t>
        </is>
      </c>
      <c r="B167" s="28" t="inlineStr">
        <is>
          <t>협력사 ESG 경영</t>
        </is>
      </c>
      <c r="C167" s="26" t="n">
        <v>5</v>
      </c>
      <c r="D167" s="27" t="inlineStr">
        <is>
          <t>5단계</t>
        </is>
      </c>
      <c r="E167" s="26" t="n">
        <v>100</v>
      </c>
      <c r="F167" s="28" t="inlineStr">
        <is>
          <t>협력사 ESG 리스크 관리 체계를 구축하고 있으며, 비대면 진단 및 현장실사 행위를 실시한 경우. 또한, 확인된 리스크에 대한 개선계획/개선활동 추진한 경우</t>
        </is>
      </c>
    </row>
    <row r="168" ht="15" customHeight="1">
      <c r="A168" s="17" t="inlineStr">
        <is>
          <t>S-6-2</t>
        </is>
      </c>
      <c r="B168" s="18" t="inlineStr">
        <is>
          <t>협력사 ESG 지원</t>
        </is>
      </c>
      <c r="C168" s="16" t="n">
        <v>1</v>
      </c>
      <c r="D168" s="18" t="inlineStr">
        <is>
          <t>요건1</t>
        </is>
      </c>
      <c r="E168" s="16" t="n">
        <v>0</v>
      </c>
      <c r="F168" s="18" t="inlineStr">
        <is>
          <t>협력사 ESG 지원에 관한 공식적 선언을 하고 있는 경우</t>
        </is>
      </c>
    </row>
    <row r="169" ht="15" customHeight="1">
      <c r="A169" s="27" t="inlineStr">
        <is>
          <t>S-6-2</t>
        </is>
      </c>
      <c r="B169" s="28" t="inlineStr">
        <is>
          <t>협력사 ESG 지원</t>
        </is>
      </c>
      <c r="C169" s="26" t="n">
        <v>2</v>
      </c>
      <c r="D169" s="28" t="inlineStr">
        <is>
          <t>요건2</t>
        </is>
      </c>
      <c r="E169" s="26" t="n">
        <v>25</v>
      </c>
      <c r="F169" s="28" t="inlineStr">
        <is>
          <t>협력사 ESG 지원 전략방향, 추진영역을 제시하고 있는 경우</t>
        </is>
      </c>
    </row>
    <row r="170" ht="15" customHeight="1">
      <c r="A170" s="17" t="inlineStr">
        <is>
          <t>S-6-2</t>
        </is>
      </c>
      <c r="B170" s="18" t="inlineStr">
        <is>
          <t>협력사 ESG 지원</t>
        </is>
      </c>
      <c r="C170" s="16" t="n">
        <v>3</v>
      </c>
      <c r="D170" s="18" t="inlineStr">
        <is>
          <t>요건3</t>
        </is>
      </c>
      <c r="E170" s="16" t="n">
        <v>50</v>
      </c>
      <c r="F170" s="18" t="inlineStr">
        <is>
          <t>협력사 ESG 지원 전략방향 및 추진영역별 세부 실행과제를 제시하고 있는 경우</t>
        </is>
      </c>
    </row>
    <row r="171" ht="15" customHeight="1">
      <c r="A171" s="27" t="inlineStr">
        <is>
          <t>S-6-2</t>
        </is>
      </c>
      <c r="B171" s="28" t="inlineStr">
        <is>
          <t>협력사 ESG 지원</t>
        </is>
      </c>
      <c r="C171" s="26" t="n">
        <v>4</v>
      </c>
      <c r="D171" s="28" t="inlineStr">
        <is>
          <t>요건4</t>
        </is>
      </c>
      <c r="E171" s="26" t="n">
        <v>75</v>
      </c>
      <c r="F171" s="28" t="inlineStr">
        <is>
          <t>협력사 ESG 지원에 관한 성과관리 지표(KPIs)를 제시하고 있는 경우</t>
        </is>
      </c>
    </row>
    <row r="172" ht="29.25" customHeight="1">
      <c r="A172" s="17" t="inlineStr">
        <is>
          <t>S-6-2</t>
        </is>
      </c>
      <c r="B172" s="18" t="inlineStr">
        <is>
          <t>협력사 ESG 지원</t>
        </is>
      </c>
      <c r="C172" s="16" t="n">
        <v>5</v>
      </c>
      <c r="D172" s="18" t="inlineStr">
        <is>
          <t>요건5</t>
        </is>
      </c>
      <c r="E172" s="16" t="n">
        <v>100</v>
      </c>
      <c r="F172" s="18" t="inlineStr">
        <is>
          <t>협력사 ESG 지원에 관한 성과관리 지표(KPIs) 달성을 위해 투자재원(예산), 역량투입(인력) 방안을 마련한 경우</t>
        </is>
      </c>
    </row>
    <row r="173" ht="29.25" customHeight="1">
      <c r="A173" s="27" t="inlineStr">
        <is>
          <t>S-7-1</t>
        </is>
      </c>
      <c r="B173" s="28" t="inlineStr">
        <is>
          <t>전략적 사회공헌</t>
        </is>
      </c>
      <c r="C173" s="26" t="n">
        <v>1</v>
      </c>
      <c r="D173" s="28" t="inlineStr">
        <is>
          <t>요건1</t>
        </is>
      </c>
      <c r="E173" s="26" t="n">
        <v>0</v>
      </c>
      <c r="F173" s="28" t="inlineStr">
        <is>
          <t>조직의 사회공헌을 대표할 수 있으며, 대사회적 메시지로써 활용되는 사회공헌 비전, 미션, 또는 슬로건이 있는 경우</t>
        </is>
      </c>
    </row>
    <row r="174" ht="15" customHeight="1">
      <c r="A174" s="17" t="inlineStr">
        <is>
          <t>S-7-1</t>
        </is>
      </c>
      <c r="B174" s="18" t="inlineStr">
        <is>
          <t>전략적 사회공헌</t>
        </is>
      </c>
      <c r="C174" s="16" t="n">
        <v>2</v>
      </c>
      <c r="D174" s="18" t="inlineStr">
        <is>
          <t>요건2</t>
        </is>
      </c>
      <c r="E174" s="16" t="n">
        <v>25</v>
      </c>
      <c r="F174" s="18" t="inlineStr">
        <is>
          <t>조직의 사회공헌 비전, 미션, 또는 슬로건을 달성하기 위한 사회공헌 추진 분야/영역을 제시하고 있는 경우</t>
        </is>
      </c>
    </row>
    <row r="175" ht="15" customHeight="1">
      <c r="A175" s="27" t="inlineStr">
        <is>
          <t>S-7-1</t>
        </is>
      </c>
      <c r="B175" s="28" t="inlineStr">
        <is>
          <t>전략적 사회공헌</t>
        </is>
      </c>
      <c r="C175" s="26" t="n">
        <v>3</v>
      </c>
      <c r="D175" s="28" t="inlineStr">
        <is>
          <t>요건3</t>
        </is>
      </c>
      <c r="E175" s="26" t="n">
        <v>50</v>
      </c>
      <c r="F175" s="28" t="inlineStr">
        <is>
          <t>조직의 사회공헌 추진 분야/영역별 대표 프로그램을 제시하고 있는 경우</t>
        </is>
      </c>
    </row>
    <row r="176" ht="15" customHeight="1">
      <c r="A176" s="17" t="inlineStr">
        <is>
          <t>S-7-1</t>
        </is>
      </c>
      <c r="B176" s="18" t="inlineStr">
        <is>
          <t>전략적 사회공헌</t>
        </is>
      </c>
      <c r="C176" s="16" t="n">
        <v>4</v>
      </c>
      <c r="D176" s="18" t="inlineStr">
        <is>
          <t>요건4</t>
        </is>
      </c>
      <c r="E176" s="16" t="n">
        <v>75</v>
      </c>
      <c r="F176" s="18" t="inlineStr">
        <is>
          <t>조직의 사회공헌 대표 프로그램별 중장기 실행계획을 마련하고 있는 경우</t>
        </is>
      </c>
    </row>
    <row r="177" ht="29.25" customHeight="1">
      <c r="A177" s="27" t="inlineStr">
        <is>
          <t>S-7-1</t>
        </is>
      </c>
      <c r="B177" s="28" t="inlineStr">
        <is>
          <t>전략적 사회공헌</t>
        </is>
      </c>
      <c r="C177" s="26" t="n">
        <v>5</v>
      </c>
      <c r="D177" s="28" t="inlineStr">
        <is>
          <t>요건5</t>
        </is>
      </c>
      <c r="E177" s="26" t="n">
        <v>100</v>
      </c>
      <c r="F177" s="28" t="inlineStr">
        <is>
          <t>조직의 대표 사회공헌 프로그램이 사업적 또는 사회적으로 기여하는 성과를 측정할 수 있는 성과관리 지표(KPIs)가 있는 경우</t>
        </is>
      </c>
    </row>
    <row r="178" ht="15" customHeight="1">
      <c r="A178" s="17" t="inlineStr">
        <is>
          <t>S-7-2</t>
        </is>
      </c>
      <c r="B178" s="18" t="inlineStr">
        <is>
          <t>구성원 봉사참여</t>
        </is>
      </c>
      <c r="C178" s="16" t="n">
        <v>1</v>
      </c>
      <c r="D178" s="17" t="inlineStr">
        <is>
          <t>1단계</t>
        </is>
      </c>
      <c r="E178" s="16" t="n">
        <v>0</v>
      </c>
      <c r="F178" s="18" t="inlineStr">
        <is>
          <t>봉사활동 참여 인센티브 제도가 없는 경우</t>
        </is>
      </c>
    </row>
    <row r="179" ht="29.25" customHeight="1">
      <c r="A179" s="27" t="inlineStr">
        <is>
          <t>S-7-2</t>
        </is>
      </c>
      <c r="B179" s="28" t="inlineStr">
        <is>
          <t>구성원 봉사참여</t>
        </is>
      </c>
      <c r="C179" s="26" t="n">
        <v>2</v>
      </c>
      <c r="D179" s="27" t="inlineStr">
        <is>
          <t>2단계</t>
        </is>
      </c>
      <c r="E179" s="26" t="n">
        <v>25</v>
      </c>
      <c r="F179" s="28" t="inlineStr">
        <is>
          <t>현재, 봉사활동 참여자에 대한 인센티브 제도가 없으나, 향후, 봉사활동 참여 인센티브 제도 도입계획이 수립된 경우</t>
        </is>
      </c>
    </row>
    <row r="180" ht="15" customHeight="1">
      <c r="A180" s="17" t="inlineStr">
        <is>
          <t>S-7-2</t>
        </is>
      </c>
      <c r="B180" s="18" t="inlineStr">
        <is>
          <t>구성원 봉사참여</t>
        </is>
      </c>
      <c r="C180" s="16" t="n">
        <v>3</v>
      </c>
      <c r="D180" s="17" t="inlineStr">
        <is>
          <t>3단계</t>
        </is>
      </c>
      <c r="E180" s="16" t="n">
        <v>50</v>
      </c>
      <c r="F180" s="18" t="inlineStr">
        <is>
          <t>상기 봉사활동 참여 인센티브 제도 중 1개를 도입하고 있는 경우</t>
        </is>
      </c>
    </row>
    <row r="181" ht="15" customHeight="1">
      <c r="A181" s="27" t="inlineStr">
        <is>
          <t>S-7-2</t>
        </is>
      </c>
      <c r="B181" s="28" t="inlineStr">
        <is>
          <t>구성원 봉사참여</t>
        </is>
      </c>
      <c r="C181" s="26" t="n">
        <v>4</v>
      </c>
      <c r="D181" s="27" t="inlineStr">
        <is>
          <t>4단계</t>
        </is>
      </c>
      <c r="E181" s="26" t="n">
        <v>75</v>
      </c>
      <c r="F181" s="28" t="inlineStr">
        <is>
          <t>상기 봉사활동 참여 인센티브 제도 중 2개를 도입하고 있는 경우</t>
        </is>
      </c>
    </row>
    <row r="182" ht="15" customHeight="1">
      <c r="A182" s="17" t="inlineStr">
        <is>
          <t>S-7-2</t>
        </is>
      </c>
      <c r="B182" s="18" t="inlineStr">
        <is>
          <t>구성원 봉사참여</t>
        </is>
      </c>
      <c r="C182" s="16" t="n">
        <v>5</v>
      </c>
      <c r="D182" s="17" t="inlineStr">
        <is>
          <t>5단계</t>
        </is>
      </c>
      <c r="E182" s="16" t="n">
        <v>100</v>
      </c>
      <c r="F182" s="18" t="inlineStr">
        <is>
          <t>상기 봉사활동 참여 인센티브 제도 중 3개 이상을 도입하고 있는 경우</t>
        </is>
      </c>
    </row>
    <row r="183" ht="29.25" customHeight="1">
      <c r="A183" s="27" t="inlineStr">
        <is>
          <t>S-8-1</t>
        </is>
      </c>
      <c r="B183" s="28" t="inlineStr">
        <is>
          <t>정보보호 시스템 구축</t>
        </is>
      </c>
      <c r="C183" s="26" t="n">
        <v>1</v>
      </c>
      <c r="D183" s="28" t="inlineStr">
        <is>
          <t>요건1</t>
        </is>
      </c>
      <c r="E183" s="26" t="n">
        <v>0</v>
      </c>
      <c r="F183" s="28" t="inlineStr">
        <is>
          <t>등기임원이나 미등기임원(또는 이에 준하는 관리자급 구성원)을 정보보호 최고책임자(CISO)로 선임하고 있는 경우</t>
        </is>
      </c>
    </row>
    <row r="184" ht="15" customHeight="1">
      <c r="A184" s="17" t="inlineStr">
        <is>
          <t>S-8-1</t>
        </is>
      </c>
      <c r="B184" s="18" t="inlineStr">
        <is>
          <t>정보보호 시스템 구축</t>
        </is>
      </c>
      <c r="C184" s="16" t="n">
        <v>2</v>
      </c>
      <c r="D184" s="18" t="inlineStr">
        <is>
          <t>요건2</t>
        </is>
      </c>
      <c r="E184" s="16" t="n">
        <v>25</v>
      </c>
      <c r="F184" s="18" t="inlineStr">
        <is>
          <t>정보보호 시스템의 안정성에 대해 제3자(또는 규제기관)의 인증을 획득하고 있는 경우</t>
        </is>
      </c>
    </row>
    <row r="185" ht="15" customHeight="1">
      <c r="A185" s="27" t="inlineStr">
        <is>
          <t>S-8-1</t>
        </is>
      </c>
      <c r="B185" s="28" t="inlineStr">
        <is>
          <t>정보보호 시스템 구축</t>
        </is>
      </c>
      <c r="C185" s="26" t="n">
        <v>3</v>
      </c>
      <c r="D185" s="28" t="inlineStr">
        <is>
          <t>요건3</t>
        </is>
      </c>
      <c r="E185" s="26" t="n">
        <v>50</v>
      </c>
      <c r="F185" s="28" t="inlineStr">
        <is>
          <t>모의해킹 등 외부공격에 대한 취약성 분석을 실시하고 있는 경우</t>
        </is>
      </c>
    </row>
    <row r="186" ht="15" customHeight="1">
      <c r="A186" s="17" t="inlineStr">
        <is>
          <t>S-8-1</t>
        </is>
      </c>
      <c r="B186" s="18" t="inlineStr">
        <is>
          <t>정보보호 시스템 구축</t>
        </is>
      </c>
      <c r="C186" s="16" t="n">
        <v>4</v>
      </c>
      <c r="D186" s="18" t="inlineStr">
        <is>
          <t>요건4</t>
        </is>
      </c>
      <c r="E186" s="16" t="n">
        <v>75</v>
      </c>
      <c r="F186" s="18" t="inlineStr">
        <is>
          <t>정보보호 공시(의무 또는 자율)사항을 이행하고 있는 경우</t>
        </is>
      </c>
    </row>
    <row r="187" ht="15" customHeight="1">
      <c r="A187" s="27" t="inlineStr">
        <is>
          <t>S-8-1</t>
        </is>
      </c>
      <c r="B187" s="28" t="inlineStr">
        <is>
          <t>정보보호 시스템 구축</t>
        </is>
      </c>
      <c r="C187" s="26" t="n">
        <v>5</v>
      </c>
      <c r="D187" s="28" t="inlineStr">
        <is>
          <t>요건5</t>
        </is>
      </c>
      <c r="E187" s="26" t="n">
        <v>100</v>
      </c>
      <c r="F187" s="28" t="inlineStr">
        <is>
          <t>정보보호 시스템의 손상 또는 외부공격 등 정보보안 관련 사고에 대비하기 위한 보험에 가입하고 있는 경우</t>
        </is>
      </c>
    </row>
    <row r="188" ht="15" customHeight="1">
      <c r="A188" s="17" t="inlineStr">
        <is>
          <t>G-1-2</t>
        </is>
      </c>
      <c r="B188" s="18" t="inlineStr">
        <is>
          <t>사외이사 비율</t>
        </is>
      </c>
      <c r="C188" s="16" t="n">
        <v>1</v>
      </c>
      <c r="D188" s="17" t="inlineStr">
        <is>
          <t>1단계</t>
        </is>
      </c>
      <c r="E188" s="16" t="n">
        <v>0</v>
      </c>
      <c r="F188" s="18" t="inlineStr">
        <is>
          <t>총원의 과반수로 구성되었으나, 사외이사가 3인인 경우</t>
        </is>
      </c>
    </row>
    <row r="189" ht="15" customHeight="1">
      <c r="A189" s="27" t="inlineStr">
        <is>
          <t>G-1-2</t>
        </is>
      </c>
      <c r="B189" s="28" t="inlineStr">
        <is>
          <t>사외이사 비율</t>
        </is>
      </c>
      <c r="C189" s="26" t="n">
        <v>2</v>
      </c>
      <c r="D189" s="27" t="inlineStr">
        <is>
          <t>2단계</t>
        </is>
      </c>
      <c r="E189" s="26" t="n">
        <v>25</v>
      </c>
      <c r="F189" s="27" t="inlineStr">
        <is>
          <t>3인 이상, 이사 총원의 과반수를 차지하고 있으나, 전체 이사 중 60% 미만인 경우</t>
        </is>
      </c>
    </row>
    <row r="190" ht="15" customHeight="1">
      <c r="A190" s="17" t="inlineStr">
        <is>
          <t>G-1-2</t>
        </is>
      </c>
      <c r="B190" s="18" t="inlineStr">
        <is>
          <t>사외이사 비율</t>
        </is>
      </c>
      <c r="C190" s="16" t="n">
        <v>3</v>
      </c>
      <c r="D190" s="17" t="inlineStr">
        <is>
          <t>3단계</t>
        </is>
      </c>
      <c r="E190" s="16" t="n">
        <v>50</v>
      </c>
      <c r="F190" s="17" t="inlineStr">
        <is>
          <t>3인 이상, 이사 총원의 과반수를 차지, 전체 이사 중 60% 이상 ~ 70% 미만인 경우</t>
        </is>
      </c>
    </row>
    <row r="191" ht="15" customHeight="1">
      <c r="A191" s="27" t="inlineStr">
        <is>
          <t>G-1-2</t>
        </is>
      </c>
      <c r="B191" s="28" t="inlineStr">
        <is>
          <t>사외이사 비율</t>
        </is>
      </c>
      <c r="C191" s="26" t="n">
        <v>4</v>
      </c>
      <c r="D191" s="27" t="inlineStr">
        <is>
          <t>4단계</t>
        </is>
      </c>
      <c r="E191" s="26" t="n">
        <v>75</v>
      </c>
      <c r="F191" s="27" t="inlineStr">
        <is>
          <t>3인 이상, 이사 총원의 과반수를 차지, 전체 이사 중 70% 이상 ~ 80% 미만인 경우</t>
        </is>
      </c>
    </row>
    <row r="192" ht="15" customHeight="1">
      <c r="A192" s="17" t="inlineStr">
        <is>
          <t>G-1-2</t>
        </is>
      </c>
      <c r="B192" s="18" t="inlineStr">
        <is>
          <t>사외이사 비율</t>
        </is>
      </c>
      <c r="C192" s="16" t="n">
        <v>5</v>
      </c>
      <c r="D192" s="17" t="inlineStr">
        <is>
          <t>5단계</t>
        </is>
      </c>
      <c r="E192" s="16" t="n">
        <v>100</v>
      </c>
      <c r="F192" s="17" t="inlineStr">
        <is>
          <t>3인 이상, 이사 총원의 과반수를 차지, 전체 이사 중 80% 이상인 경우</t>
        </is>
      </c>
    </row>
    <row r="193" ht="15" customHeight="1">
      <c r="A193" s="27" t="inlineStr">
        <is>
          <t>G-1-3</t>
        </is>
      </c>
      <c r="B193" s="28" t="inlineStr">
        <is>
          <t>대표이사와 이사회 의장 분리</t>
        </is>
      </c>
      <c r="C193" s="26" t="n">
        <v>1</v>
      </c>
      <c r="D193" s="27" t="inlineStr">
        <is>
          <t>1단계</t>
        </is>
      </c>
      <c r="E193" s="26" t="n">
        <v>0</v>
      </c>
      <c r="F193" s="28" t="inlineStr">
        <is>
          <t>현재 대표이사와 이사회 의장이 동일한 경우</t>
        </is>
      </c>
    </row>
    <row r="194" ht="15" customHeight="1">
      <c r="A194" s="17" t="inlineStr">
        <is>
          <t>G-1-3</t>
        </is>
      </c>
      <c r="B194" s="18" t="inlineStr">
        <is>
          <t>대표이사와 이사회 의장 분리</t>
        </is>
      </c>
      <c r="C194" s="16" t="n">
        <v>2</v>
      </c>
      <c r="D194" s="17" t="inlineStr">
        <is>
          <t>2단계</t>
        </is>
      </c>
      <c r="E194" s="16" t="n">
        <v>25</v>
      </c>
      <c r="F194" s="18" t="inlineStr">
        <is>
          <t>과거 대표이사 또는 이사회 의장을 역임했던 자가 현재 이사회 의장인 경우</t>
        </is>
      </c>
    </row>
    <row r="195" ht="29.25" customHeight="1">
      <c r="A195" s="27" t="inlineStr">
        <is>
          <t>G-1-3</t>
        </is>
      </c>
      <c r="B195" s="28" t="inlineStr">
        <is>
          <t>대표이사와 이사회 의장 분리</t>
        </is>
      </c>
      <c r="C195" s="26" t="n">
        <v>3</v>
      </c>
      <c r="D195" s="27" t="inlineStr">
        <is>
          <t>3단계</t>
        </is>
      </c>
      <c r="E195" s="26" t="n">
        <v>50</v>
      </c>
      <c r="F195" s="28" t="inlineStr">
        <is>
          <t>현재 이사회 의장이 과거 또는 현재의 대표이사나 이사회 의장을 역임하지 않았으나, 모회사 또는 자회사의 임원 등 독립성이 결여된 자가 이사회 의장인 경우</t>
        </is>
      </c>
    </row>
    <row r="196" ht="43.5" customHeight="1">
      <c r="A196" s="17" t="inlineStr">
        <is>
          <t>G-1-3</t>
        </is>
      </c>
      <c r="B196" s="18" t="inlineStr">
        <is>
          <t>대표이사와 이사회 의장 분리</t>
        </is>
      </c>
      <c r="C196" s="16" t="n">
        <v>4</v>
      </c>
      <c r="D196" s="17" t="inlineStr">
        <is>
          <t>4단계</t>
        </is>
      </c>
      <c r="E196" s="16" t="n">
        <v>75</v>
      </c>
      <c r="F196" s="18" t="inlineStr">
        <is>
          <t>과거 또는 현재 대표이사이거나, 이사회 의장을 역임하였거나, 독립성이 결여된 자가 현재 이사회 의장인 경우. 단, 이사회 의장과 이해관계 상충하는 안건 등에 있어, 이사회 의장 역할을 대신하는 ‘선임사외이사’를 임명하고 있는 경우</t>
        </is>
      </c>
    </row>
    <row r="197" ht="29.25" customHeight="1">
      <c r="A197" s="27" t="inlineStr">
        <is>
          <t>G-1-3</t>
        </is>
      </c>
      <c r="B197" s="28" t="inlineStr">
        <is>
          <t>대표이사와 이사회 의장 분리</t>
        </is>
      </c>
      <c r="C197" s="26" t="n">
        <v>5</v>
      </c>
      <c r="D197" s="27" t="inlineStr">
        <is>
          <t>5단계</t>
        </is>
      </c>
      <c r="E197" s="26" t="n">
        <v>100</v>
      </c>
      <c r="F197" s="28" t="inlineStr">
        <is>
          <t>과거 또는 현재 대표이사이거나, 이사회 의장을 역임한 적이 없으며, 회사로부터 독립성이 확보된 이사가 현재 이사회의 의장인 경우</t>
        </is>
      </c>
    </row>
    <row r="198" ht="15" customHeight="1">
      <c r="A198" s="17" t="inlineStr">
        <is>
          <t>G-1-4</t>
        </is>
      </c>
      <c r="B198" s="18" t="inlineStr">
        <is>
          <t>이사회 성별 다양성</t>
        </is>
      </c>
      <c r="C198" s="16" t="n">
        <v>1</v>
      </c>
      <c r="D198" s="17" t="inlineStr">
        <is>
          <t>1단계</t>
        </is>
      </c>
      <c r="E198" s="16" t="n">
        <v>0</v>
      </c>
      <c r="F198" s="18" t="inlineStr">
        <is>
          <t>이사회 내 여성 이사가 선임되어 있지 않는 경우</t>
        </is>
      </c>
    </row>
    <row r="199" ht="15" customHeight="1">
      <c r="A199" s="27" t="inlineStr">
        <is>
          <t>G-1-4</t>
        </is>
      </c>
      <c r="B199" s="28" t="inlineStr">
        <is>
          <t>이사회 성별 다양성</t>
        </is>
      </c>
      <c r="C199" s="26" t="n">
        <v>2</v>
      </c>
      <c r="D199" s="27" t="inlineStr">
        <is>
          <t>2단계</t>
        </is>
      </c>
      <c r="E199" s="26" t="n">
        <v>25</v>
      </c>
      <c r="F199" s="28" t="inlineStr">
        <is>
          <t>이사회 내 여성 이사가 1명만 선임되어 있는 경우</t>
        </is>
      </c>
    </row>
    <row r="200" ht="15" customHeight="1">
      <c r="A200" s="17" t="inlineStr">
        <is>
          <t>G-1-4</t>
        </is>
      </c>
      <c r="B200" s="18" t="inlineStr">
        <is>
          <t>이사회 성별 다양성</t>
        </is>
      </c>
      <c r="C200" s="16" t="n">
        <v>3</v>
      </c>
      <c r="D200" s="17" t="inlineStr">
        <is>
          <t>3단계</t>
        </is>
      </c>
      <c r="E200" s="16" t="n">
        <v>50</v>
      </c>
      <c r="F200" s="18" t="inlineStr">
        <is>
          <t>이사회 내 여성 이사가 2명 이상이며, 그 비율이 10% 이상 ~ 20% 미만인 경우</t>
        </is>
      </c>
    </row>
    <row r="201" ht="15" customHeight="1">
      <c r="A201" s="27" t="inlineStr">
        <is>
          <t>G-1-4</t>
        </is>
      </c>
      <c r="B201" s="28" t="inlineStr">
        <is>
          <t>이사회 성별 다양성</t>
        </is>
      </c>
      <c r="C201" s="26" t="n">
        <v>4</v>
      </c>
      <c r="D201" s="27" t="inlineStr">
        <is>
          <t>4단계</t>
        </is>
      </c>
      <c r="E201" s="26" t="n">
        <v>75</v>
      </c>
      <c r="F201" s="28" t="inlineStr">
        <is>
          <t>이사회 내 여성 이사가 2명 이상이며, 그 비율이 20% 이상 ~ 30% 미만인 경우</t>
        </is>
      </c>
    </row>
    <row r="202" ht="29.25" customHeight="1">
      <c r="A202" s="17" t="inlineStr">
        <is>
          <t>G-1-4</t>
        </is>
      </c>
      <c r="B202" s="18" t="inlineStr">
        <is>
          <t>이사회 성별 다양성</t>
        </is>
      </c>
      <c r="C202" s="16" t="n">
        <v>5</v>
      </c>
      <c r="D202" s="17" t="inlineStr">
        <is>
          <t>5단계</t>
        </is>
      </c>
      <c r="E202" s="16" t="n">
        <v>100</v>
      </c>
      <c r="F202" s="18" t="inlineStr">
        <is>
          <t>이사회 내 여성 이사가 2명 이상이며, 그 비율이 30% 이상인 경우 * 이사회 내 다수 성(性)이 여성일 경우에는 반대로 적용</t>
        </is>
      </c>
    </row>
    <row r="203" ht="15" customHeight="1">
      <c r="A203" s="27" t="inlineStr">
        <is>
          <t>G-1-5</t>
        </is>
      </c>
      <c r="B203" s="28" t="inlineStr">
        <is>
          <t>사외이사 전문성</t>
        </is>
      </c>
      <c r="C203" s="26" t="n">
        <v>1</v>
      </c>
      <c r="D203" s="27" t="inlineStr">
        <is>
          <t>1단계</t>
        </is>
      </c>
      <c r="E203" s="26" t="n">
        <v>0</v>
      </c>
      <c r="F203" s="28" t="inlineStr">
        <is>
          <t>동종산업 경력을 보유한 사외이사가 없는 경우</t>
        </is>
      </c>
    </row>
    <row r="204" ht="15" customHeight="1">
      <c r="A204" s="17" t="inlineStr">
        <is>
          <t>G-1-5</t>
        </is>
      </c>
      <c r="B204" s="18" t="inlineStr">
        <is>
          <t>사외이사 전문성</t>
        </is>
      </c>
      <c r="C204" s="16" t="n">
        <v>2</v>
      </c>
      <c r="D204" s="17" t="inlineStr">
        <is>
          <t>2단계</t>
        </is>
      </c>
      <c r="E204" s="16" t="n">
        <v>50</v>
      </c>
      <c r="F204" s="18" t="inlineStr">
        <is>
          <t>동종산업 경력을 보유한 사외이사가 1명 이상인 경우</t>
        </is>
      </c>
    </row>
    <row r="205" ht="15" customHeight="1">
      <c r="A205" s="27" t="inlineStr">
        <is>
          <t>G-1-5</t>
        </is>
      </c>
      <c r="B205" s="28" t="inlineStr">
        <is>
          <t>사외이사 전문성</t>
        </is>
      </c>
      <c r="C205" s="26" t="n">
        <v>3</v>
      </c>
      <c r="D205" s="27" t="inlineStr">
        <is>
          <t>3단계</t>
        </is>
      </c>
      <c r="E205" s="26" t="n">
        <v>100</v>
      </c>
      <c r="F205" s="28" t="inlineStr">
        <is>
          <t>동종산업 경력을 보유한 사외이사가 50% 이상인 경우</t>
        </is>
      </c>
    </row>
    <row r="206" ht="15" customHeight="1">
      <c r="A206" s="17" t="inlineStr">
        <is>
          <t>G-2-1</t>
        </is>
      </c>
      <c r="B206" s="18" t="inlineStr">
        <is>
          <t>전체 이사 출석률</t>
        </is>
      </c>
      <c r="C206" s="16" t="n">
        <v>1</v>
      </c>
      <c r="D206" s="17" t="inlineStr">
        <is>
          <t>1단계</t>
        </is>
      </c>
      <c r="E206" s="16" t="n">
        <v>0</v>
      </c>
      <c r="F206" s="18" t="inlineStr">
        <is>
          <t>이사회 구성원 평균 출석률이 75% 미만인 경우</t>
        </is>
      </c>
    </row>
    <row r="207" ht="15" customHeight="1">
      <c r="A207" s="27" t="inlineStr">
        <is>
          <t>G-2-1</t>
        </is>
      </c>
      <c r="B207" s="28" t="inlineStr">
        <is>
          <t>전체 이사 출석률</t>
        </is>
      </c>
      <c r="C207" s="26" t="n">
        <v>2</v>
      </c>
      <c r="D207" s="27" t="inlineStr">
        <is>
          <t>2단계</t>
        </is>
      </c>
      <c r="E207" s="26" t="n">
        <v>25</v>
      </c>
      <c r="F207" s="28" t="inlineStr">
        <is>
          <t>이사회 구성원 평균 출석률이 75% 이상 85% 미만인 경우</t>
        </is>
      </c>
    </row>
    <row r="208" ht="15" customHeight="1">
      <c r="A208" s="17" t="inlineStr">
        <is>
          <t>G-2-1</t>
        </is>
      </c>
      <c r="B208" s="18" t="inlineStr">
        <is>
          <t>전체 이사 출석률</t>
        </is>
      </c>
      <c r="C208" s="16" t="n">
        <v>3</v>
      </c>
      <c r="D208" s="17" t="inlineStr">
        <is>
          <t>3단계</t>
        </is>
      </c>
      <c r="E208" s="16" t="n">
        <v>50</v>
      </c>
      <c r="F208" s="18" t="inlineStr">
        <is>
          <t>이사회 구성원 평균 출석률이 85% 이상 90% 미만인 경우</t>
        </is>
      </c>
    </row>
    <row r="209" ht="15" customHeight="1">
      <c r="A209" s="27" t="inlineStr">
        <is>
          <t>G-2-1</t>
        </is>
      </c>
      <c r="B209" s="28" t="inlineStr">
        <is>
          <t>전체 이사 출석률</t>
        </is>
      </c>
      <c r="C209" s="26" t="n">
        <v>4</v>
      </c>
      <c r="D209" s="27" t="inlineStr">
        <is>
          <t>4단계</t>
        </is>
      </c>
      <c r="E209" s="26" t="n">
        <v>75</v>
      </c>
      <c r="F209" s="28" t="inlineStr">
        <is>
          <t>이사회 구성원 평균 출석률이 90% 이상 95% 미만인 경우</t>
        </is>
      </c>
    </row>
    <row r="210" ht="15" customHeight="1">
      <c r="A210" s="17" t="inlineStr">
        <is>
          <t>G-2-1</t>
        </is>
      </c>
      <c r="B210" s="18" t="inlineStr">
        <is>
          <t>전체 이사 출석률</t>
        </is>
      </c>
      <c r="C210" s="16" t="n">
        <v>5</v>
      </c>
      <c r="D210" s="17" t="inlineStr">
        <is>
          <t>5단계</t>
        </is>
      </c>
      <c r="E210" s="16" t="n">
        <v>100</v>
      </c>
      <c r="F210" s="18" t="inlineStr">
        <is>
          <t>이사회 구성원 평균 출석률이 95% 이상인 경우</t>
        </is>
      </c>
    </row>
    <row r="211" ht="15" customHeight="1">
      <c r="A211" s="27" t="inlineStr">
        <is>
          <t>G-2-2</t>
        </is>
      </c>
      <c r="B211" s="28" t="inlineStr">
        <is>
          <t>사내이사 출석률</t>
        </is>
      </c>
      <c r="C211" s="26" t="n">
        <v>1</v>
      </c>
      <c r="D211" s="27" t="inlineStr">
        <is>
          <t>1단계</t>
        </is>
      </c>
      <c r="E211" s="26" t="n">
        <v>0</v>
      </c>
      <c r="F211" s="28" t="inlineStr">
        <is>
          <t>사내이사 평균 출석률이 75% 미만인 경우</t>
        </is>
      </c>
    </row>
    <row r="212" ht="15" customHeight="1">
      <c r="A212" s="17" t="inlineStr">
        <is>
          <t>G-2-2</t>
        </is>
      </c>
      <c r="B212" s="18" t="inlineStr">
        <is>
          <t>사내이사 출석률</t>
        </is>
      </c>
      <c r="C212" s="16" t="n">
        <v>2</v>
      </c>
      <c r="D212" s="17" t="inlineStr">
        <is>
          <t>2단계</t>
        </is>
      </c>
      <c r="E212" s="16" t="n">
        <v>25</v>
      </c>
      <c r="F212" s="18" t="inlineStr">
        <is>
          <t>사내이사 평균 출석률이 75% 이상 85% 미만인 경우</t>
        </is>
      </c>
    </row>
    <row r="213" ht="15" customHeight="1">
      <c r="A213" s="27" t="inlineStr">
        <is>
          <t>G-2-2</t>
        </is>
      </c>
      <c r="B213" s="28" t="inlineStr">
        <is>
          <t>사내이사 출석률</t>
        </is>
      </c>
      <c r="C213" s="26" t="n">
        <v>3</v>
      </c>
      <c r="D213" s="27" t="inlineStr">
        <is>
          <t>3단계</t>
        </is>
      </c>
      <c r="E213" s="26" t="n">
        <v>50</v>
      </c>
      <c r="F213" s="28" t="inlineStr">
        <is>
          <t>사내이사 평균 출석률이 85% 이상 90% 미만인 경우</t>
        </is>
      </c>
    </row>
    <row r="214" ht="15" customHeight="1">
      <c r="A214" s="17" t="inlineStr">
        <is>
          <t>G-2-2</t>
        </is>
      </c>
      <c r="B214" s="18" t="inlineStr">
        <is>
          <t>사내이사 출석률</t>
        </is>
      </c>
      <c r="C214" s="16" t="n">
        <v>4</v>
      </c>
      <c r="D214" s="17" t="inlineStr">
        <is>
          <t>4단계</t>
        </is>
      </c>
      <c r="E214" s="16" t="n">
        <v>75</v>
      </c>
      <c r="F214" s="18" t="inlineStr">
        <is>
          <t>사내이사 평균 출석률이 90% 이상 95% 미만인 경우</t>
        </is>
      </c>
    </row>
    <row r="215" ht="15" customHeight="1">
      <c r="A215" s="27" t="inlineStr">
        <is>
          <t>G-2-2</t>
        </is>
      </c>
      <c r="B215" s="28" t="inlineStr">
        <is>
          <t>사내이사 출석률</t>
        </is>
      </c>
      <c r="C215" s="26" t="n">
        <v>5</v>
      </c>
      <c r="D215" s="27" t="inlineStr">
        <is>
          <t>5단계</t>
        </is>
      </c>
      <c r="E215" s="26" t="n">
        <v>100</v>
      </c>
      <c r="F215" s="28" t="inlineStr">
        <is>
          <t>사내이사 평균 출석률이 95% 이상인 경우</t>
        </is>
      </c>
    </row>
    <row r="216" ht="29.25" customHeight="1">
      <c r="A216" s="17" t="inlineStr">
        <is>
          <t>G-2-3</t>
        </is>
      </c>
      <c r="B216" s="18" t="inlineStr">
        <is>
          <t>이사회 산하 위원회</t>
        </is>
      </c>
      <c r="C216" s="16" t="n">
        <v>1</v>
      </c>
      <c r="D216" s="18" t="inlineStr">
        <is>
          <t>요건1</t>
        </is>
      </c>
      <c r="E216" s="16" t="n">
        <v>0</v>
      </c>
      <c r="F216" s="18" t="inlineStr">
        <is>
          <t>이사회 산하 모든 위원회 설치는 정관에 근거하고 있으며, 모든 위원회에 대해 ‘운영규정’을 제정하고 있는 경우</t>
        </is>
      </c>
    </row>
    <row r="217" ht="29.25" customHeight="1">
      <c r="A217" s="27" t="inlineStr">
        <is>
          <t>G-2-3</t>
        </is>
      </c>
      <c r="B217" s="28" t="inlineStr">
        <is>
          <t>이사회 산하 위원회</t>
        </is>
      </c>
      <c r="C217" s="26" t="n">
        <v>2</v>
      </c>
      <c r="D217" s="28" t="inlineStr">
        <is>
          <t>요건2</t>
        </is>
      </c>
      <c r="E217" s="26" t="n">
        <v>25</v>
      </c>
      <c r="F217" s="28" t="inlineStr">
        <is>
          <t>특정 이사(사내이사, 사외이사, 기타비상임이사)가 이사회 산하 모든 위원회의 구성원으로 선임되어 있지 않은 경우</t>
        </is>
      </c>
    </row>
    <row r="218" ht="15" customHeight="1">
      <c r="A218" s="17" t="inlineStr">
        <is>
          <t>G-2-3</t>
        </is>
      </c>
      <c r="B218" s="18" t="inlineStr">
        <is>
          <t>이사회 산하 위원회</t>
        </is>
      </c>
      <c r="C218" s="16" t="n">
        <v>3</v>
      </c>
      <c r="D218" s="18" t="inlineStr">
        <is>
          <t>요건3</t>
        </is>
      </c>
      <c r="E218" s="16" t="n">
        <v>50</v>
      </c>
      <c r="F218" s="18" t="inlineStr">
        <is>
          <t>이사회 산하 모든 위원회가 구성원의 과반수 이상을 사외이사로 선임하고 있는 경우</t>
        </is>
      </c>
    </row>
    <row r="219" ht="15" customHeight="1">
      <c r="A219" s="27" t="inlineStr">
        <is>
          <t>G-2-3</t>
        </is>
      </c>
      <c r="B219" s="28" t="inlineStr">
        <is>
          <t>이사회 산하 위원회</t>
        </is>
      </c>
      <c r="C219" s="26" t="n">
        <v>4</v>
      </c>
      <c r="D219" s="28" t="inlineStr">
        <is>
          <t>요건4</t>
        </is>
      </c>
      <c r="E219" s="26" t="n">
        <v>75</v>
      </c>
      <c r="F219" s="28" t="inlineStr">
        <is>
          <t>직전 회계연도 중 이사회 산하 위원회 개최 횟수가 평균적으로 3회 이상인 경우</t>
        </is>
      </c>
    </row>
    <row r="220" ht="15" customHeight="1">
      <c r="A220" s="17" t="inlineStr">
        <is>
          <t>G-2-3</t>
        </is>
      </c>
      <c r="B220" s="18" t="inlineStr">
        <is>
          <t>이사회 산하 위원회</t>
        </is>
      </c>
      <c r="C220" s="16" t="n">
        <v>5</v>
      </c>
      <c r="D220" s="18" t="inlineStr">
        <is>
          <t>요건5</t>
        </is>
      </c>
      <c r="E220" s="16" t="n">
        <v>100</v>
      </c>
      <c r="F220" s="18" t="inlineStr">
        <is>
          <t>직전 회계연도 중 이사회 산하 모든 위원회가 심의/의결 안건을 다룬 경우</t>
        </is>
      </c>
    </row>
    <row r="221" ht="15" customHeight="1">
      <c r="A221" s="27" t="inlineStr">
        <is>
          <t>G-2-4</t>
        </is>
      </c>
      <c r="B221" s="28" t="inlineStr">
        <is>
          <t>이사회 안건 처리</t>
        </is>
      </c>
      <c r="C221" s="26" t="n">
        <v>1</v>
      </c>
      <c r="D221" s="27" t="inlineStr">
        <is>
          <t>1단계</t>
        </is>
      </c>
      <c r="E221" s="26" t="n">
        <v>0</v>
      </c>
      <c r="F221" s="28" t="inlineStr">
        <is>
          <t>안건에 대한 수정, 보완, 반대하는 의견이 한 건도 없는 경우</t>
        </is>
      </c>
    </row>
    <row r="222" ht="15" customHeight="1">
      <c r="A222" s="17" t="inlineStr">
        <is>
          <t>G-2-4</t>
        </is>
      </c>
      <c r="B222" s="18" t="inlineStr">
        <is>
          <t>이사회 안건 처리</t>
        </is>
      </c>
      <c r="C222" s="16" t="n">
        <v>2</v>
      </c>
      <c r="D222" s="17" t="inlineStr">
        <is>
          <t>2단계</t>
        </is>
      </c>
      <c r="E222" s="16" t="n">
        <v>50</v>
      </c>
      <c r="F222" s="18" t="inlineStr">
        <is>
          <t>안건에 대한 수정, 보완, 반대하는 의견이 한 건 이상 존재하는 경우</t>
        </is>
      </c>
    </row>
    <row r="223" ht="15" customHeight="1">
      <c r="A223" s="27" t="inlineStr">
        <is>
          <t>G-2-4</t>
        </is>
      </c>
      <c r="B223" s="28" t="inlineStr">
        <is>
          <t>이사회 안건 처리</t>
        </is>
      </c>
      <c r="C223" s="26" t="n">
        <v>3</v>
      </c>
      <c r="D223" s="27" t="inlineStr">
        <is>
          <t>3단계</t>
        </is>
      </c>
      <c r="E223" s="26" t="n">
        <v>100</v>
      </c>
      <c r="F223" s="28" t="inlineStr">
        <is>
          <t>안건에 대한 수정, 보완, 반대하는 의견이 5% 이상 존재하는 경우</t>
        </is>
      </c>
    </row>
    <row r="224" ht="15" customHeight="1">
      <c r="A224" s="17" t="inlineStr">
        <is>
          <t>G-3-1</t>
        </is>
      </c>
      <c r="B224" s="18" t="inlineStr">
        <is>
          <t>주주총회 소집 공고</t>
        </is>
      </c>
      <c r="C224" s="16" t="n">
        <v>1</v>
      </c>
      <c r="D224" s="17" t="inlineStr">
        <is>
          <t>1단계</t>
        </is>
      </c>
      <c r="E224" s="16" t="n">
        <v>0</v>
      </c>
      <c r="F224" s="18" t="inlineStr">
        <is>
          <t>주주총회 소집 공고를 서면으로만 통지하거나, 주주의 동의를 받아 전자문서로만 하는 경우</t>
        </is>
      </c>
    </row>
    <row r="225" ht="15" customHeight="1">
      <c r="A225" s="27" t="inlineStr">
        <is>
          <t>G-3-1</t>
        </is>
      </c>
      <c r="B225" s="28" t="inlineStr">
        <is>
          <t>주주총회 소집 공고</t>
        </is>
      </c>
      <c r="C225" s="26" t="n">
        <v>2</v>
      </c>
      <c r="D225" s="27" t="inlineStr">
        <is>
          <t>2단계</t>
        </is>
      </c>
      <c r="E225" s="26" t="n">
        <v>25</v>
      </c>
      <c r="F225" s="28" t="inlineStr">
        <is>
          <t>서면 또는 전자문서로 통지하는 방식 外 1개의 추가 방식을 이용하는 경우</t>
        </is>
      </c>
    </row>
    <row r="226" ht="15" customHeight="1">
      <c r="A226" s="17" t="inlineStr">
        <is>
          <t>G-3-1</t>
        </is>
      </c>
      <c r="B226" s="18" t="inlineStr">
        <is>
          <t>주주총회 소집 공고</t>
        </is>
      </c>
      <c r="C226" s="16" t="n">
        <v>3</v>
      </c>
      <c r="D226" s="17" t="inlineStr">
        <is>
          <t>3단계</t>
        </is>
      </c>
      <c r="E226" s="16" t="n">
        <v>50</v>
      </c>
      <c r="F226" s="18" t="inlineStr">
        <is>
          <t>서면 또는 전자문서로 통지하는 방식 外 2개의 추가 방식을 이용하는 경우</t>
        </is>
      </c>
    </row>
    <row r="227" ht="15" customHeight="1">
      <c r="A227" s="27" t="inlineStr">
        <is>
          <t>G-3-1</t>
        </is>
      </c>
      <c r="B227" s="28" t="inlineStr">
        <is>
          <t>주주총회 소집 공고</t>
        </is>
      </c>
      <c r="C227" s="26" t="n">
        <v>4</v>
      </c>
      <c r="D227" s="27" t="inlineStr">
        <is>
          <t>4단계</t>
        </is>
      </c>
      <c r="E227" s="26" t="n">
        <v>75</v>
      </c>
      <c r="F227" s="28" t="inlineStr">
        <is>
          <t>서면 또는 전자문서로 통지하는 방식 外 3개의 추가 방식을 이용하는 경우</t>
        </is>
      </c>
    </row>
    <row r="228" ht="15" customHeight="1">
      <c r="A228" s="17" t="inlineStr">
        <is>
          <t>G-3-1</t>
        </is>
      </c>
      <c r="B228" s="18" t="inlineStr">
        <is>
          <t>주주총회 소집 공고</t>
        </is>
      </c>
      <c r="C228" s="16" t="n">
        <v>5</v>
      </c>
      <c r="D228" s="17" t="inlineStr">
        <is>
          <t>5단계</t>
        </is>
      </c>
      <c r="E228" s="16" t="n">
        <v>100</v>
      </c>
      <c r="F228" s="18" t="inlineStr">
        <is>
          <t>서면 또는 전자문서로 통지하는 방식 外 4개 이상의 추가 방식을 이용하는 경우</t>
        </is>
      </c>
    </row>
    <row r="229" ht="15" customHeight="1">
      <c r="A229" s="27" t="inlineStr">
        <is>
          <t>G-3-2</t>
        </is>
      </c>
      <c r="B229" s="28" t="inlineStr">
        <is>
          <t>주주총회 집중일 이외 개최</t>
        </is>
      </c>
      <c r="C229" s="26" t="n">
        <v>1</v>
      </c>
      <c r="D229" s="28" t="inlineStr">
        <is>
          <t>요건1</t>
        </is>
      </c>
      <c r="E229" s="26" t="n">
        <v>0</v>
      </c>
      <c r="F229" s="28" t="inlineStr">
        <is>
          <t>주주총회 개최일을 지정하는데 있어, 재무결산 및 감사보고서 발행일을 고려함</t>
        </is>
      </c>
    </row>
    <row r="230" ht="15" customHeight="1">
      <c r="A230" s="17" t="inlineStr">
        <is>
          <t>G-3-2</t>
        </is>
      </c>
      <c r="B230" s="18" t="inlineStr">
        <is>
          <t>주주총회 집중일 이외 개최</t>
        </is>
      </c>
      <c r="C230" s="16" t="n">
        <v>2</v>
      </c>
      <c r="D230" s="18" t="inlineStr">
        <is>
          <t>요건2</t>
        </is>
      </c>
      <c r="E230" s="16" t="n">
        <v>25</v>
      </c>
      <c r="F230" s="18" t="inlineStr">
        <is>
          <t>주주총회 개최일을 지정하는데 있어, 조직의 연간 업무계획 및 경영진 등의 업무일정을 고려함</t>
        </is>
      </c>
    </row>
    <row r="231" ht="15" customHeight="1">
      <c r="A231" s="27" t="inlineStr">
        <is>
          <t>G-3-2</t>
        </is>
      </c>
      <c r="B231" s="28" t="inlineStr">
        <is>
          <t>주주총회 집중일 이외 개최</t>
        </is>
      </c>
      <c r="C231" s="26" t="n">
        <v>3</v>
      </c>
      <c r="D231" s="28" t="inlineStr">
        <is>
          <t>요건3</t>
        </is>
      </c>
      <c r="E231" s="26" t="n">
        <v>50</v>
      </c>
      <c r="F231" s="28" t="inlineStr">
        <is>
          <t>주주총회 개최일을 지정하는데 있어, 연기금, 기관투자자, 의결권자문사 등의 주요 시장 참여자 의견을 수렴함</t>
        </is>
      </c>
    </row>
    <row r="232" ht="15" customHeight="1">
      <c r="A232" s="17" t="inlineStr">
        <is>
          <t>G-3-2</t>
        </is>
      </c>
      <c r="B232" s="18" t="inlineStr">
        <is>
          <t>주주총회 집중일 이외 개최</t>
        </is>
      </c>
      <c r="C232" s="16" t="n">
        <v>4</v>
      </c>
      <c r="D232" s="18" t="inlineStr">
        <is>
          <t>요건4</t>
        </is>
      </c>
      <c r="E232" s="16" t="n">
        <v>75</v>
      </c>
      <c r="F232" s="18" t="inlineStr">
        <is>
          <t>주주총회 개최일을 지정하는데 있어, 소액주주 및 기타 이해관계자 등의 의견을 수렴함</t>
        </is>
      </c>
    </row>
    <row r="233" ht="15" customHeight="1">
      <c r="A233" s="27" t="inlineStr">
        <is>
          <t>G-3-2</t>
        </is>
      </c>
      <c r="B233" s="28" t="inlineStr">
        <is>
          <t>주주총회 집중일 이외 개최</t>
        </is>
      </c>
      <c r="C233" s="26" t="n">
        <v>5</v>
      </c>
      <c r="D233" s="28" t="inlineStr">
        <is>
          <t>요건5</t>
        </is>
      </c>
      <c r="E233" s="26" t="n">
        <v>100</v>
      </c>
      <c r="F233" s="28" t="inlineStr">
        <is>
          <t>주주총회 개최일을 지정하는데 있어, 주주총회 예상 집중일을 고려함</t>
        </is>
      </c>
    </row>
    <row r="234" ht="15" customHeight="1">
      <c r="A234" s="17" t="inlineStr">
        <is>
          <t>G-3-4</t>
        </is>
      </c>
      <c r="B234" s="18" t="inlineStr">
        <is>
          <t>배당정책 및 이행</t>
        </is>
      </c>
      <c r="C234" s="16" t="n">
        <v>1</v>
      </c>
      <c r="D234" s="17" t="inlineStr">
        <is>
          <t>1단계</t>
        </is>
      </c>
      <c r="E234" s="16" t="n">
        <v>0</v>
      </c>
      <c r="F234" s="18" t="inlineStr">
        <is>
          <t>주주에게 배당정책 및 배당계획을 통지하지 아니한 경우</t>
        </is>
      </c>
    </row>
    <row r="235" ht="15" customHeight="1">
      <c r="A235" s="27" t="inlineStr">
        <is>
          <t>G-3-4</t>
        </is>
      </c>
      <c r="B235" s="28" t="inlineStr">
        <is>
          <t>배당정책 및 이행</t>
        </is>
      </c>
      <c r="C235" s="26" t="n">
        <v>2</v>
      </c>
      <c r="D235" s="27" t="inlineStr">
        <is>
          <t>2단계</t>
        </is>
      </c>
      <c r="E235" s="26" t="n">
        <v>50</v>
      </c>
      <c r="F235" s="28" t="inlineStr">
        <is>
          <t>주주에게 배당정책 및 배당계획을 연 1회 이상 통지한 경우</t>
        </is>
      </c>
    </row>
    <row r="236" ht="15" customHeight="1">
      <c r="A236" s="17" t="inlineStr">
        <is>
          <t>G-3-4</t>
        </is>
      </c>
      <c r="B236" s="18" t="inlineStr">
        <is>
          <t>배당정책 및 이행</t>
        </is>
      </c>
      <c r="C236" s="16" t="n">
        <v>3</v>
      </c>
      <c r="D236" s="17" t="inlineStr">
        <is>
          <t>3단계</t>
        </is>
      </c>
      <c r="E236" s="16" t="n">
        <v>100</v>
      </c>
      <c r="F236" s="18" t="inlineStr">
        <is>
          <t>주주에게 배당정책 및 배당계획을 연 1회 인상 통지하였으며, 배당정책 및 배당계획대로 배당을 집행한 경우</t>
        </is>
      </c>
    </row>
    <row r="237" ht="15" customHeight="1">
      <c r="A237" s="27" t="inlineStr">
        <is>
          <t>G-4-1</t>
        </is>
      </c>
      <c r="B237" s="28" t="inlineStr">
        <is>
          <t>윤리규범 위반사항 공시</t>
        </is>
      </c>
      <c r="C237" s="26" t="n">
        <v>1</v>
      </c>
      <c r="D237" s="28" t="inlineStr">
        <is>
          <t>요건1</t>
        </is>
      </c>
      <c r="E237" s="26" t="n">
        <v>0</v>
      </c>
      <c r="F237" s="28" t="inlineStr">
        <is>
          <t>윤리규범 위반 건수를 공시하고 있는 경우</t>
        </is>
      </c>
    </row>
    <row r="238" ht="15" customHeight="1">
      <c r="A238" s="17" t="inlineStr">
        <is>
          <t>G-4-1</t>
        </is>
      </c>
      <c r="B238" s="18" t="inlineStr">
        <is>
          <t>윤리규범 위반사항 공시</t>
        </is>
      </c>
      <c r="C238" s="16" t="n">
        <v>2</v>
      </c>
      <c r="D238" s="18" t="inlineStr">
        <is>
          <t>요건2</t>
        </is>
      </c>
      <c r="E238" s="16" t="n">
        <v>25</v>
      </c>
      <c r="F238" s="18" t="inlineStr">
        <is>
          <t>윤리규범 위반한 구성원 수를 공시하고 있는 경우</t>
        </is>
      </c>
    </row>
    <row r="239" ht="15" customHeight="1">
      <c r="A239" s="27" t="inlineStr">
        <is>
          <t>G-4-1</t>
        </is>
      </c>
      <c r="B239" s="28" t="inlineStr">
        <is>
          <t>윤리규범 위반사항 공시</t>
        </is>
      </c>
      <c r="C239" s="26" t="n">
        <v>3</v>
      </c>
      <c r="D239" s="28" t="inlineStr">
        <is>
          <t>요건3</t>
        </is>
      </c>
      <c r="E239" s="26" t="n">
        <v>50</v>
      </c>
      <c r="F239" s="28" t="inlineStr">
        <is>
          <t>윤리규범 위반 건과 관련한 처벌내역(사법상, 행정상)을 공시하고 있는 경우</t>
        </is>
      </c>
    </row>
    <row r="240" ht="15" customHeight="1">
      <c r="A240" s="17" t="inlineStr">
        <is>
          <t>G-4-1</t>
        </is>
      </c>
      <c r="B240" s="18" t="inlineStr">
        <is>
          <t>윤리규범 위반사항 공시</t>
        </is>
      </c>
      <c r="C240" s="16" t="n">
        <v>4</v>
      </c>
      <c r="D240" s="18" t="inlineStr">
        <is>
          <t>요건4</t>
        </is>
      </c>
      <c r="E240" s="16" t="n">
        <v>75</v>
      </c>
      <c r="F240" s="18" t="inlineStr">
        <is>
          <t>윤리규범 위반 건과 관련된 구성원 처분내역(인사상)을 공시하고 있는 경우</t>
        </is>
      </c>
    </row>
    <row r="241" ht="15" customHeight="1">
      <c r="A241" s="27" t="inlineStr">
        <is>
          <t>G-4-1</t>
        </is>
      </c>
      <c r="B241" s="28" t="inlineStr">
        <is>
          <t>윤리규범 위반사항 공시</t>
        </is>
      </c>
      <c r="C241" s="26" t="n">
        <v>5</v>
      </c>
      <c r="D241" s="28" t="inlineStr">
        <is>
          <t>요건5</t>
        </is>
      </c>
      <c r="E241" s="26" t="n">
        <v>100</v>
      </c>
      <c r="F241" s="28" t="inlineStr">
        <is>
          <t>윤리규범 위반 사건 재발방지를 위한 개선활동 및 계획을 공시하고 있는 경우 * 선택 항목의 합산값으로 평가</t>
        </is>
      </c>
    </row>
    <row r="242" ht="15" customHeight="1">
      <c r="A242" s="17" t="inlineStr">
        <is>
          <t>G-5-1</t>
        </is>
      </c>
      <c r="B242" s="18" t="inlineStr">
        <is>
          <t>내부감사부서 설치</t>
        </is>
      </c>
      <c r="C242" s="16" t="n">
        <v>1</v>
      </c>
      <c r="D242" s="17" t="inlineStr">
        <is>
          <t>1단계</t>
        </is>
      </c>
      <c r="E242" s="16" t="n">
        <v>0</v>
      </c>
      <c r="F242" s="18" t="inlineStr">
        <is>
          <t>내부감사부서를 두고 있지 않거나, 감사 관련 업무를 수행하는 부서 또는 업무분장을 두고 있지 않은 경우</t>
        </is>
      </c>
    </row>
    <row r="243" ht="15" customHeight="1">
      <c r="A243" s="27" t="inlineStr">
        <is>
          <t>G-5-1</t>
        </is>
      </c>
      <c r="B243" s="28" t="inlineStr">
        <is>
          <t>내부감사부서 설치</t>
        </is>
      </c>
      <c r="C243" s="26" t="n">
        <v>2</v>
      </c>
      <c r="D243" s="27" t="inlineStr">
        <is>
          <t>2단계</t>
        </is>
      </c>
      <c r="E243" s="26" t="n">
        <v>25</v>
      </c>
      <c r="F243" s="28" t="inlineStr">
        <is>
          <t>내부감사부서를 두고 있지 않으나, 감사 관련 업무를 수행하는 기타 부서 및 업무분장이 있는 경우</t>
        </is>
      </c>
    </row>
    <row r="244" ht="29.25" customHeight="1">
      <c r="A244" s="17" t="inlineStr">
        <is>
          <t>G-5-1</t>
        </is>
      </c>
      <c r="B244" s="18" t="inlineStr">
        <is>
          <t>내부감사부서 설치</t>
        </is>
      </c>
      <c r="C244" s="16" t="n">
        <v>3</v>
      </c>
      <c r="D244" s="17" t="inlineStr">
        <is>
          <t>3단계</t>
        </is>
      </c>
      <c r="E244" s="16" t="n">
        <v>50</v>
      </c>
      <c r="F244" s="18" t="inlineStr">
        <is>
          <t>내부감사부서를 두고 있으나, 내부감사부서의 업무분장 등에 감사위원회 업무지원과 관련한 내용을 명시하지 않은 경우</t>
        </is>
      </c>
    </row>
    <row r="245" ht="29.25" customHeight="1">
      <c r="A245" s="27" t="inlineStr">
        <is>
          <t>G-5-1</t>
        </is>
      </c>
      <c r="B245" s="28" t="inlineStr">
        <is>
          <t>내부감사부서 설치</t>
        </is>
      </c>
      <c r="C245" s="26" t="n">
        <v>4</v>
      </c>
      <c r="D245" s="27" t="inlineStr">
        <is>
          <t>4단계</t>
        </is>
      </c>
      <c r="E245" s="26" t="n">
        <v>75</v>
      </c>
      <c r="F245" s="28" t="inlineStr">
        <is>
          <t>내부감사부서를 두고 있으며, 내부감사부서의 업무분장 등에 감사위원회 업무지원과 관련한 내용을 명시한 경우</t>
        </is>
      </c>
    </row>
    <row r="246" ht="15" customHeight="1">
      <c r="A246" s="17" t="inlineStr">
        <is>
          <t>G-5-1</t>
        </is>
      </c>
      <c r="B246" s="18" t="inlineStr">
        <is>
          <t>내부감사부서 설치</t>
        </is>
      </c>
      <c r="C246" s="16" t="n">
        <v>5</v>
      </c>
      <c r="D246" s="17" t="inlineStr">
        <is>
          <t>5단계</t>
        </is>
      </c>
      <c r="E246" s="16" t="n">
        <v>100</v>
      </c>
      <c r="F246" s="18" t="inlineStr">
        <is>
          <t>감사위원회 지원 역할만을 수행하는 별도 전담부서 또는 업무분장이 규정되어 있는 경우</t>
        </is>
      </c>
    </row>
    <row r="247" ht="29.25" customHeight="1">
      <c r="A247" s="27" t="inlineStr">
        <is>
          <t>G-5-2</t>
        </is>
      </c>
      <c r="B247" s="28" t="inlineStr">
        <is>
          <t>감사기구 전문성 (감사기구 내 회계/재무 전문가)</t>
        </is>
      </c>
      <c r="C247" s="26" t="n">
        <v>1</v>
      </c>
      <c r="D247" s="27" t="inlineStr">
        <is>
          <t>1단계</t>
        </is>
      </c>
      <c r="E247" s="26" t="n">
        <v>0</v>
      </c>
      <c r="F247" s="28" t="inlineStr">
        <is>
          <t>감사위원회 내 회계 및 재무 분야 전문성을 보유한 감사위원이 1명 선임되어 있는 경우</t>
        </is>
      </c>
    </row>
    <row r="248" ht="29.25" customHeight="1">
      <c r="A248" s="17" t="inlineStr">
        <is>
          <t>G-5-2</t>
        </is>
      </c>
      <c r="B248" s="18" t="inlineStr">
        <is>
          <t>감사기구 전문성 (감사기구 내 회계/재무 전문가)</t>
        </is>
      </c>
      <c r="C248" s="16" t="n">
        <v>2</v>
      </c>
      <c r="D248" s="17" t="inlineStr">
        <is>
          <t>2단계</t>
        </is>
      </c>
      <c r="E248" s="16" t="n">
        <v>50</v>
      </c>
      <c r="F248" s="18" t="inlineStr">
        <is>
          <t>감사위원회 내 회계 및 재무 전문가가 1명 이상 선임되어 있으나, 전체 감사위원 중 50% 이하인 경우</t>
        </is>
      </c>
    </row>
    <row r="249" ht="29.25" customHeight="1">
      <c r="A249" s="27" t="inlineStr">
        <is>
          <t>G-5-2</t>
        </is>
      </c>
      <c r="B249" s="28" t="inlineStr">
        <is>
          <t>감사기구 전문성 (감사기구 내 회계/재무 전문가)</t>
        </is>
      </c>
      <c r="C249" s="26" t="n">
        <v>3</v>
      </c>
      <c r="D249" s="27" t="inlineStr">
        <is>
          <t>3단계</t>
        </is>
      </c>
      <c r="E249" s="26" t="n">
        <v>100</v>
      </c>
      <c r="F249" s="28" t="inlineStr">
        <is>
          <t>감사위원회 내 회계 및 재무 전문가가 1명 이상 선임되어 있으며, 전체 감사위원 중 50% 초과한 경우</t>
        </is>
      </c>
    </row>
    <row r="250" ht="29.25" customHeight="1">
      <c r="A250" s="17" t="inlineStr">
        <is>
          <t>E-기후변화 대응-추가1</t>
        </is>
      </c>
      <c r="B250" s="18" t="inlineStr">
        <is>
          <t>산림탄소흡수량</t>
        </is>
      </c>
      <c r="C250" s="16" t="n">
        <v>1</v>
      </c>
      <c r="D250" s="17" t="inlineStr">
        <is>
          <t>1단계</t>
        </is>
      </c>
      <c r="E250" s="16" t="n">
        <v>0</v>
      </c>
      <c r="F250" s="18" t="inlineStr">
        <is>
          <t>과거 4년간 산림탄소흡수량 정보 없음</t>
        </is>
      </c>
    </row>
    <row r="251" ht="29.25" customHeight="1">
      <c r="A251" s="27" t="inlineStr">
        <is>
          <t>E-기후변화 대응-추가1</t>
        </is>
      </c>
      <c r="B251" s="28" t="inlineStr">
        <is>
          <t>산림탄소흡수량</t>
        </is>
      </c>
      <c r="C251" s="26" t="n">
        <v>2</v>
      </c>
      <c r="D251" s="27" t="inlineStr">
        <is>
          <t>2단계</t>
        </is>
      </c>
      <c r="E251" s="26" t="n">
        <v>25</v>
      </c>
      <c r="F251" s="28" t="inlineStr">
        <is>
          <t>과거 4년간 산림탄소흡수량 공시</t>
        </is>
      </c>
    </row>
    <row r="252" ht="29.25" customHeight="1">
      <c r="A252" s="17" t="inlineStr">
        <is>
          <t>E-기후변화 대응-추가1</t>
        </is>
      </c>
      <c r="B252" s="18" t="inlineStr">
        <is>
          <t>산림탄소흡수량</t>
        </is>
      </c>
      <c r="C252" s="16" t="n">
        <v>3</v>
      </c>
      <c r="D252" s="17" t="inlineStr">
        <is>
          <t>3단계</t>
        </is>
      </c>
      <c r="E252" s="16" t="n">
        <v>50</v>
      </c>
      <c r="F252" s="18" t="inlineStr">
        <is>
          <t>과거 4년간 자사 배출량 대비 산림탄소흡수 상쇄량 하락 추세</t>
        </is>
      </c>
    </row>
    <row r="253" ht="29.25" customHeight="1">
      <c r="A253" s="27" t="inlineStr">
        <is>
          <t>E-기후변화 대응-추가1</t>
        </is>
      </c>
      <c r="B253" s="28" t="inlineStr">
        <is>
          <t>산림탄소흡수량</t>
        </is>
      </c>
      <c r="C253" s="26" t="n">
        <v>4</v>
      </c>
      <c r="D253" s="27" t="inlineStr">
        <is>
          <t>4단계</t>
        </is>
      </c>
      <c r="E253" s="26" t="n">
        <v>75</v>
      </c>
      <c r="F253" s="28" t="inlineStr">
        <is>
          <t>과거 4년간 자사 배출량 대비 산림탄소흡수 상쇄량 상승 추세</t>
        </is>
      </c>
    </row>
    <row r="254" ht="29.25" customHeight="1">
      <c r="A254" s="17" t="inlineStr">
        <is>
          <t>E-기후변화 대응-추가1</t>
        </is>
      </c>
      <c r="B254" s="18" t="inlineStr">
        <is>
          <t>산림탄소흡수량</t>
        </is>
      </c>
      <c r="C254" s="16" t="n">
        <v>5</v>
      </c>
      <c r="D254" s="17" t="inlineStr">
        <is>
          <t>5단계</t>
        </is>
      </c>
      <c r="E254" s="16" t="n">
        <v>100</v>
      </c>
      <c r="F254" s="18" t="inlineStr">
        <is>
          <t>과거 4년간 자사 배출량 대비 산림탄소흡수 상쇄량 매년 상승 추세 * 3개년 이하 데이터 보유 시 해당 데이터로 추세 산정</t>
        </is>
      </c>
    </row>
    <row r="255" ht="29.25" customHeight="1">
      <c r="A255" s="27" t="inlineStr">
        <is>
          <t>E-기후변화 대응-추가2</t>
        </is>
      </c>
      <c r="B255" s="28" t="inlineStr">
        <is>
          <t>친환경 차량 보유 비율</t>
        </is>
      </c>
      <c r="C255" s="26" t="n">
        <v>1</v>
      </c>
      <c r="D255" s="27" t="inlineStr">
        <is>
          <t>1단계</t>
        </is>
      </c>
      <c r="E255" s="26" t="n">
        <v>0</v>
      </c>
      <c r="F255" s="28" t="inlineStr">
        <is>
          <t>조직 내 친환경 차량의 보유 비율 0% ~ 20%</t>
        </is>
      </c>
    </row>
    <row r="256" ht="29.25" customHeight="1">
      <c r="A256" s="17" t="inlineStr">
        <is>
          <t>E-기후변화 대응-추가2</t>
        </is>
      </c>
      <c r="B256" s="18" t="inlineStr">
        <is>
          <t>친환경 차량 보유 비율</t>
        </is>
      </c>
      <c r="C256" s="16" t="n">
        <v>2</v>
      </c>
      <c r="D256" s="17" t="inlineStr">
        <is>
          <t>2단계</t>
        </is>
      </c>
      <c r="E256" s="16" t="n">
        <v>25</v>
      </c>
      <c r="F256" s="18" t="inlineStr">
        <is>
          <t>조직 내 친환경 차량의 보유 비율 21% ~ 40% 이내</t>
        </is>
      </c>
    </row>
    <row r="257" ht="29.25" customHeight="1">
      <c r="A257" s="27" t="inlineStr">
        <is>
          <t>E-기후변화 대응-추가2</t>
        </is>
      </c>
      <c r="B257" s="28" t="inlineStr">
        <is>
          <t>친환경 차량 보유 비율</t>
        </is>
      </c>
      <c r="C257" s="26" t="n">
        <v>3</v>
      </c>
      <c r="D257" s="27" t="inlineStr">
        <is>
          <t>3단계</t>
        </is>
      </c>
      <c r="E257" s="26" t="n">
        <v>50</v>
      </c>
      <c r="F257" s="28" t="inlineStr">
        <is>
          <t>조직 내 친환경 차량의 보유 비율 41% ~ 60% 이내</t>
        </is>
      </c>
    </row>
    <row r="258" ht="29.25" customHeight="1">
      <c r="A258" s="17" t="inlineStr">
        <is>
          <t>E-기후변화 대응-추가2</t>
        </is>
      </c>
      <c r="B258" s="18" t="inlineStr">
        <is>
          <t>친환경 차량 보유 비율</t>
        </is>
      </c>
      <c r="C258" s="16" t="n">
        <v>4</v>
      </c>
      <c r="D258" s="17" t="inlineStr">
        <is>
          <t>4단계</t>
        </is>
      </c>
      <c r="E258" s="16" t="n">
        <v>75</v>
      </c>
      <c r="F258" s="18" t="inlineStr">
        <is>
          <t>조직 내 친환경 차량의 보유 비율 61% ~ 80% 이내</t>
        </is>
      </c>
    </row>
    <row r="259" ht="29.25" customHeight="1">
      <c r="A259" s="27" t="inlineStr">
        <is>
          <t>E-기후변화 대응-추가2</t>
        </is>
      </c>
      <c r="B259" s="28" t="inlineStr">
        <is>
          <t>친환경 차량 보유 비율</t>
        </is>
      </c>
      <c r="C259" s="26" t="n">
        <v>5</v>
      </c>
      <c r="D259" s="27" t="inlineStr">
        <is>
          <t>5단계</t>
        </is>
      </c>
      <c r="E259" s="26" t="n">
        <v>100</v>
      </c>
      <c r="F259" s="28" t="inlineStr">
        <is>
          <t>조직 내 친환경 차량의 보유 비율 81% ~ 100% 이내</t>
        </is>
      </c>
    </row>
    <row r="260" ht="29.25" customHeight="1">
      <c r="A260" s="17" t="inlineStr">
        <is>
          <t>S-동반성장-추가1</t>
        </is>
      </c>
      <c r="B260" s="18" t="inlineStr">
        <is>
          <t>공급망 안정</t>
        </is>
      </c>
      <c r="C260" s="16" t="n">
        <v>1</v>
      </c>
      <c r="D260" s="18" t="inlineStr">
        <is>
          <t>요건1</t>
        </is>
      </c>
      <c r="E260" s="16" t="n">
        <v>0</v>
      </c>
      <c r="F260" s="17" t="inlineStr">
        <is>
          <t>1차 협력사가 원부자재를 생산 및 공급하는데 영향을 미칠 수 있는 정치, 경제, 사회, 문화 분야의 리스크를 모니터링 하고 있는 경우</t>
        </is>
      </c>
    </row>
    <row r="261" ht="29.25" customHeight="1">
      <c r="A261" s="27" t="inlineStr">
        <is>
          <t>S-동반성장-추가1</t>
        </is>
      </c>
      <c r="B261" s="28" t="inlineStr">
        <is>
          <t>공급망 안정</t>
        </is>
      </c>
      <c r="C261" s="26" t="n">
        <v>2</v>
      </c>
      <c r="D261" s="28" t="inlineStr">
        <is>
          <t>요건2</t>
        </is>
      </c>
      <c r="E261" s="26" t="n">
        <v>25</v>
      </c>
      <c r="F261" s="27" t="inlineStr">
        <is>
          <t>1차 협력사 外 2차 이하(N차 협력사, 또는 원산지)에 잠재되어 있는 원부자재 생산-공급 차질 리스크를 모니터링 하고 있는 경우</t>
        </is>
      </c>
    </row>
    <row r="262" ht="29.25" customHeight="1">
      <c r="A262" s="17" t="inlineStr">
        <is>
          <t>S-동반성장-추가1</t>
        </is>
      </c>
      <c r="B262" s="18" t="inlineStr">
        <is>
          <t>공급망 안정</t>
        </is>
      </c>
      <c r="C262" s="16" t="n">
        <v>3</v>
      </c>
      <c r="D262" s="18" t="inlineStr">
        <is>
          <t>요건3</t>
        </is>
      </c>
      <c r="E262" s="16" t="n">
        <v>50</v>
      </c>
      <c r="F262" s="18" t="inlineStr">
        <is>
          <t>특정 지역 및 국가의 협력사에만 의존하지 않고, 공급선을 다변화하였거나, 대체가능한 협력사를 발굴/확보하고 있는 경우</t>
        </is>
      </c>
    </row>
    <row r="263" ht="29.25" customHeight="1">
      <c r="A263" s="27" t="inlineStr">
        <is>
          <t>S-동반성장-추가1</t>
        </is>
      </c>
      <c r="B263" s="28" t="inlineStr">
        <is>
          <t>공급망 안정</t>
        </is>
      </c>
      <c r="C263" s="26" t="n">
        <v>4</v>
      </c>
      <c r="D263" s="28" t="inlineStr">
        <is>
          <t>요건4</t>
        </is>
      </c>
      <c r="E263" s="26" t="n">
        <v>75</v>
      </c>
      <c r="F263" s="28" t="inlineStr">
        <is>
          <t>특정 물류/유통망에 의존하지 않고, 물류/유통망을 다변화하였거나, 대체 물류/유통망을 발굴/확보하고 있는 경우</t>
        </is>
      </c>
    </row>
    <row r="264" ht="29.25" customHeight="1">
      <c r="A264" s="17" t="inlineStr">
        <is>
          <t>S-동반성장-추가1</t>
        </is>
      </c>
      <c r="B264" s="18" t="inlineStr">
        <is>
          <t>공급망 안정</t>
        </is>
      </c>
      <c r="C264" s="16" t="n">
        <v>5</v>
      </c>
      <c r="D264" s="18" t="inlineStr">
        <is>
          <t>요건5</t>
        </is>
      </c>
      <c r="E264" s="16" t="n">
        <v>100</v>
      </c>
      <c r="F264" s="18" t="inlineStr">
        <is>
          <t>공급망 불안정 발생에 대비하여 충분한 원부자재 재고를 확보하고 있거나, 원부자재 생산을 조직이 내재화한 경우</t>
        </is>
      </c>
    </row>
    <row r="265" ht="15" customHeight="1">
      <c r="A265" s="27" t="inlineStr">
        <is>
          <t>S-소비자-추가2</t>
        </is>
      </c>
      <c r="B265" s="28" t="inlineStr">
        <is>
          <t>소비자 안전</t>
        </is>
      </c>
      <c r="C265" s="26" t="n">
        <v>1</v>
      </c>
      <c r="D265" s="27" t="inlineStr">
        <is>
          <t>1단계</t>
        </is>
      </c>
      <c r="E265" s="26" t="n">
        <v>0</v>
      </c>
      <c r="F265" s="28" t="inlineStr">
        <is>
          <t>소비자안전 관련 규정 및 활동이 없음</t>
        </is>
      </c>
    </row>
    <row r="266" ht="15" customHeight="1">
      <c r="A266" s="17" t="inlineStr">
        <is>
          <t>S-소비자-추가2</t>
        </is>
      </c>
      <c r="B266" s="18" t="inlineStr">
        <is>
          <t>소비자 안전</t>
        </is>
      </c>
      <c r="C266" s="16" t="n">
        <v>2</v>
      </c>
      <c r="D266" s="17" t="inlineStr">
        <is>
          <t>2단계</t>
        </is>
      </c>
      <c r="E266" s="16" t="n">
        <v>25</v>
      </c>
      <c r="F266" s="18" t="inlineStr">
        <is>
          <t>소비자안전 관련 규정이 있으나 활동이 없음</t>
        </is>
      </c>
    </row>
    <row r="267" ht="15" customHeight="1">
      <c r="A267" s="27" t="inlineStr">
        <is>
          <t>S-소비자-추가2</t>
        </is>
      </c>
      <c r="B267" s="28" t="inlineStr">
        <is>
          <t>소비자 안전</t>
        </is>
      </c>
      <c r="C267" s="26" t="n">
        <v>3</v>
      </c>
      <c r="D267" s="27" t="inlineStr">
        <is>
          <t>3단계</t>
        </is>
      </c>
      <c r="E267" s="26" t="n">
        <v>50</v>
      </c>
      <c r="F267" s="28" t="inlineStr">
        <is>
          <t>소비자안전 관련 규정이 있고, 계획을 수립하고 있으나, 운영 실적이 미흡함</t>
        </is>
      </c>
    </row>
    <row r="268" ht="15" customHeight="1">
      <c r="A268" s="17" t="inlineStr">
        <is>
          <t>S-소비자-추가2</t>
        </is>
      </c>
      <c r="B268" s="18" t="inlineStr">
        <is>
          <t>소비자 안전</t>
        </is>
      </c>
      <c r="C268" s="16" t="n">
        <v>4</v>
      </c>
      <c r="D268" s="17" t="inlineStr">
        <is>
          <t>4단계</t>
        </is>
      </c>
      <c r="E268" s="16" t="n">
        <v>75</v>
      </c>
      <c r="F268" s="18" t="inlineStr">
        <is>
          <t>소비자안전 관련 규정이 있고, 소비자안전 보장을 위한 계획을 수립하고 운영하고 있음</t>
        </is>
      </c>
    </row>
    <row r="269" ht="29.25" customHeight="1">
      <c r="A269" s="27" t="inlineStr">
        <is>
          <t>S-소비자-추가2</t>
        </is>
      </c>
      <c r="B269" s="28" t="inlineStr">
        <is>
          <t>소비자 안전</t>
        </is>
      </c>
      <c r="C269" s="26" t="n">
        <v>5</v>
      </c>
      <c r="D269" s="27" t="inlineStr">
        <is>
          <t>5단계</t>
        </is>
      </c>
      <c r="E269" s="26" t="n">
        <v>100</v>
      </c>
      <c r="F269" s="28" t="inlineStr">
        <is>
          <t>소비자안전 관련 규정이 있고, 소비자안전 보장을 위한 계획을 수립하고 운영하고 있으며, 소비자안전 확보 노력이 지속적으로 진행되고 있음</t>
        </is>
      </c>
    </row>
    <row r="270" ht="15" customHeight="1">
      <c r="A270" s="17" t="inlineStr">
        <is>
          <t>S-노동-추가1</t>
        </is>
      </c>
      <c r="B270" s="18" t="inlineStr">
        <is>
          <t>정규직 중 고졸자 비율</t>
        </is>
      </c>
      <c r="C270" s="16" t="n">
        <v>1</v>
      </c>
      <c r="D270" s="17" t="inlineStr">
        <is>
          <t>1단계</t>
        </is>
      </c>
      <c r="E270" s="16" t="n">
        <v>0</v>
      </c>
      <c r="F270" s="18" t="inlineStr">
        <is>
          <t>정규직(무기계약직 포함) 중 고졸자 비율을 공시하지 않는 경우</t>
        </is>
      </c>
    </row>
    <row r="271" ht="29.25" customHeight="1">
      <c r="A271" s="27" t="inlineStr">
        <is>
          <t>S-노동-추가1</t>
        </is>
      </c>
      <c r="B271" s="28" t="inlineStr">
        <is>
          <t>정규직 중 고졸자 비율</t>
        </is>
      </c>
      <c r="C271" s="26" t="n">
        <v>2</v>
      </c>
      <c r="D271" s="27" t="inlineStr">
        <is>
          <t>2단계</t>
        </is>
      </c>
      <c r="E271" s="26" t="n">
        <v>25</v>
      </c>
      <c r="F271" s="28" t="inlineStr">
        <is>
          <t>정규직(무기계약직 포함) 중 고졸자 비율을 공시하고 공공기관 평균 대비 고졸자 비율이 적은 경우 (공공기관의 50% 미만)</t>
        </is>
      </c>
    </row>
    <row r="272" ht="29.25" customHeight="1">
      <c r="A272" s="17" t="inlineStr">
        <is>
          <t>S-노동-추가1</t>
        </is>
      </c>
      <c r="B272" s="18" t="inlineStr">
        <is>
          <t>정규직 중 고졸자 비율</t>
        </is>
      </c>
      <c r="C272" s="16" t="n">
        <v>3</v>
      </c>
      <c r="D272" s="17" t="inlineStr">
        <is>
          <t>3단계</t>
        </is>
      </c>
      <c r="E272" s="16" t="n">
        <v>50</v>
      </c>
      <c r="F272" s="18" t="inlineStr">
        <is>
          <t>정규직(무기계약직 포함) 중 고졸자 비율을 공시하고 공공기관 평균 대비 고졸자 비율이 적은 경우 (공공기관의 50% 이상 ~100% 미만)</t>
        </is>
      </c>
    </row>
    <row r="273" ht="29.25" customHeight="1">
      <c r="A273" s="27" t="inlineStr">
        <is>
          <t>S-노동-추가1</t>
        </is>
      </c>
      <c r="B273" s="28" t="inlineStr">
        <is>
          <t>정규직 중 고졸자 비율</t>
        </is>
      </c>
      <c r="C273" s="26" t="n">
        <v>4</v>
      </c>
      <c r="D273" s="27" t="inlineStr">
        <is>
          <t>4단계</t>
        </is>
      </c>
      <c r="E273" s="26" t="n">
        <v>75</v>
      </c>
      <c r="F273" s="28" t="inlineStr">
        <is>
          <t>정규직(무기계약직 포함) 중 고졸자 비율을 공시하고 공공기관 평균 대비 고졸자 비율이 동일하거나 높은 경우 (공공기관의 100% 이상 ~150% 미만)</t>
        </is>
      </c>
    </row>
    <row r="274" ht="29.25" customHeight="1">
      <c r="A274" s="17" t="inlineStr">
        <is>
          <t>S-노동-추가1</t>
        </is>
      </c>
      <c r="B274" s="18" t="inlineStr">
        <is>
          <t>정규직 중 고졸자 비율</t>
        </is>
      </c>
      <c r="C274" s="16" t="n">
        <v>5</v>
      </c>
      <c r="D274" s="17" t="inlineStr">
        <is>
          <t>5단계</t>
        </is>
      </c>
      <c r="E274" s="16" t="n">
        <v>100</v>
      </c>
      <c r="F274" s="18" t="inlineStr">
        <is>
          <t>정규직(무기계약직 포함) 중 고졸자 비율을 공시하고 공공기관 평균 대비 고졸자 비율이 높은 경우 (공공기관의 150% 이상)</t>
        </is>
      </c>
    </row>
    <row r="275" ht="15" customHeight="1">
      <c r="A275" s="27" t="inlineStr">
        <is>
          <t>S-노동-추가2</t>
        </is>
      </c>
      <c r="B275" s="28" t="inlineStr">
        <is>
          <t>여가친화 경영</t>
        </is>
      </c>
      <c r="C275" s="26" t="n">
        <v>1</v>
      </c>
      <c r="D275" s="27" t="inlineStr">
        <is>
          <t>1단계</t>
        </is>
      </c>
      <c r="E275" s="26" t="n">
        <v>0</v>
      </c>
      <c r="F275" s="28" t="inlineStr">
        <is>
          <t>여가친화인증 미획득</t>
        </is>
      </c>
    </row>
    <row r="276" ht="15" customHeight="1">
      <c r="A276" s="17" t="inlineStr">
        <is>
          <t>S-노동-추가2</t>
        </is>
      </c>
      <c r="B276" s="18" t="inlineStr">
        <is>
          <t>여가친화 경영</t>
        </is>
      </c>
      <c r="C276" s="16" t="n">
        <v>2</v>
      </c>
      <c r="D276" s="17" t="inlineStr">
        <is>
          <t>2단계</t>
        </is>
      </c>
      <c r="E276" s="16" t="n">
        <v>100</v>
      </c>
      <c r="F276" s="18" t="inlineStr">
        <is>
          <t>여가친화인증 획득</t>
        </is>
      </c>
    </row>
    <row r="277" ht="29.25" customHeight="1">
      <c r="A277" s="27" t="inlineStr">
        <is>
          <t>S-노동-추가3</t>
        </is>
      </c>
      <c r="B277" s="27" t="inlineStr">
        <is>
          <t>50세 이상 비자발적 이직예정자 중 재취업지원 제공 비율</t>
        </is>
      </c>
      <c r="C277" s="26" t="n">
        <v>1</v>
      </c>
      <c r="D277" s="27" t="inlineStr">
        <is>
          <t>1단계</t>
        </is>
      </c>
      <c r="E277" s="26" t="n">
        <v>0</v>
      </c>
      <c r="F277" s="28" t="inlineStr">
        <is>
          <t>재취업지원서비스 미제공 또는 제공 비율 감소 추세</t>
        </is>
      </c>
    </row>
    <row r="278" ht="29.25" customHeight="1">
      <c r="A278" s="17" t="inlineStr">
        <is>
          <t>S-노동-추가3</t>
        </is>
      </c>
      <c r="B278" s="17" t="inlineStr">
        <is>
          <t>50세 이상 비자발적 이직예정자 중 재취업지원 제공 비율</t>
        </is>
      </c>
      <c r="C278" s="16" t="n">
        <v>2</v>
      </c>
      <c r="D278" s="17" t="inlineStr">
        <is>
          <t>2단계</t>
        </is>
      </c>
      <c r="E278" s="16" t="n">
        <v>50</v>
      </c>
      <c r="F278" s="18" t="inlineStr">
        <is>
          <t>재취업지원서비스 제공 비율 유지 추세</t>
        </is>
      </c>
    </row>
    <row r="279" ht="29.25" customHeight="1">
      <c r="A279" s="27" t="inlineStr">
        <is>
          <t>S-노동-추가3</t>
        </is>
      </c>
      <c r="B279" s="27" t="inlineStr">
        <is>
          <t>50세 이상 비자발적 이직예정자 중 재취업지원 제공 비율</t>
        </is>
      </c>
      <c r="C279" s="26" t="n">
        <v>3</v>
      </c>
      <c r="D279" s="27" t="inlineStr">
        <is>
          <t>3단계</t>
        </is>
      </c>
      <c r="E279" s="26" t="n">
        <v>100</v>
      </c>
      <c r="F279" s="28" t="inlineStr">
        <is>
          <t>재취업지원서비스 제공 비율 증가 추세</t>
        </is>
      </c>
    </row>
    <row r="280" ht="15" customHeight="1">
      <c r="A280" s="17" t="inlineStr">
        <is>
          <t>S-지역사회-추가2</t>
        </is>
      </c>
      <c r="B280" s="18" t="inlineStr">
        <is>
          <t>산학협력 활성화 기여</t>
        </is>
      </c>
      <c r="C280" s="16" t="n">
        <v>1</v>
      </c>
      <c r="D280" s="17" t="inlineStr">
        <is>
          <t>1단계</t>
        </is>
      </c>
      <c r="E280" s="16" t="n">
        <v>0</v>
      </c>
      <c r="F280" s="18" t="inlineStr">
        <is>
          <t>산학협력 활동에 관한 정보공시가 없는 경우</t>
        </is>
      </c>
    </row>
    <row r="281" ht="15" customHeight="1">
      <c r="A281" s="27" t="inlineStr">
        <is>
          <t>S-지역사회-추가2</t>
        </is>
      </c>
      <c r="B281" s="28" t="inlineStr">
        <is>
          <t>산학협력 활성화 기여</t>
        </is>
      </c>
      <c r="C281" s="26" t="n">
        <v>2</v>
      </c>
      <c r="D281" s="27" t="inlineStr">
        <is>
          <t>2단계</t>
        </is>
      </c>
      <c r="E281" s="26" t="n">
        <v>25</v>
      </c>
      <c r="F281" s="28" t="inlineStr">
        <is>
          <t>산학협력 활동 내용은 공시하나 ‘산학협력 마일리지’ 점수에 대한 정보공시가 없는 경우</t>
        </is>
      </c>
    </row>
    <row r="282" ht="29.25" customHeight="1">
      <c r="A282" s="17" t="inlineStr">
        <is>
          <t>S-지역사회-추가2</t>
        </is>
      </c>
      <c r="B282" s="18" t="inlineStr">
        <is>
          <t>산학협력 활성화 기여</t>
        </is>
      </c>
      <c r="C282" s="16" t="n">
        <v>3</v>
      </c>
      <c r="D282" s="17" t="inlineStr">
        <is>
          <t>3단계</t>
        </is>
      </c>
      <c r="E282" s="16" t="n">
        <v>50</v>
      </c>
      <c r="F282" s="18" t="inlineStr">
        <is>
          <t>산학협력 활동 내용, 마일리지 점수에 대한 정보공시가 있으나, 최근 4개년 매출액 대비 마일리지 점수 변동을 알 수 없거나 감소 추세인 경우</t>
        </is>
      </c>
    </row>
    <row r="283" ht="29.25" customHeight="1">
      <c r="A283" s="27" t="inlineStr">
        <is>
          <t>S-지역사회-추가2</t>
        </is>
      </c>
      <c r="B283" s="28" t="inlineStr">
        <is>
          <t>산학협력 활성화 기여</t>
        </is>
      </c>
      <c r="C283" s="26" t="n">
        <v>4</v>
      </c>
      <c r="D283" s="27" t="inlineStr">
        <is>
          <t>4단계</t>
        </is>
      </c>
      <c r="E283" s="26" t="n">
        <v>75</v>
      </c>
      <c r="F283" s="28" t="inlineStr">
        <is>
          <t>산학협력 활동 내용, 마일리지 점수에 대한 정보를 공시하며, 최근 4개년 매출액 대비 마일리지 점수가 유지되는 경우</t>
        </is>
      </c>
    </row>
    <row r="284" ht="29.25" customHeight="1">
      <c r="A284" s="17" t="inlineStr">
        <is>
          <t>S-지역사회-추가2</t>
        </is>
      </c>
      <c r="B284" s="18" t="inlineStr">
        <is>
          <t>산학협력 활성화 기여</t>
        </is>
      </c>
      <c r="C284" s="16" t="n">
        <v>5</v>
      </c>
      <c r="D284" s="17" t="inlineStr">
        <is>
          <t>5단계</t>
        </is>
      </c>
      <c r="E284" s="16" t="n">
        <v>100</v>
      </c>
      <c r="F284" s="18" t="inlineStr">
        <is>
          <t>산학협력 활동 내용, 마일리지 점수에 대한 정보를 공시하며, 최근 4개년 매출액 대비 마일리지 점수가 증가 추세인 경우 * 3개년 이하 데이터 보유 시 해당 데이터로 추세 산정</t>
        </is>
      </c>
    </row>
    <row r="285" ht="15" customHeight="1">
      <c r="A285" s="27" t="inlineStr">
        <is>
          <t>S-지역사회-추가3</t>
        </is>
      </c>
      <c r="B285" s="28" t="inlineStr">
        <is>
          <t>미래세대 성장 및 교육 기여</t>
        </is>
      </c>
      <c r="C285" s="26" t="n">
        <v>1</v>
      </c>
      <c r="D285" s="27" t="inlineStr">
        <is>
          <t>1단계</t>
        </is>
      </c>
      <c r="E285" s="26" t="n">
        <v>0</v>
      </c>
      <c r="F285" s="28" t="inlineStr">
        <is>
          <t>미래세대 성장 및 교육 기여 활동에 관한 정보공시가 없는 경우</t>
        </is>
      </c>
    </row>
    <row r="286" ht="15" customHeight="1">
      <c r="A286" s="17" t="inlineStr">
        <is>
          <t>S-지역사회-추가3</t>
        </is>
      </c>
      <c r="B286" s="18" t="inlineStr">
        <is>
          <t>미래세대 성장 및 교육 기여</t>
        </is>
      </c>
      <c r="C286" s="16" t="n">
        <v>2</v>
      </c>
      <c r="D286" s="17" t="inlineStr">
        <is>
          <t>2단계</t>
        </is>
      </c>
      <c r="E286" s="16" t="n">
        <v>25</v>
      </c>
      <c r="F286" s="18" t="inlineStr">
        <is>
          <t>미래세대 성장 및 교육 기여 활동 내용은 공시하나 지출액이나 수혜인원에 대한 정보공시가 없는 경우</t>
        </is>
      </c>
    </row>
    <row r="287" ht="29.25" customHeight="1">
      <c r="A287" s="27" t="inlineStr">
        <is>
          <t>S-지역사회-추가3</t>
        </is>
      </c>
      <c r="B287" s="28" t="inlineStr">
        <is>
          <t>미래세대 성장 및 교육 기여</t>
        </is>
      </c>
      <c r="C287" s="26" t="n">
        <v>3</v>
      </c>
      <c r="D287" s="27" t="inlineStr">
        <is>
          <t>3단계</t>
        </is>
      </c>
      <c r="E287" s="26" t="n">
        <v>50</v>
      </c>
      <c r="F287" s="28" t="inlineStr">
        <is>
          <t>미래세대 성장 및 교육 기여 활동 내용, 지출액, 수혜규모에 대한 정보공시가 있으나, 최근 4년간 매출액 증감폭 대비 미래세대 성장 기여 활동 지출액 또는 수혜규모 변동을 알 수 없거나 감소 추세인 경우</t>
        </is>
      </c>
    </row>
    <row r="288" ht="29.25" customHeight="1">
      <c r="A288" s="17" t="inlineStr">
        <is>
          <t>S-지역사회-추가3</t>
        </is>
      </c>
      <c r="B288" s="18" t="inlineStr">
        <is>
          <t>미래세대 성장 및 교육 기여</t>
        </is>
      </c>
      <c r="C288" s="16" t="n">
        <v>4</v>
      </c>
      <c r="D288" s="17" t="inlineStr">
        <is>
          <t>4단계</t>
        </is>
      </c>
      <c r="E288" s="16" t="n">
        <v>75</v>
      </c>
      <c r="F288" s="18" t="inlineStr">
        <is>
          <t>미래세대 성장 및 교육 기여 활동 내용, 지출액, 수혜규모에 대한 정보를 공시하며, 최근 4년간 매출액 증감폭 대비 미래세대 성장 기여 활동 지출액 또는 수혜규모가 유지되고 있는 경우</t>
        </is>
      </c>
    </row>
    <row r="289" ht="43.5" customHeight="1">
      <c r="A289" s="27" t="inlineStr">
        <is>
          <t>S-지역사회-추가3</t>
        </is>
      </c>
      <c r="B289" s="28" t="inlineStr">
        <is>
          <t>미래세대 성장 및 교육 기여</t>
        </is>
      </c>
      <c r="C289" s="26" t="n">
        <v>5</v>
      </c>
      <c r="D289" s="27" t="inlineStr">
        <is>
          <t>5단계</t>
        </is>
      </c>
      <c r="E289" s="26" t="n">
        <v>100</v>
      </c>
      <c r="F289" s="28" t="inlineStr">
        <is>
          <t>미래세대 성장 및 교육 기여 활동 내용, 지출액, 수혜규모에 대한 정보를 공시하며, 최근 4년간 매출액 증감폭 대비 미래세대 성장 기여 활동 지출액 또는 수혜규모가 증가 추세인 경우 * 3개년 이하 데이터 보유 시 해당 데이터로 추세 산정</t>
        </is>
      </c>
    </row>
    <row r="290" ht="29.25" customHeight="1">
      <c r="A290" s="17" t="inlineStr">
        <is>
          <t>G-경영진-추가1</t>
        </is>
      </c>
      <c r="B290" s="18" t="inlineStr">
        <is>
          <t>경영진 성과평가 및 보상</t>
        </is>
      </c>
      <c r="C290" s="16" t="n">
        <v>1</v>
      </c>
      <c r="D290" s="18" t="inlineStr">
        <is>
          <t>요건1</t>
        </is>
      </c>
      <c r="E290" s="16" t="n">
        <v>0</v>
      </c>
      <c r="F290" s="18" t="inlineStr">
        <is>
          <t>조직의 재무적 성과와 연계하여 정량적 ‘성과평가 지표’가 설정되어 있는 경우 (매출액, 영업이익, 현금흐름, EBIT, 시가총액, 주주수익률 등)</t>
        </is>
      </c>
    </row>
    <row r="291" ht="29.25" customHeight="1">
      <c r="A291" s="27" t="inlineStr">
        <is>
          <t>G-경영진-추가1</t>
        </is>
      </c>
      <c r="B291" s="28" t="inlineStr">
        <is>
          <t>경영진 성과평가 및 보상</t>
        </is>
      </c>
      <c r="C291" s="26" t="n">
        <v>2</v>
      </c>
      <c r="D291" s="28" t="inlineStr">
        <is>
          <t>요건2</t>
        </is>
      </c>
      <c r="E291" s="26" t="n">
        <v>25</v>
      </c>
      <c r="F291" s="28" t="inlineStr">
        <is>
          <t>조직의 비재무적 성과와 연계하여 정량적 ‘성과평가 지표’가 설정되어 있는 경우 (온실가스 배출량, 친환경 제품 비율, 산업재해율, 인권 리스크 개선율 등)</t>
        </is>
      </c>
    </row>
    <row r="292" ht="15" customHeight="1">
      <c r="A292" s="17" t="inlineStr">
        <is>
          <t>G-경영진-추가1</t>
        </is>
      </c>
      <c r="B292" s="18" t="inlineStr">
        <is>
          <t>경영진 성과평가 및 보상</t>
        </is>
      </c>
      <c r="C292" s="16" t="n">
        <v>3</v>
      </c>
      <c r="D292" s="18" t="inlineStr">
        <is>
          <t>요건3</t>
        </is>
      </c>
      <c r="E292" s="16" t="n">
        <v>50</v>
      </c>
      <c r="F292" s="18" t="inlineStr">
        <is>
          <t>조직의 재무적/비재무적 성과와 연계하여 3년 이상의 중장기 ‘성과평가 지표’가 설정되어 있는 경우</t>
        </is>
      </c>
    </row>
    <row r="293" ht="29.25" customHeight="1">
      <c r="A293" s="27" t="inlineStr">
        <is>
          <t>G-경영진-추가1</t>
        </is>
      </c>
      <c r="B293" s="28" t="inlineStr">
        <is>
          <t>경영진 성과평가 및 보상</t>
        </is>
      </c>
      <c r="C293" s="26" t="n">
        <v>4</v>
      </c>
      <c r="D293" s="28" t="inlineStr">
        <is>
          <t>요건4</t>
        </is>
      </c>
      <c r="E293" s="26" t="n">
        <v>75</v>
      </c>
      <c r="F293" s="28" t="inlineStr">
        <is>
          <t>성과평가 결과에 따라 보상(성과급)을 지급하고 있으며, 성과보상 지급을 1년 이상 초과하여 이연지급하고 있는 경우</t>
        </is>
      </c>
    </row>
    <row r="294" ht="29.25" customHeight="1">
      <c r="A294" s="17" t="inlineStr">
        <is>
          <t>G-경영진-추가1</t>
        </is>
      </c>
      <c r="B294" s="18" t="inlineStr">
        <is>
          <t>경영진 성과평가 및 보상</t>
        </is>
      </c>
      <c r="C294" s="16" t="n">
        <v>5</v>
      </c>
      <c r="D294" s="18" t="inlineStr">
        <is>
          <t>요건5</t>
        </is>
      </c>
      <c r="E294" s="16" t="n">
        <v>100</v>
      </c>
      <c r="F294" s="18" t="inlineStr">
        <is>
          <t>성과평가 종료 후, 지급(예정) 보상을 회수할 수 있는 요건을 두고 있는 경우 (경영진 행위가 불법적이거나, 조직에 심각한 피해를 초래한 사유 등)</t>
        </is>
      </c>
    </row>
    <row r="295" ht="29.25" customHeight="1">
      <c r="A295" s="28" t="inlineStr">
        <is>
          <t>반도체-E-1</t>
        </is>
      </c>
      <c r="B295" s="28" t="inlineStr">
        <is>
          <t>에너지 효율적 제품</t>
        </is>
      </c>
      <c r="C295" s="26" t="n">
        <v>1</v>
      </c>
      <c r="D295" s="27" t="inlineStr">
        <is>
          <t>1단계</t>
        </is>
      </c>
      <c r="E295" s="26" t="n">
        <v>0</v>
      </c>
      <c r="F295" s="28" t="inlineStr">
        <is>
          <t>지난 4개년간 에너지 효율적 제품의 비중 감소 추세 | 2단계: 지난 4개년간 에너지 효율적 제품의 비중 변동 없음 | 3단계: 지난 4개년간 에너지 효율적 제품의 비중 증가 추세</t>
        </is>
      </c>
    </row>
    <row r="296" ht="15" customHeight="1">
      <c r="A296" s="18" t="inlineStr">
        <is>
          <t>반도체-E-1</t>
        </is>
      </c>
      <c r="B296" s="18" t="inlineStr">
        <is>
          <t>에너지 효율적 제품</t>
        </is>
      </c>
      <c r="C296" s="16" t="n">
        <v>2</v>
      </c>
      <c r="D296" s="17" t="inlineStr">
        <is>
          <t>2단계</t>
        </is>
      </c>
      <c r="E296" s="16" t="n">
        <v>50</v>
      </c>
      <c r="F296" s="18" t="inlineStr">
        <is>
          <t>지난 4개년간 에너지 효율적 제품의 비중 변동 없음</t>
        </is>
      </c>
    </row>
    <row r="297" ht="15" customHeight="1">
      <c r="A297" s="28" t="inlineStr">
        <is>
          <t>반도체-E-1</t>
        </is>
      </c>
      <c r="B297" s="28" t="inlineStr">
        <is>
          <t>에너지 효율적 제품</t>
        </is>
      </c>
      <c r="C297" s="26" t="n">
        <v>3</v>
      </c>
      <c r="D297" s="27" t="inlineStr">
        <is>
          <t>3단계</t>
        </is>
      </c>
      <c r="E297" s="26" t="n">
        <v>100</v>
      </c>
      <c r="F297" s="28" t="inlineStr">
        <is>
          <t>지난 4개년간 에너지 효율적 제품의 비중 증가 추세</t>
        </is>
      </c>
    </row>
    <row r="298" ht="29.25" customHeight="1">
      <c r="A298" s="18" t="inlineStr">
        <is>
          <t>반도체-E-2</t>
        </is>
      </c>
      <c r="B298" s="18" t="inlineStr">
        <is>
          <t>초순수 사용량</t>
        </is>
      </c>
      <c r="C298" s="16" t="n">
        <v>1</v>
      </c>
      <c r="D298" s="17" t="inlineStr">
        <is>
          <t>1단계</t>
        </is>
      </c>
      <c r="E298" s="16" t="n">
        <v>0</v>
      </c>
      <c r="F298" s="18" t="inlineStr">
        <is>
          <t>지난 4개년간 원단위 초순수 사용량 증가 추세 | 2단계: 지난 4개년간 원단위 초순수 사용량 변동 없음 | 3단계: 지난 4개년간 원단위 초순수 사용량 감소 추세 (미산정 시 0점)</t>
        </is>
      </c>
    </row>
    <row r="299" ht="15" customHeight="1">
      <c r="A299" s="28" t="inlineStr">
        <is>
          <t>반도체-E-2</t>
        </is>
      </c>
      <c r="B299" s="28" t="inlineStr">
        <is>
          <t>초순수 사용량</t>
        </is>
      </c>
      <c r="C299" s="26" t="n">
        <v>2</v>
      </c>
      <c r="D299" s="27" t="inlineStr">
        <is>
          <t>2단계</t>
        </is>
      </c>
      <c r="E299" s="26" t="n">
        <v>50</v>
      </c>
      <c r="F299" s="28" t="inlineStr">
        <is>
          <t>지난 4개년간 원단위 초순수 사용량 변동 없음</t>
        </is>
      </c>
    </row>
    <row r="300" ht="15" customHeight="1">
      <c r="A300" s="18" t="inlineStr">
        <is>
          <t>반도체-E-2</t>
        </is>
      </c>
      <c r="B300" s="18" t="inlineStr">
        <is>
          <t>초순수 사용량</t>
        </is>
      </c>
      <c r="C300" s="16" t="n">
        <v>3</v>
      </c>
      <c r="D300" s="17" t="inlineStr">
        <is>
          <t>3단계</t>
        </is>
      </c>
      <c r="E300" s="16" t="n">
        <v>100</v>
      </c>
      <c r="F300" s="18" t="inlineStr">
        <is>
          <t>지난 4개년간 원단위 초순수 사용량 감소 추세 (미산정 시 0점)</t>
        </is>
      </c>
    </row>
    <row r="301" ht="29.25" customHeight="1">
      <c r="A301" s="28" t="inlineStr">
        <is>
          <t>반도체-E-3</t>
        </is>
      </c>
      <c r="B301" s="28" t="inlineStr">
        <is>
          <t>물 부족 지역에서의 용수 사용량</t>
        </is>
      </c>
      <c r="C301" s="26" t="n">
        <v>1</v>
      </c>
      <c r="D301" s="27" t="inlineStr">
        <is>
          <t>1단계</t>
        </is>
      </c>
      <c r="E301" s="26" t="n">
        <v>0</v>
      </c>
      <c r="F301" s="28" t="inlineStr">
        <is>
          <t>지난 4개년간 물부족지역 사업장 원단위 용수사용량 증가 추세 | 2단계: 변동 없음 | 3단계: 감소 추세 (미식별·미측정 시 0점)</t>
        </is>
      </c>
    </row>
    <row r="302" ht="15" customHeight="1">
      <c r="A302" s="18" t="inlineStr">
        <is>
          <t>반도체-E-3</t>
        </is>
      </c>
      <c r="B302" s="18" t="inlineStr">
        <is>
          <t>물 부족 지역에서의 용수 사용량</t>
        </is>
      </c>
      <c r="C302" s="16" t="n">
        <v>2</v>
      </c>
      <c r="D302" s="17" t="inlineStr">
        <is>
          <t>2단계</t>
        </is>
      </c>
      <c r="E302" s="16" t="n">
        <v>50</v>
      </c>
      <c r="F302" s="18" t="inlineStr">
        <is>
          <t>변동 없음</t>
        </is>
      </c>
    </row>
    <row r="303" ht="15" customHeight="1">
      <c r="A303" s="28" t="inlineStr">
        <is>
          <t>반도체-E-3</t>
        </is>
      </c>
      <c r="B303" s="28" t="inlineStr">
        <is>
          <t>물 부족 지역에서의 용수 사용량</t>
        </is>
      </c>
      <c r="C303" s="26" t="n">
        <v>3</v>
      </c>
      <c r="D303" s="27" t="inlineStr">
        <is>
          <t>3단계</t>
        </is>
      </c>
      <c r="E303" s="26" t="n">
        <v>100</v>
      </c>
      <c r="F303" s="28" t="inlineStr">
        <is>
          <t>감소 추세 (미식별·미측정 시 0점)</t>
        </is>
      </c>
    </row>
    <row r="304" ht="15" customHeight="1">
      <c r="A304" s="18" t="inlineStr">
        <is>
          <t>반도체-E-4</t>
        </is>
      </c>
      <c r="B304" s="18" t="inlineStr">
        <is>
          <t>과불화탄소 배출량</t>
        </is>
      </c>
      <c r="C304" s="16" t="n">
        <v>1</v>
      </c>
      <c r="D304" s="17" t="inlineStr">
        <is>
          <t>1단계</t>
        </is>
      </c>
      <c r="E304" s="16" t="n">
        <v>0</v>
      </c>
      <c r="F304" s="18" t="inlineStr">
        <is>
          <t>지난 4개년간 원단위 PFC 배출량 증가 추세 | 2단계: 변동 없음 | 3단계: 감소 추세 (미관리 시 0점)</t>
        </is>
      </c>
    </row>
    <row r="305" ht="15" customHeight="1">
      <c r="A305" s="28" t="inlineStr">
        <is>
          <t>반도체-E-4</t>
        </is>
      </c>
      <c r="B305" s="28" t="inlineStr">
        <is>
          <t>과불화탄소 배출량</t>
        </is>
      </c>
      <c r="C305" s="26" t="n">
        <v>2</v>
      </c>
      <c r="D305" s="27" t="inlineStr">
        <is>
          <t>2단계</t>
        </is>
      </c>
      <c r="E305" s="26" t="n">
        <v>50</v>
      </c>
      <c r="F305" s="28" t="inlineStr">
        <is>
          <t>변동 없음</t>
        </is>
      </c>
    </row>
    <row r="306" ht="15" customHeight="1">
      <c r="A306" s="18" t="inlineStr">
        <is>
          <t>반도체-E-4</t>
        </is>
      </c>
      <c r="B306" s="18" t="inlineStr">
        <is>
          <t>과불화탄소 배출량</t>
        </is>
      </c>
      <c r="C306" s="16" t="n">
        <v>3</v>
      </c>
      <c r="D306" s="17" t="inlineStr">
        <is>
          <t>3단계</t>
        </is>
      </c>
      <c r="E306" s="16" t="n">
        <v>100</v>
      </c>
      <c r="F306" s="18" t="inlineStr">
        <is>
          <t>감소 추세 (미관리 시 0점)</t>
        </is>
      </c>
    </row>
    <row r="307" ht="15" customHeight="1">
      <c r="A307" s="28" t="inlineStr">
        <is>
          <t>반도체-E-5</t>
        </is>
      </c>
      <c r="B307" s="28" t="inlineStr">
        <is>
          <t>휘발성 유기화합물 배출량</t>
        </is>
      </c>
      <c r="C307" s="26" t="n">
        <v>1</v>
      </c>
      <c r="D307" s="27" t="inlineStr">
        <is>
          <t>1단계</t>
        </is>
      </c>
      <c r="E307" s="26" t="n">
        <v>0</v>
      </c>
      <c r="F307" s="28" t="inlineStr">
        <is>
          <t>지난 4개년간 원단위 VOC 배출량 증가 추세 | 2단계: 변동 없음 | 3단계: 감소 추세 (미관리 시 0점)</t>
        </is>
      </c>
    </row>
    <row r="308" ht="15" customHeight="1">
      <c r="A308" s="18" t="inlineStr">
        <is>
          <t>반도체-E-5</t>
        </is>
      </c>
      <c r="B308" s="18" t="inlineStr">
        <is>
          <t>휘발성 유기화합물 배출량</t>
        </is>
      </c>
      <c r="C308" s="16" t="n">
        <v>2</v>
      </c>
      <c r="D308" s="17" t="inlineStr">
        <is>
          <t>2단계</t>
        </is>
      </c>
      <c r="E308" s="16" t="n">
        <v>50</v>
      </c>
      <c r="F308" s="18" t="inlineStr">
        <is>
          <t>변동 없음</t>
        </is>
      </c>
    </row>
    <row r="309" ht="15" customHeight="1">
      <c r="A309" s="28" t="inlineStr">
        <is>
          <t>반도체-E-5</t>
        </is>
      </c>
      <c r="B309" s="28" t="inlineStr">
        <is>
          <t>휘발성 유기화합물 배출량</t>
        </is>
      </c>
      <c r="C309" s="26" t="n">
        <v>3</v>
      </c>
      <c r="D309" s="27" t="inlineStr">
        <is>
          <t>3단계</t>
        </is>
      </c>
      <c r="E309" s="26" t="n">
        <v>100</v>
      </c>
      <c r="F309" s="28" t="inlineStr">
        <is>
          <t>감소 추세 (미관리 시 0점)</t>
        </is>
      </c>
    </row>
    <row r="310" ht="15" customHeight="1">
      <c r="A310" s="17" t="inlineStr">
        <is>
          <t>S-6-3</t>
        </is>
      </c>
      <c r="B310" s="18" t="inlineStr">
        <is>
          <t>협력사 ESG 협약사항</t>
        </is>
      </c>
      <c r="C310" s="16" t="n">
        <v>1</v>
      </c>
      <c r="D310" s="18" t="inlineStr">
        <is>
          <t>요건1</t>
        </is>
      </c>
      <c r="E310" s="16" t="n">
        <v>0</v>
      </c>
      <c r="F310" s="18" t="inlineStr">
        <is>
          <t>협력사의 ESG 추진에 필요한 교육 운영 지원 협약 체결</t>
        </is>
      </c>
    </row>
    <row r="311" ht="15" customHeight="1">
      <c r="A311" s="27" t="inlineStr">
        <is>
          <t>S-6-3</t>
        </is>
      </c>
      <c r="B311" s="28" t="inlineStr">
        <is>
          <t>협력사 ESG 협약사항</t>
        </is>
      </c>
      <c r="C311" s="26" t="n">
        <v>2</v>
      </c>
      <c r="D311" s="28" t="inlineStr">
        <is>
          <t>요건2</t>
        </is>
      </c>
      <c r="E311" s="26" t="n">
        <v>25</v>
      </c>
      <c r="F311" s="28" t="inlineStr">
        <is>
          <t>협력사의 ESG 추진에 필요한 기술 및 R&amp;D 지원 협약 체결</t>
        </is>
      </c>
    </row>
    <row r="312" ht="15" customHeight="1">
      <c r="A312" s="17" t="inlineStr">
        <is>
          <t>S-6-3</t>
        </is>
      </c>
      <c r="B312" s="18" t="inlineStr">
        <is>
          <t>협력사 ESG 협약사항</t>
        </is>
      </c>
      <c r="C312" s="16" t="n">
        <v>3</v>
      </c>
      <c r="D312" s="18" t="inlineStr">
        <is>
          <t>요건3</t>
        </is>
      </c>
      <c r="E312" s="16" t="n">
        <v>50</v>
      </c>
      <c r="F312" s="18" t="inlineStr">
        <is>
          <t>협력사의 ESG 추진에 필요한 금융 및 자금 지원 협약 체결</t>
        </is>
      </c>
    </row>
    <row r="313" ht="15" customHeight="1">
      <c r="A313" s="27" t="inlineStr">
        <is>
          <t>S-6-3</t>
        </is>
      </c>
      <c r="B313" s="28" t="inlineStr">
        <is>
          <t>협력사 ESG 협약사항</t>
        </is>
      </c>
      <c r="C313" s="26" t="n">
        <v>4</v>
      </c>
      <c r="D313" s="28" t="inlineStr">
        <is>
          <t>요건4</t>
        </is>
      </c>
      <c r="E313" s="26" t="n">
        <v>75</v>
      </c>
      <c r="F313" s="28" t="inlineStr">
        <is>
          <t>협력사의 ESG 추진에 필요한 인허가 획득 지원 협약 체결</t>
        </is>
      </c>
    </row>
    <row r="314" ht="15" customHeight="1">
      <c r="A314" s="17" t="inlineStr">
        <is>
          <t>S-6-3</t>
        </is>
      </c>
      <c r="B314" s="18" t="inlineStr">
        <is>
          <t>협력사 ESG 협약사항</t>
        </is>
      </c>
      <c r="C314" s="16" t="n">
        <v>5</v>
      </c>
      <c r="D314" s="18" t="inlineStr">
        <is>
          <t>요건5</t>
        </is>
      </c>
      <c r="E314" s="16" t="n">
        <v>100</v>
      </c>
      <c r="F314" s="18" t="inlineStr">
        <is>
          <t>협력사의 ESG 추진에 필요한 설비/장치 도입 지원 협약 체결</t>
        </is>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ED7D31"/>
    <outlinePr summaryBelow="1" summaryRight="1"/>
    <pageSetUpPr/>
  </sheetPr>
  <dimension ref="A1:J133"/>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7" customWidth="1" min="1" max="1"/>
    <col width="22" customWidth="1" min="2" max="2"/>
    <col width="20" customWidth="1" min="3" max="3"/>
    <col width="10" customWidth="1" min="4" max="4"/>
    <col width="34" customWidth="1" min="5" max="5"/>
    <col width="10" customWidth="1" min="6" max="6"/>
    <col width="20" customWidth="1" min="7" max="7"/>
    <col width="24" customWidth="1" min="8" max="8"/>
    <col width="30" customWidth="1" min="9" max="9"/>
    <col width="18" customWidth="1" min="10" max="10"/>
  </cols>
  <sheetData>
    <row r="1" ht="30" customHeight="1">
      <c r="A1" s="14" t="inlineStr">
        <is>
          <t>순번</t>
        </is>
      </c>
      <c r="B1" s="14" t="inlineStr">
        <is>
          <t>핵심원칙(대분류)</t>
        </is>
      </c>
      <c r="C1" s="14" t="inlineStr">
        <is>
          <t>세부원칙</t>
        </is>
      </c>
      <c r="D1" s="14" t="inlineStr">
        <is>
          <t>지표코드</t>
        </is>
      </c>
      <c r="E1" s="14" t="inlineStr">
        <is>
          <t>지표명</t>
        </is>
      </c>
      <c r="F1" s="14" t="inlineStr">
        <is>
          <t>데이터유형</t>
        </is>
      </c>
      <c r="G1" s="14" t="inlineStr">
        <is>
          <t>크롤링소스(정량 수집처)</t>
        </is>
      </c>
      <c r="H1" s="14" t="inlineStr">
        <is>
          <t>연계 K-ESG 분류코드</t>
        </is>
      </c>
      <c r="I1" s="14" t="inlineStr">
        <is>
          <t>비고/근거</t>
        </is>
      </c>
      <c r="J1" s="13" t="inlineStr">
        <is>
          <t>[입력]자사 현황값</t>
        </is>
      </c>
    </row>
    <row r="2" ht="15" customHeight="1">
      <c r="A2" s="20" t="n">
        <v>1</v>
      </c>
      <c r="B2" s="18" t="inlineStr">
        <is>
          <t>지배구조 핵심지표(15개)</t>
        </is>
      </c>
      <c r="C2" s="17" t="inlineStr">
        <is>
          <t>-</t>
        </is>
      </c>
      <c r="D2" s="38" t="inlineStr">
        <is>
          <t>H01</t>
        </is>
      </c>
      <c r="E2" s="18" t="inlineStr">
        <is>
          <t>주주총회 4주 전 소집공고 실시</t>
        </is>
      </c>
      <c r="F2" s="38" t="inlineStr">
        <is>
          <t>OX</t>
        </is>
      </c>
      <c r="G2" s="18" t="inlineStr">
        <is>
          <t>기업지배구조보고서</t>
        </is>
      </c>
      <c r="H2" s="17" t="inlineStr">
        <is>
          <t>G-3-1</t>
        </is>
      </c>
      <c r="I2" s="18" t="inlineStr">
        <is>
          <t>준수율 산정 15개 항목 중 하나</t>
        </is>
      </c>
      <c r="J2" s="39" t="n"/>
    </row>
    <row r="3" ht="15" customHeight="1">
      <c r="A3" s="29" t="n">
        <v>2</v>
      </c>
      <c r="B3" s="28" t="inlineStr">
        <is>
          <t>지배구조 핵심지표(15개)</t>
        </is>
      </c>
      <c r="C3" s="27" t="inlineStr">
        <is>
          <t>-</t>
        </is>
      </c>
      <c r="D3" s="40" t="inlineStr">
        <is>
          <t>H02</t>
        </is>
      </c>
      <c r="E3" s="28" t="inlineStr">
        <is>
          <t>전자투표 실시</t>
        </is>
      </c>
      <c r="F3" s="40" t="inlineStr">
        <is>
          <t>OX</t>
        </is>
      </c>
      <c r="G3" s="28" t="inlineStr">
        <is>
          <t>기업지배구조보고서</t>
        </is>
      </c>
      <c r="H3" s="27" t="inlineStr">
        <is>
          <t>G-3-3</t>
        </is>
      </c>
      <c r="I3" s="28" t="n"/>
      <c r="J3" s="39" t="n"/>
    </row>
    <row r="4" ht="15" customHeight="1">
      <c r="A4" s="20" t="n">
        <v>3</v>
      </c>
      <c r="B4" s="18" t="inlineStr">
        <is>
          <t>지배구조 핵심지표(15개)</t>
        </is>
      </c>
      <c r="C4" s="17" t="inlineStr">
        <is>
          <t>-</t>
        </is>
      </c>
      <c r="D4" s="38" t="inlineStr">
        <is>
          <t>H03</t>
        </is>
      </c>
      <c r="E4" s="18" t="inlineStr">
        <is>
          <t>주주총회 집중일 이외 개최</t>
        </is>
      </c>
      <c r="F4" s="38" t="inlineStr">
        <is>
          <t>OX</t>
        </is>
      </c>
      <c r="G4" s="18" t="inlineStr">
        <is>
          <t>기업지배구조보고서</t>
        </is>
      </c>
      <c r="H4" s="17" t="inlineStr">
        <is>
          <t>G-3-2</t>
        </is>
      </c>
      <c r="I4" s="18" t="n"/>
      <c r="J4" s="39" t="n"/>
    </row>
    <row r="5" ht="15" customHeight="1">
      <c r="A5" s="29" t="n">
        <v>4</v>
      </c>
      <c r="B5" s="28" t="inlineStr">
        <is>
          <t>지배구조 핵심지표(15개)</t>
        </is>
      </c>
      <c r="C5" s="27" t="inlineStr">
        <is>
          <t>-</t>
        </is>
      </c>
      <c r="D5" s="40" t="inlineStr">
        <is>
          <t>H04</t>
        </is>
      </c>
      <c r="E5" s="28" t="inlineStr">
        <is>
          <t>현금배당 관련 예측가능성 제공</t>
        </is>
      </c>
      <c r="F5" s="40" t="inlineStr">
        <is>
          <t>OX</t>
        </is>
      </c>
      <c r="G5" s="28" t="inlineStr">
        <is>
          <t>기업지배구조보고서</t>
        </is>
      </c>
      <c r="H5" s="27" t="inlineStr">
        <is>
          <t>G-3-4</t>
        </is>
      </c>
      <c r="I5" s="28" t="inlineStr">
        <is>
          <t>배당액 확정일이 배당기준일보다 선행</t>
        </is>
      </c>
      <c r="J5" s="39" t="n"/>
    </row>
    <row r="6" ht="15" customHeight="1">
      <c r="A6" s="20" t="n">
        <v>5</v>
      </c>
      <c r="B6" s="18" t="inlineStr">
        <is>
          <t>지배구조 핵심지표(15개)</t>
        </is>
      </c>
      <c r="C6" s="17" t="inlineStr">
        <is>
          <t>-</t>
        </is>
      </c>
      <c r="D6" s="38" t="inlineStr">
        <is>
          <t>H05</t>
        </is>
      </c>
      <c r="E6" s="18" t="inlineStr">
        <is>
          <t>배당정책·배당실시계획 연1회 이상 주주 통지</t>
        </is>
      </c>
      <c r="F6" s="38" t="inlineStr">
        <is>
          <t>OX</t>
        </is>
      </c>
      <c r="G6" s="18" t="inlineStr">
        <is>
          <t>기업지배구조보고서</t>
        </is>
      </c>
      <c r="H6" s="17" t="inlineStr">
        <is>
          <t>G-3-4</t>
        </is>
      </c>
      <c r="I6" s="18" t="n"/>
      <c r="J6" s="39" t="n"/>
    </row>
    <row r="7" ht="15" customHeight="1">
      <c r="A7" s="29" t="n">
        <v>6</v>
      </c>
      <c r="B7" s="28" t="inlineStr">
        <is>
          <t>지배구조 핵심지표(15개)</t>
        </is>
      </c>
      <c r="C7" s="27" t="inlineStr">
        <is>
          <t>-</t>
        </is>
      </c>
      <c r="D7" s="40" t="inlineStr">
        <is>
          <t>H06</t>
        </is>
      </c>
      <c r="E7" s="28" t="inlineStr">
        <is>
          <t>최고경영자 승계정책 마련 및 운영</t>
        </is>
      </c>
      <c r="F7" s="40" t="inlineStr">
        <is>
          <t>OX</t>
        </is>
      </c>
      <c r="G7" s="28" t="inlineStr">
        <is>
          <t>기업지배구조보고서</t>
        </is>
      </c>
      <c r="H7" s="27" t="inlineStr">
        <is>
          <t>G-경영진-추가1</t>
        </is>
      </c>
      <c r="I7" s="28" t="n"/>
      <c r="J7" s="39" t="n"/>
    </row>
    <row r="8" ht="29.25" customHeight="1">
      <c r="A8" s="20" t="n">
        <v>7</v>
      </c>
      <c r="B8" s="18" t="inlineStr">
        <is>
          <t>지배구조 핵심지표(15개)</t>
        </is>
      </c>
      <c r="C8" s="17" t="inlineStr">
        <is>
          <t>-</t>
        </is>
      </c>
      <c r="D8" s="38" t="inlineStr">
        <is>
          <t>H07</t>
        </is>
      </c>
      <c r="E8" s="18" t="inlineStr">
        <is>
          <t>위험관리 등 내부통제정책 마련 및 운영</t>
        </is>
      </c>
      <c r="F8" s="38" t="inlineStr">
        <is>
          <t>OX</t>
        </is>
      </c>
      <c r="G8" s="18" t="inlineStr">
        <is>
          <t>기업지배구조보고서</t>
        </is>
      </c>
      <c r="H8" s="17" t="inlineStr">
        <is>
          <t>G-4-1</t>
        </is>
      </c>
      <c r="I8" s="18" t="inlineStr">
        <is>
          <t>리스크관리·준법경영·내부회계관리·공시정보관리 모두 충족해야 준수</t>
        </is>
      </c>
      <c r="J8" s="39" t="n"/>
    </row>
    <row r="9" ht="15" customHeight="1">
      <c r="A9" s="29" t="n">
        <v>8</v>
      </c>
      <c r="B9" s="28" t="inlineStr">
        <is>
          <t>지배구조 핵심지표(15개)</t>
        </is>
      </c>
      <c r="C9" s="27" t="inlineStr">
        <is>
          <t>-</t>
        </is>
      </c>
      <c r="D9" s="40" t="inlineStr">
        <is>
          <t>H08</t>
        </is>
      </c>
      <c r="E9" s="28" t="inlineStr">
        <is>
          <t>사외이사가 이사회 의장인지 여부</t>
        </is>
      </c>
      <c r="F9" s="40" t="inlineStr">
        <is>
          <t>OX</t>
        </is>
      </c>
      <c r="G9" s="28" t="inlineStr">
        <is>
          <t>기업지배구조보고서</t>
        </is>
      </c>
      <c r="H9" s="27" t="inlineStr">
        <is>
          <t>G-1-3</t>
        </is>
      </c>
      <c r="I9" s="28" t="n"/>
      <c r="J9" s="39" t="n"/>
    </row>
    <row r="10" ht="15" customHeight="1">
      <c r="A10" s="20" t="n">
        <v>9</v>
      </c>
      <c r="B10" s="18" t="inlineStr">
        <is>
          <t>지배구조 핵심지표(15개)</t>
        </is>
      </c>
      <c r="C10" s="17" t="inlineStr">
        <is>
          <t>-</t>
        </is>
      </c>
      <c r="D10" s="38" t="inlineStr">
        <is>
          <t>H09</t>
        </is>
      </c>
      <c r="E10" s="18" t="inlineStr">
        <is>
          <t>집중투표제 채택</t>
        </is>
      </c>
      <c r="F10" s="38" t="inlineStr">
        <is>
          <t>OX</t>
        </is>
      </c>
      <c r="G10" s="18" t="inlineStr">
        <is>
          <t>기업지배구조보고서</t>
        </is>
      </c>
      <c r="H10" s="17" t="inlineStr">
        <is>
          <t>G-3-3</t>
        </is>
      </c>
      <c r="I10" s="18" t="inlineStr">
        <is>
          <t>정관상 배제하지 않는 경우 해당</t>
        </is>
      </c>
      <c r="J10" s="39" t="n"/>
    </row>
    <row r="11" ht="29.25" customHeight="1">
      <c r="A11" s="29" t="n">
        <v>10</v>
      </c>
      <c r="B11" s="28" t="inlineStr">
        <is>
          <t>지배구조 핵심지표(15개)</t>
        </is>
      </c>
      <c r="C11" s="27" t="inlineStr">
        <is>
          <t>-</t>
        </is>
      </c>
      <c r="D11" s="40" t="inlineStr">
        <is>
          <t>H10</t>
        </is>
      </c>
      <c r="E11" s="28" t="inlineStr">
        <is>
          <t>기업가치 훼손·주주권익 침해 책임자 임원선임 방지 정책 수립</t>
        </is>
      </c>
      <c r="F11" s="40" t="inlineStr">
        <is>
          <t>OX</t>
        </is>
      </c>
      <c r="G11" s="28" t="inlineStr">
        <is>
          <t>기업지배구조보고서</t>
        </is>
      </c>
      <c r="H11" s="27" t="inlineStr">
        <is>
          <t>G-4-1</t>
        </is>
      </c>
      <c r="I11" s="28" t="n"/>
      <c r="J11" s="39" t="n"/>
    </row>
    <row r="12" ht="15" customHeight="1">
      <c r="A12" s="20" t="n">
        <v>11</v>
      </c>
      <c r="B12" s="18" t="inlineStr">
        <is>
          <t>지배구조 핵심지표(15개)</t>
        </is>
      </c>
      <c r="C12" s="17" t="inlineStr">
        <is>
          <t>-</t>
        </is>
      </c>
      <c r="D12" s="38" t="inlineStr">
        <is>
          <t>H11</t>
        </is>
      </c>
      <c r="E12" s="18" t="inlineStr">
        <is>
          <t>이사회 구성원 모두 단일 성별이 아님</t>
        </is>
      </c>
      <c r="F12" s="38" t="inlineStr">
        <is>
          <t>OX</t>
        </is>
      </c>
      <c r="G12" s="18" t="inlineStr">
        <is>
          <t>기업지배구조보고서</t>
        </is>
      </c>
      <c r="H12" s="17" t="inlineStr">
        <is>
          <t>G-1-4</t>
        </is>
      </c>
      <c r="I12" s="18" t="inlineStr">
        <is>
          <t>성별 다양성</t>
        </is>
      </c>
      <c r="J12" s="39" t="n"/>
    </row>
    <row r="13" ht="15" customHeight="1">
      <c r="A13" s="29" t="n">
        <v>12</v>
      </c>
      <c r="B13" s="28" t="inlineStr">
        <is>
          <t>지배구조 핵심지표(15개)</t>
        </is>
      </c>
      <c r="C13" s="27" t="inlineStr">
        <is>
          <t>-</t>
        </is>
      </c>
      <c r="D13" s="40" t="inlineStr">
        <is>
          <t>H12</t>
        </is>
      </c>
      <c r="E13" s="28" t="inlineStr">
        <is>
          <t>독립적인 내부감사부서(지원조직) 설치</t>
        </is>
      </c>
      <c r="F13" s="40" t="inlineStr">
        <is>
          <t>OX</t>
        </is>
      </c>
      <c r="G13" s="28" t="inlineStr">
        <is>
          <t>기업지배구조보고서</t>
        </is>
      </c>
      <c r="H13" s="27" t="inlineStr">
        <is>
          <t>G-5-1</t>
        </is>
      </c>
      <c r="I13" s="28" t="n"/>
      <c r="J13" s="39" t="n"/>
    </row>
    <row r="14" ht="15" customHeight="1">
      <c r="A14" s="20" t="n">
        <v>13</v>
      </c>
      <c r="B14" s="18" t="inlineStr">
        <is>
          <t>지배구조 핵심지표(15개)</t>
        </is>
      </c>
      <c r="C14" s="17" t="inlineStr">
        <is>
          <t>-</t>
        </is>
      </c>
      <c r="D14" s="38" t="inlineStr">
        <is>
          <t>H13</t>
        </is>
      </c>
      <c r="E14" s="18" t="inlineStr">
        <is>
          <t>내부감사기구에 회계·재무 전문가 존재</t>
        </is>
      </c>
      <c r="F14" s="38" t="inlineStr">
        <is>
          <t>OX</t>
        </is>
      </c>
      <c r="G14" s="18" t="inlineStr">
        <is>
          <t>기업지배구조보고서</t>
        </is>
      </c>
      <c r="H14" s="17" t="inlineStr">
        <is>
          <t>G-5-2</t>
        </is>
      </c>
      <c r="I14" s="18" t="n"/>
      <c r="J14" s="39" t="n"/>
    </row>
    <row r="15" ht="29.25" customHeight="1">
      <c r="A15" s="29" t="n">
        <v>14</v>
      </c>
      <c r="B15" s="28" t="inlineStr">
        <is>
          <t>지배구조 핵심지표(15개)</t>
        </is>
      </c>
      <c r="C15" s="27" t="inlineStr">
        <is>
          <t>-</t>
        </is>
      </c>
      <c r="D15" s="40" t="inlineStr">
        <is>
          <t>H14</t>
        </is>
      </c>
      <c r="E15" s="28" t="inlineStr">
        <is>
          <t>내부감사기구-외부감사인 분기 1회 이상 경영진 없이 회의</t>
        </is>
      </c>
      <c r="F15" s="40" t="inlineStr">
        <is>
          <t>OX</t>
        </is>
      </c>
      <c r="G15" s="28" t="inlineStr">
        <is>
          <t>기업지배구조보고서</t>
        </is>
      </c>
      <c r="H15" s="27" t="inlineStr">
        <is>
          <t>G-5-1</t>
        </is>
      </c>
      <c r="I15" s="28" t="n"/>
      <c r="J15" s="39" t="n"/>
    </row>
    <row r="16" ht="29.25" customHeight="1">
      <c r="A16" s="20" t="n">
        <v>15</v>
      </c>
      <c r="B16" s="18" t="inlineStr">
        <is>
          <t>지배구조 핵심지표(15개)</t>
        </is>
      </c>
      <c r="C16" s="17" t="inlineStr">
        <is>
          <t>-</t>
        </is>
      </c>
      <c r="D16" s="38" t="inlineStr">
        <is>
          <t>H15</t>
        </is>
      </c>
      <c r="E16" s="18" t="inlineStr">
        <is>
          <t>경영 중요정보에 내부감사기구 접근 가능한 절차 마련</t>
        </is>
      </c>
      <c r="F16" s="38" t="inlineStr">
        <is>
          <t>OX</t>
        </is>
      </c>
      <c r="G16" s="18" t="inlineStr">
        <is>
          <t>기업지배구조보고서</t>
        </is>
      </c>
      <c r="H16" s="17" t="inlineStr">
        <is>
          <t>G-5-1</t>
        </is>
      </c>
      <c r="I16" s="18" t="n"/>
      <c r="J16" s="39" t="n"/>
    </row>
    <row r="17" ht="15" customHeight="1">
      <c r="A17" s="29" t="n">
        <v>16</v>
      </c>
      <c r="B17" s="28" t="inlineStr">
        <is>
          <t>핵심원칙1_주주의권리</t>
        </is>
      </c>
      <c r="C17" s="27" t="inlineStr">
        <is>
          <t>1-①_주주총회정보제공</t>
        </is>
      </c>
      <c r="D17" s="40" t="inlineStr">
        <is>
          <t>101</t>
        </is>
      </c>
      <c r="E17" s="28" t="inlineStr">
        <is>
          <t>소집공고일~주주총회일 간격(일)</t>
        </is>
      </c>
      <c r="F17" s="29" t="inlineStr">
        <is>
          <t>숫자</t>
        </is>
      </c>
      <c r="G17" s="28" t="inlineStr">
        <is>
          <t>기업지배구조보고서</t>
        </is>
      </c>
      <c r="H17" s="27" t="inlineStr">
        <is>
          <t>G-3-1, G-3-3</t>
        </is>
      </c>
      <c r="I17" s="27" t="inlineStr">
        <is>
          <t>4주 초과 여부 판단 근거</t>
        </is>
      </c>
      <c r="J17" s="39" t="n"/>
    </row>
    <row r="18" ht="15" customHeight="1">
      <c r="A18" s="20" t="n">
        <v>17</v>
      </c>
      <c r="B18" s="18" t="inlineStr">
        <is>
          <t>핵심원칙1_주주의권리</t>
        </is>
      </c>
      <c r="C18" s="17" t="inlineStr">
        <is>
          <t>1-①_주주총회정보제공</t>
        </is>
      </c>
      <c r="D18" s="38" t="inlineStr">
        <is>
          <t>102</t>
        </is>
      </c>
      <c r="E18" s="18" t="inlineStr">
        <is>
          <t>외국인 주주 이해가능 소집통지 실시여부</t>
        </is>
      </c>
      <c r="F18" s="38" t="inlineStr">
        <is>
          <t>OX</t>
        </is>
      </c>
      <c r="G18" s="18" t="inlineStr">
        <is>
          <t>기업지배구조보고서</t>
        </is>
      </c>
      <c r="H18" s="17" t="inlineStr">
        <is>
          <t>G-3-1, G-3-3</t>
        </is>
      </c>
      <c r="I18" s="18" t="n"/>
      <c r="J18" s="39" t="n"/>
    </row>
    <row r="19" ht="15" customHeight="1">
      <c r="A19" s="29" t="n">
        <v>18</v>
      </c>
      <c r="B19" s="28" t="inlineStr">
        <is>
          <t>핵심원칙1_주주의권리</t>
        </is>
      </c>
      <c r="C19" s="27" t="inlineStr">
        <is>
          <t>1-②_의결권행사</t>
        </is>
      </c>
      <c r="D19" s="40" t="inlineStr">
        <is>
          <t>103</t>
        </is>
      </c>
      <c r="E19" s="28" t="inlineStr">
        <is>
          <t>정기주총 집중일 회피 여부</t>
        </is>
      </c>
      <c r="F19" s="40" t="inlineStr">
        <is>
          <t>OX</t>
        </is>
      </c>
      <c r="G19" s="28" t="inlineStr">
        <is>
          <t>기업지배구조보고서</t>
        </is>
      </c>
      <c r="H19" s="27" t="inlineStr">
        <is>
          <t>G-3-1, G-3-3</t>
        </is>
      </c>
      <c r="I19" s="28" t="inlineStr">
        <is>
          <t>최근 3개년</t>
        </is>
      </c>
      <c r="J19" s="39" t="n"/>
    </row>
    <row r="20" ht="15" customHeight="1">
      <c r="A20" s="20" t="n">
        <v>19</v>
      </c>
      <c r="B20" s="18" t="inlineStr">
        <is>
          <t>핵심원칙1_주주의권리</t>
        </is>
      </c>
      <c r="C20" s="17" t="inlineStr">
        <is>
          <t>1-②_의결권행사</t>
        </is>
      </c>
      <c r="D20" s="38" t="inlineStr">
        <is>
          <t>104</t>
        </is>
      </c>
      <c r="E20" s="18" t="inlineStr">
        <is>
          <t>서면투표 실시여부</t>
        </is>
      </c>
      <c r="F20" s="38" t="inlineStr">
        <is>
          <t>OX</t>
        </is>
      </c>
      <c r="G20" s="18" t="inlineStr">
        <is>
          <t>기업지배구조보고서</t>
        </is>
      </c>
      <c r="H20" s="17" t="inlineStr">
        <is>
          <t>G-3-1, G-3-3</t>
        </is>
      </c>
      <c r="I20" s="18" t="n"/>
      <c r="J20" s="39" t="n"/>
    </row>
    <row r="21" ht="15" customHeight="1">
      <c r="A21" s="29" t="n">
        <v>20</v>
      </c>
      <c r="B21" s="28" t="inlineStr">
        <is>
          <t>핵심원칙1_주주의권리</t>
        </is>
      </c>
      <c r="C21" s="27" t="inlineStr">
        <is>
          <t>1-②_의결권행사</t>
        </is>
      </c>
      <c r="D21" s="40" t="inlineStr">
        <is>
          <t>105</t>
        </is>
      </c>
      <c r="E21" s="28" t="inlineStr">
        <is>
          <t>전자투표 실시여부</t>
        </is>
      </c>
      <c r="F21" s="40" t="inlineStr">
        <is>
          <t>OX</t>
        </is>
      </c>
      <c r="G21" s="28" t="inlineStr">
        <is>
          <t>기업지배구조보고서</t>
        </is>
      </c>
      <c r="H21" s="27" t="inlineStr">
        <is>
          <t>G-3-1, G-3-3</t>
        </is>
      </c>
      <c r="I21" s="28" t="n"/>
      <c r="J21" s="39" t="n"/>
    </row>
    <row r="22" ht="15" customHeight="1">
      <c r="A22" s="20" t="n">
        <v>21</v>
      </c>
      <c r="B22" s="18" t="inlineStr">
        <is>
          <t>핵심원칙1_주주의권리</t>
        </is>
      </c>
      <c r="C22" s="17" t="inlineStr">
        <is>
          <t>1-②_의결권행사</t>
        </is>
      </c>
      <c r="D22" s="38" t="inlineStr">
        <is>
          <t>106</t>
        </is>
      </c>
      <c r="E22" s="18" t="inlineStr">
        <is>
          <t>의결권 대리행사 권유 여부</t>
        </is>
      </c>
      <c r="F22" s="38" t="inlineStr">
        <is>
          <t>OX</t>
        </is>
      </c>
      <c r="G22" s="18" t="inlineStr">
        <is>
          <t>기업지배구조보고서</t>
        </is>
      </c>
      <c r="H22" s="17" t="inlineStr">
        <is>
          <t>G-3-1, G-3-3</t>
        </is>
      </c>
      <c r="I22" s="18" t="n"/>
      <c r="J22" s="39" t="n"/>
    </row>
    <row r="23" ht="15" customHeight="1">
      <c r="A23" s="29" t="n">
        <v>22</v>
      </c>
      <c r="B23" s="28" t="inlineStr">
        <is>
          <t>핵심원칙1_주주의권리</t>
        </is>
      </c>
      <c r="C23" s="27" t="inlineStr">
        <is>
          <t>1-②_의결권행사</t>
        </is>
      </c>
      <c r="D23" s="40" t="inlineStr">
        <is>
          <t>107</t>
        </is>
      </c>
      <c r="E23" s="28" t="inlineStr">
        <is>
          <t>안건별 찬성/반대(기권) 비율(%)</t>
        </is>
      </c>
      <c r="F23" s="29" t="inlineStr">
        <is>
          <t>숫자</t>
        </is>
      </c>
      <c r="G23" s="28" t="inlineStr">
        <is>
          <t>기업지배구조보고서</t>
        </is>
      </c>
      <c r="H23" s="27" t="inlineStr">
        <is>
          <t>G-3-1, G-3-3</t>
        </is>
      </c>
      <c r="I23" s="28" t="n"/>
      <c r="J23" s="39" t="n"/>
    </row>
    <row r="24" ht="15" customHeight="1">
      <c r="A24" s="20" t="n">
        <v>23</v>
      </c>
      <c r="B24" s="18" t="inlineStr">
        <is>
          <t>핵심원칙1_주주의권리</t>
        </is>
      </c>
      <c r="C24" s="17" t="inlineStr">
        <is>
          <t>1-③_주주제안권</t>
        </is>
      </c>
      <c r="D24" s="38" t="inlineStr">
        <is>
          <t>108</t>
        </is>
      </c>
      <c r="E24" s="18" t="inlineStr">
        <is>
          <t>주주제안 절차 홈페이지 등 안내 시행여부</t>
        </is>
      </c>
      <c r="F24" s="38" t="inlineStr">
        <is>
          <t>OX</t>
        </is>
      </c>
      <c r="G24" s="18" t="inlineStr">
        <is>
          <t>기업지배구조보고서</t>
        </is>
      </c>
      <c r="H24" s="17" t="inlineStr">
        <is>
          <t>G-3(주주권리 보강)</t>
        </is>
      </c>
      <c r="I24" s="18" t="n"/>
      <c r="J24" s="39" t="n"/>
    </row>
    <row r="25" ht="15" customHeight="1">
      <c r="A25" s="29" t="n">
        <v>24</v>
      </c>
      <c r="B25" s="28" t="inlineStr">
        <is>
          <t>핵심원칙1_주주의권리</t>
        </is>
      </c>
      <c r="C25" s="27" t="inlineStr">
        <is>
          <t>1-③_주주제안권</t>
        </is>
      </c>
      <c r="D25" s="40" t="inlineStr">
        <is>
          <t>109</t>
        </is>
      </c>
      <c r="E25" s="28" t="inlineStr">
        <is>
          <t>주주제안 처리절차·기준 규정 시행여부</t>
        </is>
      </c>
      <c r="F25" s="40" t="inlineStr">
        <is>
          <t>OX</t>
        </is>
      </c>
      <c r="G25" s="28" t="inlineStr">
        <is>
          <t>기업지배구조보고서</t>
        </is>
      </c>
      <c r="H25" s="27" t="inlineStr">
        <is>
          <t>G-3(주주권리 보강)</t>
        </is>
      </c>
      <c r="I25" s="28" t="n"/>
      <c r="J25" s="39" t="n"/>
    </row>
    <row r="26" ht="15" customHeight="1">
      <c r="A26" s="20" t="n">
        <v>25</v>
      </c>
      <c r="B26" s="18" t="inlineStr">
        <is>
          <t>핵심원칙1_주주의권리</t>
        </is>
      </c>
      <c r="C26" s="17" t="inlineStr">
        <is>
          <t>1-③_주주제안권</t>
        </is>
      </c>
      <c r="D26" s="38" t="inlineStr">
        <is>
          <t>110</t>
        </is>
      </c>
      <c r="E26" s="18" t="inlineStr">
        <is>
          <t>공시대상기간 내 주주제안 건수 및 이행상황</t>
        </is>
      </c>
      <c r="F26" s="20" t="inlineStr">
        <is>
          <t>숫자/텍스트</t>
        </is>
      </c>
      <c r="G26" s="18" t="inlineStr">
        <is>
          <t>기업지배구조보고서</t>
        </is>
      </c>
      <c r="H26" s="17" t="inlineStr">
        <is>
          <t>G-3(주주권리 보강)</t>
        </is>
      </c>
      <c r="I26" s="18" t="n"/>
      <c r="J26" s="39" t="n"/>
    </row>
    <row r="27" ht="15" customHeight="1">
      <c r="A27" s="29" t="n">
        <v>26</v>
      </c>
      <c r="B27" s="28" t="inlineStr">
        <is>
          <t>핵심원칙1_주주의권리</t>
        </is>
      </c>
      <c r="C27" s="27" t="inlineStr">
        <is>
          <t>1-③_주주제안권</t>
        </is>
      </c>
      <c r="D27" s="40" t="inlineStr">
        <is>
          <t>111</t>
        </is>
      </c>
      <c r="E27" s="28" t="inlineStr">
        <is>
          <t>공개서한 접수 여부 및 처리현황</t>
        </is>
      </c>
      <c r="F27" s="40" t="inlineStr">
        <is>
          <t>OX/텍스트</t>
        </is>
      </c>
      <c r="G27" s="28" t="inlineStr">
        <is>
          <t>기업지배구조보고서</t>
        </is>
      </c>
      <c r="H27" s="27" t="inlineStr">
        <is>
          <t>G-3(주주권리 보강)</t>
        </is>
      </c>
      <c r="I27" s="28" t="n"/>
      <c r="J27" s="39" t="n"/>
    </row>
    <row r="28" ht="15" customHeight="1">
      <c r="A28" s="20" t="n">
        <v>27</v>
      </c>
      <c r="B28" s="18" t="inlineStr">
        <is>
          <t>핵심원칙1_주주의권리</t>
        </is>
      </c>
      <c r="C28" s="17" t="inlineStr">
        <is>
          <t>1-④_주주환원정책</t>
        </is>
      </c>
      <c r="D28" s="38" t="inlineStr">
        <is>
          <t>112</t>
        </is>
      </c>
      <c r="E28" s="18" t="inlineStr">
        <is>
          <t>주주환원정책(배당 포함) 수립여부</t>
        </is>
      </c>
      <c r="F28" s="38" t="inlineStr">
        <is>
          <t>OX</t>
        </is>
      </c>
      <c r="G28" s="18" t="inlineStr">
        <is>
          <t>기업지배구조보고서</t>
        </is>
      </c>
      <c r="H28" s="17" t="inlineStr">
        <is>
          <t>G-3-4</t>
        </is>
      </c>
      <c r="I28" s="18" t="n"/>
      <c r="J28" s="39" t="n"/>
    </row>
    <row r="29" ht="15" customHeight="1">
      <c r="A29" s="29" t="n">
        <v>28</v>
      </c>
      <c r="B29" s="28" t="inlineStr">
        <is>
          <t>핵심원칙1_주주의권리</t>
        </is>
      </c>
      <c r="C29" s="27" t="inlineStr">
        <is>
          <t>1-④_주주환원정책</t>
        </is>
      </c>
      <c r="D29" s="40" t="inlineStr">
        <is>
          <t>113</t>
        </is>
      </c>
      <c r="E29" s="28" t="inlineStr">
        <is>
          <t>주주환원정책 연1회 통지 여부</t>
        </is>
      </c>
      <c r="F29" s="40" t="inlineStr">
        <is>
          <t>OX</t>
        </is>
      </c>
      <c r="G29" s="28" t="inlineStr">
        <is>
          <t>기업지배구조보고서</t>
        </is>
      </c>
      <c r="H29" s="27" t="inlineStr">
        <is>
          <t>G-3-4</t>
        </is>
      </c>
      <c r="I29" s="28" t="n"/>
      <c r="J29" s="39" t="n"/>
    </row>
    <row r="30" ht="15" customHeight="1">
      <c r="A30" s="20" t="n">
        <v>29</v>
      </c>
      <c r="B30" s="18" t="inlineStr">
        <is>
          <t>핵심원칙1_주주의권리</t>
        </is>
      </c>
      <c r="C30" s="17" t="inlineStr">
        <is>
          <t>1-④_주주환원정책</t>
        </is>
      </c>
      <c r="D30" s="38" t="inlineStr">
        <is>
          <t>114</t>
        </is>
      </c>
      <c r="E30" s="18" t="inlineStr">
        <is>
          <t>주주환원정책 영문자료 제공 여부</t>
        </is>
      </c>
      <c r="F30" s="38" t="inlineStr">
        <is>
          <t>OX</t>
        </is>
      </c>
      <c r="G30" s="18" t="inlineStr">
        <is>
          <t>기업지배구조보고서</t>
        </is>
      </c>
      <c r="H30" s="17" t="inlineStr">
        <is>
          <t>G-3-4</t>
        </is>
      </c>
      <c r="I30" s="18" t="n"/>
      <c r="J30" s="39" t="n"/>
    </row>
    <row r="31" ht="29.25" customHeight="1">
      <c r="A31" s="29" t="n">
        <v>30</v>
      </c>
      <c r="B31" s="28" t="inlineStr">
        <is>
          <t>핵심원칙1_주주의권리</t>
        </is>
      </c>
      <c r="C31" s="27" t="inlineStr">
        <is>
          <t>1-④_주주환원정책</t>
        </is>
      </c>
      <c r="D31" s="40" t="inlineStr">
        <is>
          <t>115</t>
        </is>
      </c>
      <c r="E31" s="28" t="inlineStr">
        <is>
          <t>현금배당 관련 예측가능성 제공(배당기준일 이전 배당결정)</t>
        </is>
      </c>
      <c r="F31" s="40" t="inlineStr">
        <is>
          <t>OX</t>
        </is>
      </c>
      <c r="G31" s="28" t="inlineStr">
        <is>
          <t>기업지배구조보고서</t>
        </is>
      </c>
      <c r="H31" s="27" t="inlineStr">
        <is>
          <t>G-3-4</t>
        </is>
      </c>
      <c r="I31" s="28" t="inlineStr">
        <is>
          <t>표 1-4-1</t>
        </is>
      </c>
      <c r="J31" s="39" t="n"/>
    </row>
    <row r="32" ht="15" customHeight="1">
      <c r="A32" s="20" t="n">
        <v>31</v>
      </c>
      <c r="B32" s="18" t="inlineStr">
        <is>
          <t>핵심원칙1_주주의권리</t>
        </is>
      </c>
      <c r="C32" s="17" t="inlineStr">
        <is>
          <t>1-④_주주환원정책</t>
        </is>
      </c>
      <c r="D32" s="38" t="inlineStr">
        <is>
          <t>116</t>
        </is>
      </c>
      <c r="E32" s="18" t="inlineStr">
        <is>
          <t>상장회사협의회 표준정관 개정 반영 여부</t>
        </is>
      </c>
      <c r="F32" s="38" t="inlineStr">
        <is>
          <t>OX</t>
        </is>
      </c>
      <c r="G32" s="18" t="inlineStr">
        <is>
          <t>기업지배구조보고서</t>
        </is>
      </c>
      <c r="H32" s="17" t="inlineStr">
        <is>
          <t>G-3-4</t>
        </is>
      </c>
      <c r="I32" s="18" t="n"/>
      <c r="J32" s="39" t="n"/>
    </row>
    <row r="33" ht="29.25" customHeight="1">
      <c r="A33" s="29" t="n">
        <v>32</v>
      </c>
      <c r="B33" s="28" t="inlineStr">
        <is>
          <t>핵심원칙1_주주의권리</t>
        </is>
      </c>
      <c r="C33" s="27" t="inlineStr">
        <is>
          <t>1-⑤_배당등주주권리</t>
        </is>
      </c>
      <c r="D33" s="40" t="inlineStr">
        <is>
          <t>117</t>
        </is>
      </c>
      <c r="E33" s="28" t="inlineStr">
        <is>
          <t>최근 3개년 주당 배당금</t>
        </is>
      </c>
      <c r="F33" s="29" t="inlineStr">
        <is>
          <t>숫자</t>
        </is>
      </c>
      <c r="G33" s="28" t="inlineStr">
        <is>
          <t>기업지배구조보고서/지속가능경영보고서</t>
        </is>
      </c>
      <c r="H33" s="27" t="inlineStr">
        <is>
          <t>G-3-4</t>
        </is>
      </c>
      <c r="I33" s="28" t="inlineStr">
        <is>
          <t>표 1-5-1-1</t>
        </is>
      </c>
      <c r="J33" s="39" t="n"/>
    </row>
    <row r="34" ht="29.25" customHeight="1">
      <c r="A34" s="20" t="n">
        <v>33</v>
      </c>
      <c r="B34" s="18" t="inlineStr">
        <is>
          <t>핵심원칙1_주주의권리</t>
        </is>
      </c>
      <c r="C34" s="17" t="inlineStr">
        <is>
          <t>1-⑤_배당등주주권리</t>
        </is>
      </c>
      <c r="D34" s="38" t="inlineStr">
        <is>
          <t>118</t>
        </is>
      </c>
      <c r="E34" s="18" t="inlineStr">
        <is>
          <t>최근 3개년 시가배당률(%)</t>
        </is>
      </c>
      <c r="F34" s="20" t="inlineStr">
        <is>
          <t>숫자</t>
        </is>
      </c>
      <c r="G34" s="18" t="inlineStr">
        <is>
          <t>기업지배구조보고서/지속가능경영보고서</t>
        </is>
      </c>
      <c r="H34" s="17" t="inlineStr">
        <is>
          <t>G-3-4</t>
        </is>
      </c>
      <c r="I34" s="18" t="n"/>
      <c r="J34" s="39" t="n"/>
    </row>
    <row r="35" ht="29.25" customHeight="1">
      <c r="A35" s="29" t="n">
        <v>34</v>
      </c>
      <c r="B35" s="28" t="inlineStr">
        <is>
          <t>핵심원칙1_주주의권리</t>
        </is>
      </c>
      <c r="C35" s="27" t="inlineStr">
        <is>
          <t>1-⑤_배당등주주권리</t>
        </is>
      </c>
      <c r="D35" s="40" t="inlineStr">
        <is>
          <t>119</t>
        </is>
      </c>
      <c r="E35" s="28" t="inlineStr">
        <is>
          <t>최근 3개년 현금배당성향(연결/개별, %)</t>
        </is>
      </c>
      <c r="F35" s="29" t="inlineStr">
        <is>
          <t>숫자</t>
        </is>
      </c>
      <c r="G35" s="28" t="inlineStr">
        <is>
          <t>기업지배구조보고서/지속가능경영보고서</t>
        </is>
      </c>
      <c r="H35" s="27" t="inlineStr">
        <is>
          <t>G-3-4</t>
        </is>
      </c>
      <c r="I35" s="28" t="inlineStr">
        <is>
          <t>표 1-5-1-2</t>
        </is>
      </c>
      <c r="J35" s="39" t="n"/>
    </row>
    <row r="36" ht="15" customHeight="1">
      <c r="A36" s="20" t="n">
        <v>35</v>
      </c>
      <c r="B36" s="18" t="inlineStr">
        <is>
          <t>핵심원칙1_주주의권리</t>
        </is>
      </c>
      <c r="C36" s="17" t="inlineStr">
        <is>
          <t>1-⑤_배당등주주권리</t>
        </is>
      </c>
      <c r="D36" s="38" t="inlineStr">
        <is>
          <t>120</t>
        </is>
      </c>
      <c r="E36" s="18" t="inlineStr">
        <is>
          <t>차등배당·분기배당·중간배당 실시여부</t>
        </is>
      </c>
      <c r="F36" s="38" t="inlineStr">
        <is>
          <t>OX</t>
        </is>
      </c>
      <c r="G36" s="18" t="inlineStr">
        <is>
          <t>기업지배구조보고서</t>
        </is>
      </c>
      <c r="H36" s="17" t="inlineStr">
        <is>
          <t>G-3-4</t>
        </is>
      </c>
      <c r="I36" s="18" t="n"/>
      <c r="J36" s="39" t="n"/>
    </row>
    <row r="37" ht="29.25" customHeight="1">
      <c r="A37" s="29" t="n">
        <v>36</v>
      </c>
      <c r="B37" s="28" t="inlineStr">
        <is>
          <t>핵심원칙1_주주의권리</t>
        </is>
      </c>
      <c r="C37" s="27" t="inlineStr">
        <is>
          <t>1-⑤_배당등주주권리</t>
        </is>
      </c>
      <c r="D37" s="40" t="inlineStr">
        <is>
          <t>121</t>
        </is>
      </c>
      <c r="E37" s="28" t="inlineStr">
        <is>
          <t>자사주 매입·소각 등 배당외 주주환원 실시내역</t>
        </is>
      </c>
      <c r="F37" s="29" t="inlineStr">
        <is>
          <t>텍스트</t>
        </is>
      </c>
      <c r="G37" s="28" t="inlineStr">
        <is>
          <t>기업지배구조보고서/지속가능경영보고서</t>
        </is>
      </c>
      <c r="H37" s="27" t="inlineStr">
        <is>
          <t>G-3-4</t>
        </is>
      </c>
      <c r="I37" s="28" t="n"/>
      <c r="J37" s="39" t="n"/>
    </row>
    <row r="38" ht="29.25" customHeight="1">
      <c r="A38" s="20" t="n">
        <v>37</v>
      </c>
      <c r="B38" s="18" t="inlineStr">
        <is>
          <t>핵심원칙2_주주의공평한대우</t>
        </is>
      </c>
      <c r="C38" s="17" t="inlineStr">
        <is>
          <t>2-①_의결권및정보제공</t>
        </is>
      </c>
      <c r="D38" s="38" t="inlineStr">
        <is>
          <t>201</t>
        </is>
      </c>
      <c r="E38" s="18" t="inlineStr">
        <is>
          <t>발행가능주식총수 대비 발행주식수(%)</t>
        </is>
      </c>
      <c r="F38" s="20" t="inlineStr">
        <is>
          <t>숫자</t>
        </is>
      </c>
      <c r="G38" s="18" t="inlineStr">
        <is>
          <t>기업지배구조보고서</t>
        </is>
      </c>
      <c r="H38" s="17" t="inlineStr">
        <is>
          <t>G-3(주주권리 보강)</t>
        </is>
      </c>
      <c r="I38" s="18" t="n"/>
      <c r="J38" s="39" t="n"/>
    </row>
    <row r="39" ht="29.25" customHeight="1">
      <c r="A39" s="29" t="n">
        <v>38</v>
      </c>
      <c r="B39" s="28" t="inlineStr">
        <is>
          <t>핵심원칙2_주주의공평한대우</t>
        </is>
      </c>
      <c r="C39" s="27" t="inlineStr">
        <is>
          <t>2-①_의결권및정보제공</t>
        </is>
      </c>
      <c r="D39" s="40" t="inlineStr">
        <is>
          <t>202</t>
        </is>
      </c>
      <c r="E39" s="28" t="inlineStr">
        <is>
          <t>종류주식별 의결권 부여 내용</t>
        </is>
      </c>
      <c r="F39" s="29" t="inlineStr">
        <is>
          <t>텍스트</t>
        </is>
      </c>
      <c r="G39" s="28" t="inlineStr">
        <is>
          <t>기업지배구조보고서</t>
        </is>
      </c>
      <c r="H39" s="27" t="inlineStr">
        <is>
          <t>G-3(주주권리 보강)</t>
        </is>
      </c>
      <c r="I39" s="28" t="n"/>
      <c r="J39" s="39" t="n"/>
    </row>
    <row r="40" ht="29.25" customHeight="1">
      <c r="A40" s="20" t="n">
        <v>39</v>
      </c>
      <c r="B40" s="18" t="inlineStr">
        <is>
          <t>핵심원칙2_주주의공평한대우</t>
        </is>
      </c>
      <c r="C40" s="17" t="inlineStr">
        <is>
          <t>2-①_의결권및정보제공</t>
        </is>
      </c>
      <c r="D40" s="38" t="inlineStr">
        <is>
          <t>203</t>
        </is>
      </c>
      <c r="E40" s="17" t="inlineStr">
        <is>
          <t>IR·컨퍼런스콜 등 주주와의 대화 개최 여부</t>
        </is>
      </c>
      <c r="F40" s="38" t="inlineStr">
        <is>
          <t>OX</t>
        </is>
      </c>
      <c r="G40" s="18" t="inlineStr">
        <is>
          <t>기업지배구조보고서/지속가능경영보고서</t>
        </is>
      </c>
      <c r="H40" s="17" t="inlineStr">
        <is>
          <t>G-3(주주권리 보강)</t>
        </is>
      </c>
      <c r="I40" s="18" t="n"/>
      <c r="J40" s="39" t="n"/>
    </row>
    <row r="41" ht="29.25" customHeight="1">
      <c r="A41" s="29" t="n">
        <v>40</v>
      </c>
      <c r="B41" s="28" t="inlineStr">
        <is>
          <t>핵심원칙2_주주의공평한대우</t>
        </is>
      </c>
      <c r="C41" s="27" t="inlineStr">
        <is>
          <t>2-①_의결권및정보제공</t>
        </is>
      </c>
      <c r="D41" s="40" t="inlineStr">
        <is>
          <t>204</t>
        </is>
      </c>
      <c r="E41" s="28" t="inlineStr">
        <is>
          <t>소액주주 별도 소통행사 개최여부</t>
        </is>
      </c>
      <c r="F41" s="40" t="inlineStr">
        <is>
          <t>OX</t>
        </is>
      </c>
      <c r="G41" s="28" t="inlineStr">
        <is>
          <t>기업지배구조보고서/지속가능경영보고서</t>
        </is>
      </c>
      <c r="H41" s="27" t="inlineStr">
        <is>
          <t>G-3(주주권리 보강)</t>
        </is>
      </c>
      <c r="I41" s="28" t="n"/>
      <c r="J41" s="39" t="n"/>
    </row>
    <row r="42" ht="29.25" customHeight="1">
      <c r="A42" s="20" t="n">
        <v>41</v>
      </c>
      <c r="B42" s="18" t="inlineStr">
        <is>
          <t>핵심원칙2_주주의공평한대우</t>
        </is>
      </c>
      <c r="C42" s="17" t="inlineStr">
        <is>
          <t>2-①_의결권및정보제공</t>
        </is>
      </c>
      <c r="D42" s="38" t="inlineStr">
        <is>
          <t>205</t>
        </is>
      </c>
      <c r="E42" s="18" t="inlineStr">
        <is>
          <t>해외투자자 별도 소통행사 개최여부</t>
        </is>
      </c>
      <c r="F42" s="38" t="inlineStr">
        <is>
          <t>OX</t>
        </is>
      </c>
      <c r="G42" s="18" t="inlineStr">
        <is>
          <t>기업지배구조보고서/지속가능경영보고서</t>
        </is>
      </c>
      <c r="H42" s="17" t="inlineStr">
        <is>
          <t>G-3(주주권리 보강)</t>
        </is>
      </c>
      <c r="I42" s="18" t="n"/>
      <c r="J42" s="39" t="n"/>
    </row>
    <row r="43" ht="29.25" customHeight="1">
      <c r="A43" s="29" t="n">
        <v>42</v>
      </c>
      <c r="B43" s="28" t="inlineStr">
        <is>
          <t>핵심원칙2_주주의공평한대우</t>
        </is>
      </c>
      <c r="C43" s="27" t="inlineStr">
        <is>
          <t>2-①_의결권및정보제공</t>
        </is>
      </c>
      <c r="D43" s="40" t="inlineStr">
        <is>
          <t>206</t>
        </is>
      </c>
      <c r="E43" s="27" t="inlineStr">
        <is>
          <t>IR 담당부서 연락처 상세 안내(문의창구) 시행여부</t>
        </is>
      </c>
      <c r="F43" s="40" t="inlineStr">
        <is>
          <t>OX</t>
        </is>
      </c>
      <c r="G43" s="28" t="inlineStr">
        <is>
          <t>기업지배구조보고서/지속가능경영보고서</t>
        </is>
      </c>
      <c r="H43" s="27" t="inlineStr">
        <is>
          <t>G-3(주주권리 보강)</t>
        </is>
      </c>
      <c r="I43" s="28" t="n"/>
      <c r="J43" s="39" t="n"/>
    </row>
    <row r="44" ht="29.25" customHeight="1">
      <c r="A44" s="20" t="n">
        <v>43</v>
      </c>
      <c r="B44" s="18" t="inlineStr">
        <is>
          <t>핵심원칙2_주주의공평한대우</t>
        </is>
      </c>
      <c r="C44" s="17" t="inlineStr">
        <is>
          <t>2-①_의결권및정보제공</t>
        </is>
      </c>
      <c r="D44" s="38" t="inlineStr">
        <is>
          <t>207</t>
        </is>
      </c>
      <c r="E44" s="18" t="inlineStr">
        <is>
          <t>영문 IR 사이트 운영 여부</t>
        </is>
      </c>
      <c r="F44" s="38" t="inlineStr">
        <is>
          <t>OX</t>
        </is>
      </c>
      <c r="G44" s="18" t="inlineStr">
        <is>
          <t>기업지배구조보고서/지속가능경영보고서</t>
        </is>
      </c>
      <c r="H44" s="17" t="inlineStr">
        <is>
          <t>G-3(주주권리 보강)</t>
        </is>
      </c>
      <c r="I44" s="18" t="n"/>
      <c r="J44" s="39" t="n"/>
    </row>
    <row r="45" ht="29.25" customHeight="1">
      <c r="A45" s="29" t="n">
        <v>44</v>
      </c>
      <c r="B45" s="28" t="inlineStr">
        <is>
          <t>핵심원칙2_주주의공평한대우</t>
        </is>
      </c>
      <c r="C45" s="27" t="inlineStr">
        <is>
          <t>2-①_의결권및정보제공</t>
        </is>
      </c>
      <c r="D45" s="40" t="inlineStr">
        <is>
          <t>208</t>
        </is>
      </c>
      <c r="E45" s="28" t="inlineStr">
        <is>
          <t>외국인 담당 직원 지정 여부</t>
        </is>
      </c>
      <c r="F45" s="40" t="inlineStr">
        <is>
          <t>OX</t>
        </is>
      </c>
      <c r="G45" s="28" t="inlineStr">
        <is>
          <t>기업지배구조보고서</t>
        </is>
      </c>
      <c r="H45" s="27" t="inlineStr">
        <is>
          <t>G-3(주주권리 보강)</t>
        </is>
      </c>
      <c r="I45" s="28" t="n"/>
      <c r="J45" s="39" t="n"/>
    </row>
    <row r="46" ht="29.25" customHeight="1">
      <c r="A46" s="20" t="n">
        <v>45</v>
      </c>
      <c r="B46" s="18" t="inlineStr">
        <is>
          <t>핵심원칙2_주주의공평한대우</t>
        </is>
      </c>
      <c r="C46" s="17" t="inlineStr">
        <is>
          <t>2-①_의결권및정보제공</t>
        </is>
      </c>
      <c r="D46" s="38" t="inlineStr">
        <is>
          <t>209</t>
        </is>
      </c>
      <c r="E46" s="18" t="inlineStr">
        <is>
          <t>영문공시 비율(%)</t>
        </is>
      </c>
      <c r="F46" s="20" t="inlineStr">
        <is>
          <t>숫자</t>
        </is>
      </c>
      <c r="G46" s="18" t="inlineStr">
        <is>
          <t>기업지배구조보고서</t>
        </is>
      </c>
      <c r="H46" s="17" t="inlineStr">
        <is>
          <t>G-3(주주권리 보강)</t>
        </is>
      </c>
      <c r="I46" s="18" t="n"/>
      <c r="J46" s="39" t="n"/>
    </row>
    <row r="47" ht="29.25" customHeight="1">
      <c r="A47" s="29" t="n">
        <v>46</v>
      </c>
      <c r="B47" s="28" t="inlineStr">
        <is>
          <t>핵심원칙2_주주의공평한대우</t>
        </is>
      </c>
      <c r="C47" s="27" t="inlineStr">
        <is>
          <t>2-①_의결권및정보제공</t>
        </is>
      </c>
      <c r="D47" s="40" t="inlineStr">
        <is>
          <t>210</t>
        </is>
      </c>
      <c r="E47" s="28" t="inlineStr">
        <is>
          <t>불성실공시법인 지정 여부·건수</t>
        </is>
      </c>
      <c r="F47" s="40" t="inlineStr">
        <is>
          <t>OX/숫자</t>
        </is>
      </c>
      <c r="G47" s="28" t="inlineStr">
        <is>
          <t>사업보고서(DART)</t>
        </is>
      </c>
      <c r="H47" s="27" t="inlineStr">
        <is>
          <t>G-3(주주권리 보강)</t>
        </is>
      </c>
      <c r="I47" s="28" t="n"/>
      <c r="J47" s="39" t="n"/>
    </row>
    <row r="48" ht="29.25" customHeight="1">
      <c r="A48" s="20" t="n">
        <v>47</v>
      </c>
      <c r="B48" s="18" t="inlineStr">
        <is>
          <t>핵심원칙2_주주의공평한대우</t>
        </is>
      </c>
      <c r="C48" s="17" t="inlineStr">
        <is>
          <t>2-②_내부거래통제</t>
        </is>
      </c>
      <c r="D48" s="38" t="inlineStr">
        <is>
          <t>211</t>
        </is>
      </c>
      <c r="E48" s="18" t="inlineStr">
        <is>
          <t>내부거래·자기거래 통제 정책(포괄적 이사회 의결 등) 시행여부</t>
        </is>
      </c>
      <c r="F48" s="38" t="inlineStr">
        <is>
          <t>OX</t>
        </is>
      </c>
      <c r="G48" s="18" t="inlineStr">
        <is>
          <t>기업지배구조보고서</t>
        </is>
      </c>
      <c r="H48" s="17" t="inlineStr">
        <is>
          <t>G-3(주주권리 보강)</t>
        </is>
      </c>
      <c r="I48" s="18" t="n"/>
      <c r="J48" s="39" t="n"/>
    </row>
    <row r="49" ht="29.25" customHeight="1">
      <c r="A49" s="29" t="n">
        <v>48</v>
      </c>
      <c r="B49" s="28" t="inlineStr">
        <is>
          <t>핵심원칙2_주주의공평한대우</t>
        </is>
      </c>
      <c r="C49" s="27" t="inlineStr">
        <is>
          <t>2-③_소유구조변동시주주보호</t>
        </is>
      </c>
      <c r="D49" s="40" t="inlineStr">
        <is>
          <t>212</t>
        </is>
      </c>
      <c r="E49" s="28" t="inlineStr">
        <is>
          <t>합병·영업양수도·분할 등 소액주주 보호 정책마련 여부</t>
        </is>
      </c>
      <c r="F49" s="40" t="inlineStr">
        <is>
          <t>OX</t>
        </is>
      </c>
      <c r="G49" s="28" t="inlineStr">
        <is>
          <t>기업지배구조보고서</t>
        </is>
      </c>
      <c r="H49" s="27" t="inlineStr">
        <is>
          <t>G-3(주주권리 보강)</t>
        </is>
      </c>
      <c r="I49" s="28" t="n"/>
      <c r="J49" s="39" t="n"/>
    </row>
    <row r="50" ht="29.25" customHeight="1">
      <c r="A50" s="20" t="n">
        <v>49</v>
      </c>
      <c r="B50" s="18" t="inlineStr">
        <is>
          <t>핵심원칙2_주주의공평한대우</t>
        </is>
      </c>
      <c r="C50" s="17" t="inlineStr">
        <is>
          <t>2-③_소유구조변동시주주보호</t>
        </is>
      </c>
      <c r="D50" s="38" t="inlineStr">
        <is>
          <t>213</t>
        </is>
      </c>
      <c r="E50" s="18" t="inlineStr">
        <is>
          <t>공시대상기간 중 합병 등 계획·시행 여부</t>
        </is>
      </c>
      <c r="F50" s="38" t="inlineStr">
        <is>
          <t>OX</t>
        </is>
      </c>
      <c r="G50" s="18" t="inlineStr">
        <is>
          <t>기업지배구조보고서</t>
        </is>
      </c>
      <c r="H50" s="17" t="inlineStr">
        <is>
          <t>G-3(주주권리 보강)</t>
        </is>
      </c>
      <c r="I50" s="18" t="n"/>
      <c r="J50" s="39" t="n"/>
    </row>
    <row r="51" ht="29.25" customHeight="1">
      <c r="A51" s="29" t="n">
        <v>50</v>
      </c>
      <c r="B51" s="28" t="inlineStr">
        <is>
          <t>핵심원칙2_주주의공평한대우</t>
        </is>
      </c>
      <c r="C51" s="27" t="inlineStr">
        <is>
          <t>2-③_소유구조변동시주주보호</t>
        </is>
      </c>
      <c r="D51" s="40" t="inlineStr">
        <is>
          <t>214</t>
        </is>
      </c>
      <c r="E51" s="28" t="inlineStr">
        <is>
          <t>주식전환 가능 자본조달(CB/BW/EB 등) 발행 여부</t>
        </is>
      </c>
      <c r="F51" s="40" t="inlineStr">
        <is>
          <t>OX</t>
        </is>
      </c>
      <c r="G51" s="28" t="inlineStr">
        <is>
          <t>사업보고서(DART)</t>
        </is>
      </c>
      <c r="H51" s="27" t="inlineStr">
        <is>
          <t>G-3(주주권리 보강)</t>
        </is>
      </c>
      <c r="I51" s="28" t="n"/>
      <c r="J51" s="39" t="n"/>
    </row>
    <row r="52" ht="29.25" customHeight="1">
      <c r="A52" s="20" t="n">
        <v>51</v>
      </c>
      <c r="B52" s="18" t="inlineStr">
        <is>
          <t>핵심원칙3_이사회기능</t>
        </is>
      </c>
      <c r="C52" s="17" t="inlineStr">
        <is>
          <t>3-①_경영의사결정및감독</t>
        </is>
      </c>
      <c r="D52" s="38" t="inlineStr">
        <is>
          <t>301</t>
        </is>
      </c>
      <c r="E52" s="18" t="inlineStr">
        <is>
          <t>이사회 심의·의결사항 및 법정 외 강화기준 존재여부</t>
        </is>
      </c>
      <c r="F52" s="38" t="inlineStr">
        <is>
          <t>OX/텍스트</t>
        </is>
      </c>
      <c r="G52" s="18" t="inlineStr">
        <is>
          <t>기업지배구조보고서</t>
        </is>
      </c>
      <c r="H52" s="17" t="inlineStr">
        <is>
          <t>G-1-1(이사회 기능 보강)</t>
        </is>
      </c>
      <c r="I52" s="18" t="n"/>
      <c r="J52" s="39" t="n"/>
    </row>
    <row r="53" ht="15" customHeight="1">
      <c r="A53" s="29" t="n">
        <v>52</v>
      </c>
      <c r="B53" s="28" t="inlineStr">
        <is>
          <t>핵심원칙3_이사회기능</t>
        </is>
      </c>
      <c r="C53" s="27" t="inlineStr">
        <is>
          <t>3-②_CEO승계정책</t>
        </is>
      </c>
      <c r="D53" s="40" t="inlineStr">
        <is>
          <t>302</t>
        </is>
      </c>
      <c r="E53" s="28" t="inlineStr">
        <is>
          <t>최고경영자 승계정책 수립 여부</t>
        </is>
      </c>
      <c r="F53" s="40" t="inlineStr">
        <is>
          <t>OX</t>
        </is>
      </c>
      <c r="G53" s="28" t="inlineStr">
        <is>
          <t>기업지배구조보고서</t>
        </is>
      </c>
      <c r="H53" s="27" t="inlineStr">
        <is>
          <t>G-경영진-추가1</t>
        </is>
      </c>
      <c r="I53" s="28" t="inlineStr">
        <is>
          <t>핵심지표 H06과 연계</t>
        </is>
      </c>
      <c r="J53" s="39" t="n"/>
    </row>
    <row r="54" ht="15" customHeight="1">
      <c r="A54" s="20" t="n">
        <v>53</v>
      </c>
      <c r="B54" s="18" t="inlineStr">
        <is>
          <t>핵심원칙3_이사회기능</t>
        </is>
      </c>
      <c r="C54" s="17" t="inlineStr">
        <is>
          <t>3-②_CEO승계정책</t>
        </is>
      </c>
      <c r="D54" s="38" t="inlineStr">
        <is>
          <t>303</t>
        </is>
      </c>
      <c r="E54" s="18" t="inlineStr">
        <is>
          <t>승계정책 내 후보(집단) 선정 절차 존재여부</t>
        </is>
      </c>
      <c r="F54" s="38" t="inlineStr">
        <is>
          <t>OX</t>
        </is>
      </c>
      <c r="G54" s="18" t="inlineStr">
        <is>
          <t>기업지배구조보고서</t>
        </is>
      </c>
      <c r="H54" s="17" t="inlineStr">
        <is>
          <t>G-경영진-추가1</t>
        </is>
      </c>
      <c r="I54" s="18" t="n"/>
      <c r="J54" s="39" t="n"/>
    </row>
    <row r="55" ht="15" customHeight="1">
      <c r="A55" s="29" t="n">
        <v>54</v>
      </c>
      <c r="B55" s="28" t="inlineStr">
        <is>
          <t>핵심원칙3_이사회기능</t>
        </is>
      </c>
      <c r="C55" s="27" t="inlineStr">
        <is>
          <t>3-②_CEO승계정책</t>
        </is>
      </c>
      <c r="D55" s="40" t="inlineStr">
        <is>
          <t>304</t>
        </is>
      </c>
      <c r="E55" s="28" t="inlineStr">
        <is>
          <t>후보군 교육 실시 여부</t>
        </is>
      </c>
      <c r="F55" s="40" t="inlineStr">
        <is>
          <t>OX</t>
        </is>
      </c>
      <c r="G55" s="28" t="inlineStr">
        <is>
          <t>기업지배구조보고서</t>
        </is>
      </c>
      <c r="H55" s="27" t="inlineStr">
        <is>
          <t>G-경영진-추가1</t>
        </is>
      </c>
      <c r="I55" s="28" t="n"/>
      <c r="J55" s="39" t="n"/>
    </row>
    <row r="56" ht="15" customHeight="1">
      <c r="A56" s="20" t="n">
        <v>55</v>
      </c>
      <c r="B56" s="18" t="inlineStr">
        <is>
          <t>핵심원칙3_이사회기능</t>
        </is>
      </c>
      <c r="C56" s="17" t="inlineStr">
        <is>
          <t>3-③_내부통제정책</t>
        </is>
      </c>
      <c r="D56" s="38" t="inlineStr">
        <is>
          <t>305</t>
        </is>
      </c>
      <c r="E56" s="18" t="inlineStr">
        <is>
          <t>전사 리스크관리 정책 마련 여부</t>
        </is>
      </c>
      <c r="F56" s="38" t="inlineStr">
        <is>
          <t>OX</t>
        </is>
      </c>
      <c r="G56" s="18" t="inlineStr">
        <is>
          <t>기업지배구조보고서</t>
        </is>
      </c>
      <c r="H56" s="17" t="inlineStr">
        <is>
          <t>G-4-1, G-5-1</t>
        </is>
      </c>
      <c r="I56" s="18" t="inlineStr">
        <is>
          <t>핵심지표 H07 구성요소</t>
        </is>
      </c>
      <c r="J56" s="39" t="n"/>
    </row>
    <row r="57" ht="29.25" customHeight="1">
      <c r="A57" s="29" t="n">
        <v>56</v>
      </c>
      <c r="B57" s="28" t="inlineStr">
        <is>
          <t>핵심원칙3_이사회기능</t>
        </is>
      </c>
      <c r="C57" s="27" t="inlineStr">
        <is>
          <t>3-③_내부통제정책</t>
        </is>
      </c>
      <c r="D57" s="40" t="inlineStr">
        <is>
          <t>306</t>
        </is>
      </c>
      <c r="E57" s="28" t="inlineStr">
        <is>
          <t>준법경영(윤리경영/행동강령) 정책 마련 여부</t>
        </is>
      </c>
      <c r="F57" s="40" t="inlineStr">
        <is>
          <t>OX</t>
        </is>
      </c>
      <c r="G57" s="28" t="inlineStr">
        <is>
          <t>기업지배구조보고서/지속가능경영보고서</t>
        </is>
      </c>
      <c r="H57" s="27" t="inlineStr">
        <is>
          <t>G-4-1, G-5-1</t>
        </is>
      </c>
      <c r="I57" s="28" t="n"/>
      <c r="J57" s="39" t="n"/>
    </row>
    <row r="58" ht="15" customHeight="1">
      <c r="A58" s="20" t="n">
        <v>57</v>
      </c>
      <c r="B58" s="18" t="inlineStr">
        <is>
          <t>핵심원칙3_이사회기능</t>
        </is>
      </c>
      <c r="C58" s="17" t="inlineStr">
        <is>
          <t>3-③_내부통제정책</t>
        </is>
      </c>
      <c r="D58" s="38" t="inlineStr">
        <is>
          <t>307</t>
        </is>
      </c>
      <c r="E58" s="18" t="inlineStr">
        <is>
          <t>내부회계관리 정책 마련 여부</t>
        </is>
      </c>
      <c r="F58" s="38" t="inlineStr">
        <is>
          <t>OX</t>
        </is>
      </c>
      <c r="G58" s="18" t="inlineStr">
        <is>
          <t>기업지배구조보고서</t>
        </is>
      </c>
      <c r="H58" s="17" t="inlineStr">
        <is>
          <t>G-4-1, G-5-1</t>
        </is>
      </c>
      <c r="I58" s="18" t="n"/>
      <c r="J58" s="39" t="n"/>
    </row>
    <row r="59" ht="15" customHeight="1">
      <c r="A59" s="29" t="n">
        <v>58</v>
      </c>
      <c r="B59" s="28" t="inlineStr">
        <is>
          <t>핵심원칙3_이사회기능</t>
        </is>
      </c>
      <c r="C59" s="27" t="inlineStr">
        <is>
          <t>3-③_내부통제정책</t>
        </is>
      </c>
      <c r="D59" s="40" t="inlineStr">
        <is>
          <t>308</t>
        </is>
      </c>
      <c r="E59" s="28" t="inlineStr">
        <is>
          <t>공시정보관리 정책 마련 여부</t>
        </is>
      </c>
      <c r="F59" s="40" t="inlineStr">
        <is>
          <t>OX</t>
        </is>
      </c>
      <c r="G59" s="28" t="inlineStr">
        <is>
          <t>기업지배구조보고서</t>
        </is>
      </c>
      <c r="H59" s="27" t="inlineStr">
        <is>
          <t>G-4-1, G-5-1</t>
        </is>
      </c>
      <c r="I59" s="28" t="n"/>
      <c r="J59" s="39" t="n"/>
    </row>
    <row r="60" ht="29.25" customHeight="1">
      <c r="A60" s="20" t="n">
        <v>59</v>
      </c>
      <c r="B60" s="18" t="inlineStr">
        <is>
          <t>핵심원칙4_이사회구성</t>
        </is>
      </c>
      <c r="C60" s="17" t="inlineStr">
        <is>
          <t>4-①_이사회구성및독립성</t>
        </is>
      </c>
      <c r="D60" s="38" t="inlineStr">
        <is>
          <t>401</t>
        </is>
      </c>
      <c r="E60" s="18" t="inlineStr">
        <is>
          <t>이사 총원(사내/사외/기타비상무 인원수)</t>
        </is>
      </c>
      <c r="F60" s="20" t="inlineStr">
        <is>
          <t>숫자</t>
        </is>
      </c>
      <c r="G60" s="18" t="inlineStr">
        <is>
          <t>기업지배구조보고서/지속가능경영보고서</t>
        </is>
      </c>
      <c r="H60" s="17" t="inlineStr">
        <is>
          <t>G-1-2, G-1-3</t>
        </is>
      </c>
      <c r="I60" s="18" t="inlineStr">
        <is>
          <t>표 4-1-2</t>
        </is>
      </c>
      <c r="J60" s="39" t="n"/>
    </row>
    <row r="61" ht="29.25" customHeight="1">
      <c r="A61" s="29" t="n">
        <v>60</v>
      </c>
      <c r="B61" s="28" t="inlineStr">
        <is>
          <t>핵심원칙4_이사회구성</t>
        </is>
      </c>
      <c r="C61" s="27" t="inlineStr">
        <is>
          <t>4-①_이사회구성및독립성</t>
        </is>
      </c>
      <c r="D61" s="40" t="inlineStr">
        <is>
          <t>402</t>
        </is>
      </c>
      <c r="E61" s="28" t="inlineStr">
        <is>
          <t>사외이사 비율(%)</t>
        </is>
      </c>
      <c r="F61" s="29" t="inlineStr">
        <is>
          <t>숫자</t>
        </is>
      </c>
      <c r="G61" s="28" t="inlineStr">
        <is>
          <t>기업지배구조보고서/지속가능경영보고서</t>
        </is>
      </c>
      <c r="H61" s="27" t="inlineStr">
        <is>
          <t>G-1-2, G-1-3</t>
        </is>
      </c>
      <c r="I61" s="28" t="n"/>
      <c r="J61" s="39" t="n"/>
    </row>
    <row r="62" ht="15" customHeight="1">
      <c r="A62" s="20" t="n">
        <v>61</v>
      </c>
      <c r="B62" s="18" t="inlineStr">
        <is>
          <t>핵심원칙4_이사회구성</t>
        </is>
      </c>
      <c r="C62" s="17" t="inlineStr">
        <is>
          <t>4-①_이사회구성및독립성</t>
        </is>
      </c>
      <c r="D62" s="38" t="inlineStr">
        <is>
          <t>403</t>
        </is>
      </c>
      <c r="E62" s="18" t="inlineStr">
        <is>
          <t>이사회 내 위원회 목록 및 위원 구성</t>
        </is>
      </c>
      <c r="F62" s="20" t="inlineStr">
        <is>
          <t>텍스트</t>
        </is>
      </c>
      <c r="G62" s="18" t="inlineStr">
        <is>
          <t>기업지배구조보고서</t>
        </is>
      </c>
      <c r="H62" s="17" t="inlineStr">
        <is>
          <t>G-1-2, G-1-3</t>
        </is>
      </c>
      <c r="I62" s="18" t="inlineStr">
        <is>
          <t>표 4-1-3-1/2</t>
        </is>
      </c>
      <c r="J62" s="39" t="n"/>
    </row>
    <row r="63" ht="29.25" customHeight="1">
      <c r="A63" s="29" t="n">
        <v>62</v>
      </c>
      <c r="B63" s="28" t="inlineStr">
        <is>
          <t>핵심원칙4_이사회구성</t>
        </is>
      </c>
      <c r="C63" s="27" t="inlineStr">
        <is>
          <t>4-①_이사회구성및독립성</t>
        </is>
      </c>
      <c r="D63" s="40" t="inlineStr">
        <is>
          <t>404</t>
        </is>
      </c>
      <c r="E63" s="27" t="inlineStr">
        <is>
          <t>ESG(지속가능경영)위원회 설치 여부</t>
        </is>
      </c>
      <c r="F63" s="40" t="inlineStr">
        <is>
          <t>OX</t>
        </is>
      </c>
      <c r="G63" s="28" t="inlineStr">
        <is>
          <t>기업지배구조보고서/지속가능경영보고서</t>
        </is>
      </c>
      <c r="H63" s="27" t="inlineStr">
        <is>
          <t>G-1-2, G-1-3</t>
        </is>
      </c>
      <c r="I63" s="28" t="n"/>
      <c r="J63" s="39" t="n"/>
    </row>
    <row r="64" ht="15" customHeight="1">
      <c r="A64" s="20" t="n">
        <v>63</v>
      </c>
      <c r="B64" s="18" t="inlineStr">
        <is>
          <t>핵심원칙4_이사회구성</t>
        </is>
      </c>
      <c r="C64" s="17" t="inlineStr">
        <is>
          <t>4-①_이사회구성및독립성</t>
        </is>
      </c>
      <c r="D64" s="38" t="inlineStr">
        <is>
          <t>405</t>
        </is>
      </c>
      <c r="E64" s="18" t="inlineStr">
        <is>
          <t>이사회 의장이 사외이사인지 여부</t>
        </is>
      </c>
      <c r="F64" s="38" t="inlineStr">
        <is>
          <t>OX</t>
        </is>
      </c>
      <c r="G64" s="18" t="inlineStr">
        <is>
          <t>기업지배구조보고서</t>
        </is>
      </c>
      <c r="H64" s="17" t="inlineStr">
        <is>
          <t>G-1-2, G-1-3</t>
        </is>
      </c>
      <c r="I64" s="18" t="inlineStr">
        <is>
          <t>핵심지표 H08</t>
        </is>
      </c>
      <c r="J64" s="39" t="n"/>
    </row>
    <row r="65" ht="15" customHeight="1">
      <c r="A65" s="29" t="n">
        <v>64</v>
      </c>
      <c r="B65" s="28" t="inlineStr">
        <is>
          <t>핵심원칙4_이사회구성</t>
        </is>
      </c>
      <c r="C65" s="27" t="inlineStr">
        <is>
          <t>4-①_이사회구성및독립성</t>
        </is>
      </c>
      <c r="D65" s="40" t="inlineStr">
        <is>
          <t>406</t>
        </is>
      </c>
      <c r="E65" s="28" t="inlineStr">
        <is>
          <t>선임사외이사 제도 시행 여부</t>
        </is>
      </c>
      <c r="F65" s="40" t="inlineStr">
        <is>
          <t>OX</t>
        </is>
      </c>
      <c r="G65" s="28" t="inlineStr">
        <is>
          <t>기업지배구조보고서</t>
        </is>
      </c>
      <c r="H65" s="27" t="inlineStr">
        <is>
          <t>G-1-2, G-1-3</t>
        </is>
      </c>
      <c r="I65" s="28" t="n"/>
      <c r="J65" s="39" t="n"/>
    </row>
    <row r="66" ht="15" customHeight="1">
      <c r="A66" s="20" t="n">
        <v>65</v>
      </c>
      <c r="B66" s="18" t="inlineStr">
        <is>
          <t>핵심원칙4_이사회구성</t>
        </is>
      </c>
      <c r="C66" s="17" t="inlineStr">
        <is>
          <t>4-①_이사회구성및독립성</t>
        </is>
      </c>
      <c r="D66" s="38" t="inlineStr">
        <is>
          <t>407</t>
        </is>
      </c>
      <c r="E66" s="18" t="inlineStr">
        <is>
          <t>집행임원 제도 시행 여부</t>
        </is>
      </c>
      <c r="F66" s="38" t="inlineStr">
        <is>
          <t>OX</t>
        </is>
      </c>
      <c r="G66" s="18" t="inlineStr">
        <is>
          <t>기업지배구조보고서</t>
        </is>
      </c>
      <c r="H66" s="17" t="inlineStr">
        <is>
          <t>G-1-2, G-1-3</t>
        </is>
      </c>
      <c r="I66" s="18" t="n"/>
      <c r="J66" s="39" t="n"/>
    </row>
    <row r="67" ht="15" customHeight="1">
      <c r="A67" s="29" t="n">
        <v>66</v>
      </c>
      <c r="B67" s="28" t="inlineStr">
        <is>
          <t>핵심원칙4_이사회구성</t>
        </is>
      </c>
      <c r="C67" s="27" t="inlineStr">
        <is>
          <t>4-②_전문성과다양성</t>
        </is>
      </c>
      <c r="D67" s="40" t="inlineStr">
        <is>
          <t>408</t>
        </is>
      </c>
      <c r="E67" s="28" t="inlineStr">
        <is>
          <t>이사회 성별구성 특례 적용대상 기업 여부</t>
        </is>
      </c>
      <c r="F67" s="40" t="inlineStr">
        <is>
          <t>OX</t>
        </is>
      </c>
      <c r="G67" s="28" t="inlineStr">
        <is>
          <t>기업지배구조보고서</t>
        </is>
      </c>
      <c r="H67" s="27" t="inlineStr">
        <is>
          <t>G-1-4</t>
        </is>
      </c>
      <c r="I67" s="28" t="inlineStr">
        <is>
          <t>자본시장법 §165의20</t>
        </is>
      </c>
      <c r="J67" s="39" t="n"/>
    </row>
    <row r="68" ht="29.25" customHeight="1">
      <c r="A68" s="20" t="n">
        <v>67</v>
      </c>
      <c r="B68" s="18" t="inlineStr">
        <is>
          <t>핵심원칙4_이사회구성</t>
        </is>
      </c>
      <c r="C68" s="17" t="inlineStr">
        <is>
          <t>4-②_전문성과다양성</t>
        </is>
      </c>
      <c r="D68" s="38" t="inlineStr">
        <is>
          <t>409</t>
        </is>
      </c>
      <c r="E68" s="18" t="inlineStr">
        <is>
          <t>이사회 구성원 성별 다양성 확보 여부(동성 아님)</t>
        </is>
      </c>
      <c r="F68" s="38" t="inlineStr">
        <is>
          <t>OX</t>
        </is>
      </c>
      <c r="G68" s="18" t="inlineStr">
        <is>
          <t>기업지배구조보고서</t>
        </is>
      </c>
      <c r="H68" s="17" t="inlineStr">
        <is>
          <t>G-1-4</t>
        </is>
      </c>
      <c r="I68" s="18" t="inlineStr">
        <is>
          <t>핵심지표 H11</t>
        </is>
      </c>
      <c r="J68" s="39" t="n"/>
    </row>
    <row r="69" ht="29.25" customHeight="1">
      <c r="A69" s="29" t="n">
        <v>68</v>
      </c>
      <c r="B69" s="28" t="inlineStr">
        <is>
          <t>핵심원칙4_이사회구성</t>
        </is>
      </c>
      <c r="C69" s="27" t="inlineStr">
        <is>
          <t>4-③_이사후보추천</t>
        </is>
      </c>
      <c r="D69" s="40" t="inlineStr">
        <is>
          <t>410</t>
        </is>
      </c>
      <c r="E69" s="28" t="inlineStr">
        <is>
          <t>이사후보추천위원회(등) 설치 여부</t>
        </is>
      </c>
      <c r="F69" s="40" t="inlineStr">
        <is>
          <t>OX</t>
        </is>
      </c>
      <c r="G69" s="28" t="inlineStr">
        <is>
          <t>기업지배구조보고서/지속가능경영보고서</t>
        </is>
      </c>
      <c r="H69" s="27" t="inlineStr">
        <is>
          <t>G-1-2, G-3-3</t>
        </is>
      </c>
      <c r="I69" s="28" t="n"/>
      <c r="J69" s="39" t="n"/>
    </row>
    <row r="70" ht="15" customHeight="1">
      <c r="A70" s="20" t="n">
        <v>69</v>
      </c>
      <c r="B70" s="18" t="inlineStr">
        <is>
          <t>핵심원칙4_이사회구성</t>
        </is>
      </c>
      <c r="C70" s="17" t="inlineStr">
        <is>
          <t>4-③_이사후보추천</t>
        </is>
      </c>
      <c r="D70" s="38" t="inlineStr">
        <is>
          <t>411</t>
        </is>
      </c>
      <c r="E70" s="18" t="inlineStr">
        <is>
          <t>이사후보추천위원회 내 사외이사 비율(%)</t>
        </is>
      </c>
      <c r="F70" s="20" t="inlineStr">
        <is>
          <t>숫자</t>
        </is>
      </c>
      <c r="G70" s="18" t="inlineStr">
        <is>
          <t>기업지배구조보고서</t>
        </is>
      </c>
      <c r="H70" s="17" t="inlineStr">
        <is>
          <t>G-1-2, G-3-3</t>
        </is>
      </c>
      <c r="I70" s="18" t="n"/>
      <c r="J70" s="39" t="n"/>
    </row>
    <row r="71" ht="15" customHeight="1">
      <c r="A71" s="29" t="n">
        <v>70</v>
      </c>
      <c r="B71" s="28" t="inlineStr">
        <is>
          <t>핵심원칙4_이사회구성</t>
        </is>
      </c>
      <c r="C71" s="27" t="inlineStr">
        <is>
          <t>4-③_이사후보추천</t>
        </is>
      </c>
      <c r="D71" s="40" t="inlineStr">
        <is>
          <t>412</t>
        </is>
      </c>
      <c r="E71" s="28" t="inlineStr">
        <is>
          <t>재선임 이사 과거 이사회 활동내역 공개 여부</t>
        </is>
      </c>
      <c r="F71" s="40" t="inlineStr">
        <is>
          <t>OX</t>
        </is>
      </c>
      <c r="G71" s="28" t="inlineStr">
        <is>
          <t>기업지배구조보고서</t>
        </is>
      </c>
      <c r="H71" s="27" t="inlineStr">
        <is>
          <t>G-1-2, G-3-3</t>
        </is>
      </c>
      <c r="I71" s="28" t="n"/>
      <c r="J71" s="39" t="n"/>
    </row>
    <row r="72" ht="15" customHeight="1">
      <c r="A72" s="20" t="n">
        <v>71</v>
      </c>
      <c r="B72" s="18" t="inlineStr">
        <is>
          <t>핵심원칙4_이사회구성</t>
        </is>
      </c>
      <c r="C72" s="17" t="inlineStr">
        <is>
          <t>4-③_이사후보추천</t>
        </is>
      </c>
      <c r="D72" s="38" t="inlineStr">
        <is>
          <t>413</t>
        </is>
      </c>
      <c r="E72" s="18" t="inlineStr">
        <is>
          <t>집중투표제 채택 여부</t>
        </is>
      </c>
      <c r="F72" s="38" t="inlineStr">
        <is>
          <t>OX</t>
        </is>
      </c>
      <c r="G72" s="18" t="inlineStr">
        <is>
          <t>기업지배구조보고서</t>
        </is>
      </c>
      <c r="H72" s="17" t="inlineStr">
        <is>
          <t>G-1-2, G-3-3</t>
        </is>
      </c>
      <c r="I72" s="18" t="inlineStr">
        <is>
          <t>핵심지표 H09</t>
        </is>
      </c>
      <c r="J72" s="39" t="n"/>
    </row>
    <row r="73" ht="29.25" customHeight="1">
      <c r="A73" s="29" t="n">
        <v>72</v>
      </c>
      <c r="B73" s="28" t="inlineStr">
        <is>
          <t>핵심원칙4_이사회구성</t>
        </is>
      </c>
      <c r="C73" s="27" t="inlineStr">
        <is>
          <t>4-④_부적격자임원선임방지</t>
        </is>
      </c>
      <c r="D73" s="40" t="inlineStr">
        <is>
          <t>414</t>
        </is>
      </c>
      <c r="E73" s="28" t="inlineStr">
        <is>
          <t>기업가치훼손·주주권익침해 책임자 임원선임 방지 정책 시행여부</t>
        </is>
      </c>
      <c r="F73" s="40" t="inlineStr">
        <is>
          <t>OX</t>
        </is>
      </c>
      <c r="G73" s="28" t="inlineStr">
        <is>
          <t>기업지배구조보고서</t>
        </is>
      </c>
      <c r="H73" s="27" t="inlineStr">
        <is>
          <t>G-4-1</t>
        </is>
      </c>
      <c r="I73" s="28" t="inlineStr">
        <is>
          <t>핵심지표 H10</t>
        </is>
      </c>
      <c r="J73" s="39" t="n"/>
    </row>
    <row r="74" ht="29.25" customHeight="1">
      <c r="A74" s="20" t="n">
        <v>73</v>
      </c>
      <c r="B74" s="18" t="inlineStr">
        <is>
          <t>핵심원칙4_이사회구성</t>
        </is>
      </c>
      <c r="C74" s="17" t="inlineStr">
        <is>
          <t>4-④_부적격자임원선임방지</t>
        </is>
      </c>
      <c r="D74" s="38" t="inlineStr">
        <is>
          <t>415</t>
        </is>
      </c>
      <c r="E74" s="18" t="inlineStr">
        <is>
          <t>횡령·배임·불공정거래 등 기소·확정판결 이력자 임원재직 여부</t>
        </is>
      </c>
      <c r="F74" s="38" t="inlineStr">
        <is>
          <t>OX</t>
        </is>
      </c>
      <c r="G74" s="18" t="inlineStr">
        <is>
          <t>사업보고서(DART)</t>
        </is>
      </c>
      <c r="H74" s="17" t="inlineStr">
        <is>
          <t>G-4-1</t>
        </is>
      </c>
      <c r="I74" s="18" t="n"/>
      <c r="J74" s="39" t="n"/>
    </row>
    <row r="75" ht="29.25" customHeight="1">
      <c r="A75" s="29" t="n">
        <v>74</v>
      </c>
      <c r="B75" s="28" t="inlineStr">
        <is>
          <t>핵심원칙5_사외이사책임</t>
        </is>
      </c>
      <c r="C75" s="27" t="inlineStr">
        <is>
          <t>5-①_이해관계없는사외이사</t>
        </is>
      </c>
      <c r="D75" s="40" t="inlineStr">
        <is>
          <t>501</t>
        </is>
      </c>
      <c r="E75" s="28" t="inlineStr">
        <is>
          <t>사외이사 선임단계 이해관계 확인절차 시행 여부</t>
        </is>
      </c>
      <c r="F75" s="40" t="inlineStr">
        <is>
          <t>OX</t>
        </is>
      </c>
      <c r="G75" s="28" t="inlineStr">
        <is>
          <t>기업지배구조보고서</t>
        </is>
      </c>
      <c r="H75" s="27" t="inlineStr">
        <is>
          <t>G-1-5</t>
        </is>
      </c>
      <c r="I75" s="28" t="n"/>
      <c r="J75" s="39" t="n"/>
    </row>
    <row r="76" ht="26.25" customHeight="1">
      <c r="A76" s="20" t="n">
        <v>75</v>
      </c>
      <c r="B76" s="18" t="inlineStr">
        <is>
          <t>핵심원칙5_사외이사책임</t>
        </is>
      </c>
      <c r="C76" s="17" t="inlineStr">
        <is>
          <t>5-①_이해관계없는사외이사</t>
        </is>
      </c>
      <c r="D76" s="38" t="inlineStr">
        <is>
          <t>502</t>
        </is>
      </c>
      <c r="E76" s="18" t="inlineStr">
        <is>
          <t>사외이사(계열회사 포함) 재직기간(개인별, 월)</t>
        </is>
      </c>
      <c r="F76" s="20" t="inlineStr">
        <is>
          <t>숫자</t>
        </is>
      </c>
      <c r="G76" s="18" t="inlineStr">
        <is>
          <t>기업지배구조보고서</t>
        </is>
      </c>
      <c r="H76" s="17" t="inlineStr">
        <is>
          <t>G-1-5</t>
        </is>
      </c>
      <c r="I76" s="18" t="n"/>
      <c r="J76" s="39" t="n"/>
    </row>
    <row r="77" ht="15" customHeight="1">
      <c r="A77" s="29" t="n">
        <v>76</v>
      </c>
      <c r="B77" s="28" t="inlineStr">
        <is>
          <t>핵심원칙5_사외이사책임</t>
        </is>
      </c>
      <c r="C77" s="27" t="inlineStr">
        <is>
          <t>5-②_충분한시간과노력</t>
        </is>
      </c>
      <c r="D77" s="40" t="inlineStr">
        <is>
          <t>503</t>
        </is>
      </c>
      <c r="E77" s="28" t="inlineStr">
        <is>
          <t>사외이사 타기업 겸직 현황(겸직기관수 등)</t>
        </is>
      </c>
      <c r="F77" s="29" t="inlineStr">
        <is>
          <t>숫자/텍스트</t>
        </is>
      </c>
      <c r="G77" s="28" t="inlineStr">
        <is>
          <t>기업지배구조보고서</t>
        </is>
      </c>
      <c r="H77" s="27" t="inlineStr">
        <is>
          <t>G-1-5</t>
        </is>
      </c>
      <c r="I77" s="28" t="n"/>
      <c r="J77" s="39" t="n"/>
    </row>
    <row r="78" ht="15" customHeight="1">
      <c r="A78" s="20" t="n">
        <v>77</v>
      </c>
      <c r="B78" s="18" t="inlineStr">
        <is>
          <t>핵심원칙5_사외이사책임</t>
        </is>
      </c>
      <c r="C78" s="17" t="inlineStr">
        <is>
          <t>5-③_정보자원제공</t>
        </is>
      </c>
      <c r="D78" s="38" t="inlineStr">
        <is>
          <t>504</t>
        </is>
      </c>
      <c r="E78" s="18" t="inlineStr">
        <is>
          <t>사외이사 지원 전담인력 배치 여부</t>
        </is>
      </c>
      <c r="F78" s="38" t="inlineStr">
        <is>
          <t>OX</t>
        </is>
      </c>
      <c r="G78" s="18" t="inlineStr">
        <is>
          <t>기업지배구조보고서</t>
        </is>
      </c>
      <c r="H78" s="17" t="inlineStr">
        <is>
          <t>G-1-5</t>
        </is>
      </c>
      <c r="I78" s="18" t="n"/>
      <c r="J78" s="39" t="n"/>
    </row>
    <row r="79" ht="29.25" customHeight="1">
      <c r="A79" s="29" t="n">
        <v>78</v>
      </c>
      <c r="B79" s="28" t="inlineStr">
        <is>
          <t>핵심원칙5_사외이사책임</t>
        </is>
      </c>
      <c r="C79" s="27" t="inlineStr">
        <is>
          <t>5-③_정보자원제공</t>
        </is>
      </c>
      <c r="D79" s="40" t="inlineStr">
        <is>
          <t>505</t>
        </is>
      </c>
      <c r="E79" s="28" t="inlineStr">
        <is>
          <t>사외이사 대상 교육(대면/화상) 실시 여부</t>
        </is>
      </c>
      <c r="F79" s="40" t="inlineStr">
        <is>
          <t>OX</t>
        </is>
      </c>
      <c r="G79" s="28" t="inlineStr">
        <is>
          <t>기업지배구조보고서/지속가능경영보고서</t>
        </is>
      </c>
      <c r="H79" s="27" t="inlineStr">
        <is>
          <t>G-1-5</t>
        </is>
      </c>
      <c r="I79" s="28" t="n"/>
      <c r="J79" s="39" t="n"/>
    </row>
    <row r="80" ht="29.25" customHeight="1">
      <c r="A80" s="20" t="n">
        <v>79</v>
      </c>
      <c r="B80" s="18" t="inlineStr">
        <is>
          <t>핵심원칙5_사외이사책임</t>
        </is>
      </c>
      <c r="C80" s="17" t="inlineStr">
        <is>
          <t>5-③_정보자원제공</t>
        </is>
      </c>
      <c r="D80" s="38" t="inlineStr">
        <is>
          <t>506</t>
        </is>
      </c>
      <c r="E80" s="18" t="inlineStr">
        <is>
          <t>사외이사만 참여하는 별도회의 개최 여부·횟수</t>
        </is>
      </c>
      <c r="F80" s="38" t="inlineStr">
        <is>
          <t>OX/숫자</t>
        </is>
      </c>
      <c r="G80" s="18" t="inlineStr">
        <is>
          <t>기업지배구조보고서</t>
        </is>
      </c>
      <c r="H80" s="17" t="inlineStr">
        <is>
          <t>G-1-5</t>
        </is>
      </c>
      <c r="I80" s="18" t="n"/>
      <c r="J80" s="39" t="n"/>
    </row>
    <row r="81" ht="29.25" customHeight="1">
      <c r="A81" s="29" t="n">
        <v>80</v>
      </c>
      <c r="B81" s="28" t="inlineStr">
        <is>
          <t>핵심원칙6_사외이사평가</t>
        </is>
      </c>
      <c r="C81" s="27" t="inlineStr">
        <is>
          <t>6-①_개별평가와재선임반영</t>
        </is>
      </c>
      <c r="D81" s="40" t="inlineStr">
        <is>
          <t>601</t>
        </is>
      </c>
      <c r="E81" s="28" t="inlineStr">
        <is>
          <t>사외이사 개별평가 실시 여부(자기/상호/외부평가)</t>
        </is>
      </c>
      <c r="F81" s="40" t="inlineStr">
        <is>
          <t>OX</t>
        </is>
      </c>
      <c r="G81" s="28" t="inlineStr">
        <is>
          <t>기업지배구조보고서</t>
        </is>
      </c>
      <c r="H81" s="27" t="inlineStr">
        <is>
          <t>G-1-5(평가 보강)</t>
        </is>
      </c>
      <c r="I81" s="28" t="n"/>
      <c r="J81" s="39" t="n"/>
    </row>
    <row r="82" ht="26.25" customHeight="1">
      <c r="A82" s="20" t="n">
        <v>81</v>
      </c>
      <c r="B82" s="18" t="inlineStr">
        <is>
          <t>핵심원칙6_사외이사평가</t>
        </is>
      </c>
      <c r="C82" s="17" t="inlineStr">
        <is>
          <t>6-①_개별평가와재선임반영</t>
        </is>
      </c>
      <c r="D82" s="38" t="inlineStr">
        <is>
          <t>602</t>
        </is>
      </c>
      <c r="E82" s="18" t="inlineStr">
        <is>
          <t>사외이사 평가결과 재선임 반영 여부</t>
        </is>
      </c>
      <c r="F82" s="38" t="inlineStr">
        <is>
          <t>OX</t>
        </is>
      </c>
      <c r="G82" s="18" t="inlineStr">
        <is>
          <t>기업지배구조보고서</t>
        </is>
      </c>
      <c r="H82" s="17" t="inlineStr">
        <is>
          <t>G-1-5(평가 보강)</t>
        </is>
      </c>
      <c r="I82" s="18" t="n"/>
      <c r="J82" s="39" t="n"/>
    </row>
    <row r="83" ht="15" customHeight="1">
      <c r="A83" s="29" t="n">
        <v>82</v>
      </c>
      <c r="B83" s="28" t="inlineStr">
        <is>
          <t>핵심원칙6_사외이사평가</t>
        </is>
      </c>
      <c r="C83" s="27" t="inlineStr">
        <is>
          <t>6-②_보수의적정성</t>
        </is>
      </c>
      <c r="D83" s="40" t="inlineStr">
        <is>
          <t>603</t>
        </is>
      </c>
      <c r="E83" s="28" t="inlineStr">
        <is>
          <t>사외이사 보수 정책 수립 여부</t>
        </is>
      </c>
      <c r="F83" s="40" t="inlineStr">
        <is>
          <t>OX</t>
        </is>
      </c>
      <c r="G83" s="28" t="inlineStr">
        <is>
          <t>기업지배구조보고서</t>
        </is>
      </c>
      <c r="H83" s="27" t="inlineStr">
        <is>
          <t>G-1-5(평가 보강)</t>
        </is>
      </c>
      <c r="I83" s="28" t="n"/>
      <c r="J83" s="39" t="n"/>
    </row>
    <row r="84" ht="15" customHeight="1">
      <c r="A84" s="20" t="n">
        <v>83</v>
      </c>
      <c r="B84" s="18" t="inlineStr">
        <is>
          <t>핵심원칙6_사외이사평가</t>
        </is>
      </c>
      <c r="C84" s="17" t="inlineStr">
        <is>
          <t>6-②_보수의적정성</t>
        </is>
      </c>
      <c r="D84" s="38" t="inlineStr">
        <is>
          <t>604</t>
        </is>
      </c>
      <c r="E84" s="18" t="inlineStr">
        <is>
          <t>사외이사 스톡옵션 부여 여부</t>
        </is>
      </c>
      <c r="F84" s="38" t="inlineStr">
        <is>
          <t>OX</t>
        </is>
      </c>
      <c r="G84" s="18" t="inlineStr">
        <is>
          <t>기업지배구조보고서</t>
        </is>
      </c>
      <c r="H84" s="17" t="inlineStr">
        <is>
          <t>G-1-5(평가 보강)</t>
        </is>
      </c>
      <c r="I84" s="18" t="n"/>
      <c r="J84" s="39" t="n"/>
    </row>
    <row r="85" ht="15" customHeight="1">
      <c r="A85" s="29" t="n">
        <v>84</v>
      </c>
      <c r="B85" s="28" t="inlineStr">
        <is>
          <t>핵심원칙6_사외이사평가</t>
        </is>
      </c>
      <c r="C85" s="27" t="inlineStr">
        <is>
          <t>6-②_보수의적정성</t>
        </is>
      </c>
      <c r="D85" s="40" t="inlineStr">
        <is>
          <t>605</t>
        </is>
      </c>
      <c r="E85" s="28" t="inlineStr">
        <is>
          <t>스톡옵션 행사조건 성과 연동 여부</t>
        </is>
      </c>
      <c r="F85" s="40" t="inlineStr">
        <is>
          <t>OX</t>
        </is>
      </c>
      <c r="G85" s="28" t="inlineStr">
        <is>
          <t>기업지배구조보고서</t>
        </is>
      </c>
      <c r="H85" s="27" t="inlineStr">
        <is>
          <t>G-1-5(평가 보강)</t>
        </is>
      </c>
      <c r="I85" s="28" t="n"/>
      <c r="J85" s="39" t="n"/>
    </row>
    <row r="86" ht="15" customHeight="1">
      <c r="A86" s="20" t="n">
        <v>85</v>
      </c>
      <c r="B86" s="18" t="inlineStr">
        <is>
          <t>핵심원칙7_이사회운영</t>
        </is>
      </c>
      <c r="C86" s="17" t="inlineStr">
        <is>
          <t>7-①_정기개최와운영규정</t>
        </is>
      </c>
      <c r="D86" s="38" t="inlineStr">
        <is>
          <t>701</t>
        </is>
      </c>
      <c r="E86" s="18" t="inlineStr">
        <is>
          <t>정기이사회 개최 여부</t>
        </is>
      </c>
      <c r="F86" s="38" t="inlineStr">
        <is>
          <t>OX</t>
        </is>
      </c>
      <c r="G86" s="18" t="inlineStr">
        <is>
          <t>기업지배구조보고서</t>
        </is>
      </c>
      <c r="H86" s="17" t="inlineStr">
        <is>
          <t>G-2-1, G-2-2</t>
        </is>
      </c>
      <c r="I86" s="18" t="n"/>
      <c r="J86" s="39" t="n"/>
    </row>
    <row r="87" ht="15" customHeight="1">
      <c r="A87" s="29" t="n">
        <v>86</v>
      </c>
      <c r="B87" s="28" t="inlineStr">
        <is>
          <t>핵심원칙7_이사회운영</t>
        </is>
      </c>
      <c r="C87" s="27" t="inlineStr">
        <is>
          <t>7-①_정기개최와운영규정</t>
        </is>
      </c>
      <c r="D87" s="40" t="inlineStr">
        <is>
          <t>702</t>
        </is>
      </c>
      <c r="E87" s="28" t="inlineStr">
        <is>
          <t>이사회 운영규정 존재 여부</t>
        </is>
      </c>
      <c r="F87" s="40" t="inlineStr">
        <is>
          <t>OX</t>
        </is>
      </c>
      <c r="G87" s="28" t="inlineStr">
        <is>
          <t>기업지배구조보고서</t>
        </is>
      </c>
      <c r="H87" s="27" t="inlineStr">
        <is>
          <t>G-2-1, G-2-2</t>
        </is>
      </c>
      <c r="I87" s="28" t="n"/>
      <c r="J87" s="39" t="n"/>
    </row>
    <row r="88" ht="29.25" customHeight="1">
      <c r="A88" s="20" t="n">
        <v>87</v>
      </c>
      <c r="B88" s="18" t="inlineStr">
        <is>
          <t>핵심원칙7_이사회운영</t>
        </is>
      </c>
      <c r="C88" s="17" t="inlineStr">
        <is>
          <t>7-①_정기개최와운영규정</t>
        </is>
      </c>
      <c r="D88" s="38" t="inlineStr">
        <is>
          <t>703</t>
        </is>
      </c>
      <c r="E88" s="18" t="inlineStr">
        <is>
          <t>이사회 개최횟수(정기/임시)</t>
        </is>
      </c>
      <c r="F88" s="20" t="inlineStr">
        <is>
          <t>숫자</t>
        </is>
      </c>
      <c r="G88" s="18" t="inlineStr">
        <is>
          <t>기업지배구조보고서/지속가능경영보고서</t>
        </is>
      </c>
      <c r="H88" s="17" t="inlineStr">
        <is>
          <t>G-2-1, G-2-2</t>
        </is>
      </c>
      <c r="I88" s="18" t="inlineStr">
        <is>
          <t>표 7-1-1</t>
        </is>
      </c>
      <c r="J88" s="39" t="n"/>
    </row>
    <row r="89" ht="15" customHeight="1">
      <c r="A89" s="29" t="n">
        <v>88</v>
      </c>
      <c r="B89" s="28" t="inlineStr">
        <is>
          <t>핵심원칙7_이사회운영</t>
        </is>
      </c>
      <c r="C89" s="27" t="inlineStr">
        <is>
          <t>7-①_정기개최와운영규정</t>
        </is>
      </c>
      <c r="D89" s="40" t="inlineStr">
        <is>
          <t>704</t>
        </is>
      </c>
      <c r="E89" s="28" t="inlineStr">
        <is>
          <t>안건통지-개최일 평균 간격(일)</t>
        </is>
      </c>
      <c r="F89" s="29" t="inlineStr">
        <is>
          <t>숫자</t>
        </is>
      </c>
      <c r="G89" s="28" t="inlineStr">
        <is>
          <t>기업지배구조보고서</t>
        </is>
      </c>
      <c r="H89" s="27" t="inlineStr">
        <is>
          <t>G-2-1, G-2-2</t>
        </is>
      </c>
      <c r="I89" s="28" t="n"/>
      <c r="J89" s="39" t="n"/>
    </row>
    <row r="90" ht="29.25" customHeight="1">
      <c r="A90" s="20" t="n">
        <v>89</v>
      </c>
      <c r="B90" s="18" t="inlineStr">
        <is>
          <t>핵심원칙7_이사회운영</t>
        </is>
      </c>
      <c r="C90" s="17" t="inlineStr">
        <is>
          <t>7-①_정기개최와운영규정</t>
        </is>
      </c>
      <c r="D90" s="38" t="inlineStr">
        <is>
          <t>705</t>
        </is>
      </c>
      <c r="E90" s="18" t="inlineStr">
        <is>
          <t>이사 평균 출석률(%)</t>
        </is>
      </c>
      <c r="F90" s="20" t="inlineStr">
        <is>
          <t>숫자</t>
        </is>
      </c>
      <c r="G90" s="18" t="inlineStr">
        <is>
          <t>기업지배구조보고서/지속가능경영보고서</t>
        </is>
      </c>
      <c r="H90" s="17" t="inlineStr">
        <is>
          <t>G-2-1, G-2-2</t>
        </is>
      </c>
      <c r="I90" s="18" t="n"/>
      <c r="J90" s="39" t="n"/>
    </row>
    <row r="91" ht="15" customHeight="1">
      <c r="A91" s="29" t="n">
        <v>90</v>
      </c>
      <c r="B91" s="28" t="inlineStr">
        <is>
          <t>핵심원칙7_이사회운영</t>
        </is>
      </c>
      <c r="C91" s="27" t="inlineStr">
        <is>
          <t>7-①_정기개최와운영규정</t>
        </is>
      </c>
      <c r="D91" s="40" t="inlineStr">
        <is>
          <t>706</t>
        </is>
      </c>
      <c r="E91" s="28" t="inlineStr">
        <is>
          <t>임원보수 정책 수립 여부</t>
        </is>
      </c>
      <c r="F91" s="40" t="inlineStr">
        <is>
          <t>OX</t>
        </is>
      </c>
      <c r="G91" s="28" t="inlineStr">
        <is>
          <t>기업지배구조보고서</t>
        </is>
      </c>
      <c r="H91" s="27" t="inlineStr">
        <is>
          <t>G-2-1, G-2-2</t>
        </is>
      </c>
      <c r="I91" s="28" t="n"/>
      <c r="J91" s="39" t="n"/>
    </row>
    <row r="92" ht="15" customHeight="1">
      <c r="A92" s="20" t="n">
        <v>91</v>
      </c>
      <c r="B92" s="18" t="inlineStr">
        <is>
          <t>핵심원칙7_이사회운영</t>
        </is>
      </c>
      <c r="C92" s="17" t="inlineStr">
        <is>
          <t>7-①_정기개최와운영규정</t>
        </is>
      </c>
      <c r="D92" s="38" t="inlineStr">
        <is>
          <t>707</t>
        </is>
      </c>
      <c r="E92" s="18" t="inlineStr">
        <is>
          <t>임원보수 정책 공개 여부</t>
        </is>
      </c>
      <c r="F92" s="38" t="inlineStr">
        <is>
          <t>OX</t>
        </is>
      </c>
      <c r="G92" s="18" t="inlineStr">
        <is>
          <t>기업지배구조보고서</t>
        </is>
      </c>
      <c r="H92" s="17" t="inlineStr">
        <is>
          <t>G-2-1, G-2-2</t>
        </is>
      </c>
      <c r="I92" s="18" t="n"/>
      <c r="J92" s="39" t="n"/>
    </row>
    <row r="93" ht="29.25" customHeight="1">
      <c r="A93" s="29" t="n">
        <v>92</v>
      </c>
      <c r="B93" s="28" t="inlineStr">
        <is>
          <t>핵심원칙7_이사회운영</t>
        </is>
      </c>
      <c r="C93" s="27" t="inlineStr">
        <is>
          <t>7-①_정기개최와운영규정</t>
        </is>
      </c>
      <c r="D93" s="40" t="inlineStr">
        <is>
          <t>708</t>
        </is>
      </c>
      <c r="E93" s="28" t="inlineStr">
        <is>
          <t>임원배상책임보험(D&amp;O) 가입 여부</t>
        </is>
      </c>
      <c r="F93" s="40" t="inlineStr">
        <is>
          <t>OX</t>
        </is>
      </c>
      <c r="G93" s="28" t="inlineStr">
        <is>
          <t>기업지배구조보고서/지속가능경영보고서</t>
        </is>
      </c>
      <c r="H93" s="27" t="inlineStr">
        <is>
          <t>G-2-1, G-2-2</t>
        </is>
      </c>
      <c r="I93" s="28" t="n"/>
      <c r="J93" s="39" t="n"/>
    </row>
    <row r="94" ht="15" customHeight="1">
      <c r="A94" s="20" t="n">
        <v>93</v>
      </c>
      <c r="B94" s="18" t="inlineStr">
        <is>
          <t>핵심원칙7_이사회운영</t>
        </is>
      </c>
      <c r="C94" s="17" t="inlineStr">
        <is>
          <t>7-①_정기개최와운영규정</t>
        </is>
      </c>
      <c r="D94" s="38" t="inlineStr">
        <is>
          <t>709</t>
        </is>
      </c>
      <c r="E94" s="18" t="inlineStr">
        <is>
          <t>이해관계자 이익 고려 여부</t>
        </is>
      </c>
      <c r="F94" s="38" t="inlineStr">
        <is>
          <t>OX</t>
        </is>
      </c>
      <c r="G94" s="18" t="inlineStr">
        <is>
          <t>기업지배구조보고서</t>
        </is>
      </c>
      <c r="H94" s="17" t="inlineStr">
        <is>
          <t>G-2-1, G-2-2</t>
        </is>
      </c>
      <c r="I94" s="18" t="n"/>
      <c r="J94" s="39" t="n"/>
    </row>
    <row r="95" ht="15" customHeight="1">
      <c r="A95" s="29" t="n">
        <v>94</v>
      </c>
      <c r="B95" s="28" t="inlineStr">
        <is>
          <t>핵심원칙7_이사회운영</t>
        </is>
      </c>
      <c r="C95" s="27" t="inlineStr">
        <is>
          <t>7-②_의사록과활동공개</t>
        </is>
      </c>
      <c r="D95" s="40" t="inlineStr">
        <is>
          <t>710</t>
        </is>
      </c>
      <c r="E95" s="28" t="inlineStr">
        <is>
          <t>이사회 의사록·녹취록 작성·보존 규정 여부</t>
        </is>
      </c>
      <c r="F95" s="40" t="inlineStr">
        <is>
          <t>OX</t>
        </is>
      </c>
      <c r="G95" s="28" t="inlineStr">
        <is>
          <t>기업지배구조보고서</t>
        </is>
      </c>
      <c r="H95" s="27" t="inlineStr">
        <is>
          <t>G-2-4</t>
        </is>
      </c>
      <c r="I95" s="28" t="n"/>
      <c r="J95" s="39" t="n"/>
    </row>
    <row r="96" ht="15" customHeight="1">
      <c r="A96" s="20" t="n">
        <v>95</v>
      </c>
      <c r="B96" s="18" t="inlineStr">
        <is>
          <t>핵심원칙7_이사회운영</t>
        </is>
      </c>
      <c r="C96" s="17" t="inlineStr">
        <is>
          <t>7-②_의사록과활동공개</t>
        </is>
      </c>
      <c r="D96" s="38" t="inlineStr">
        <is>
          <t>711</t>
        </is>
      </c>
      <c r="E96" s="18" t="inlineStr">
        <is>
          <t>개별이사 출석률·안건 찬성률(최근3개년)</t>
        </is>
      </c>
      <c r="F96" s="20" t="inlineStr">
        <is>
          <t>숫자</t>
        </is>
      </c>
      <c r="G96" s="18" t="inlineStr">
        <is>
          <t>기업지배구조보고서</t>
        </is>
      </c>
      <c r="H96" s="17" t="inlineStr">
        <is>
          <t>G-2-4</t>
        </is>
      </c>
      <c r="I96" s="18" t="inlineStr">
        <is>
          <t>표 7-2-1</t>
        </is>
      </c>
      <c r="J96" s="39" t="n"/>
    </row>
    <row r="97" ht="15" customHeight="1">
      <c r="A97" s="29" t="n">
        <v>96</v>
      </c>
      <c r="B97" s="28" t="inlineStr">
        <is>
          <t>핵심원칙7_이사회운영</t>
        </is>
      </c>
      <c r="C97" s="27" t="inlineStr">
        <is>
          <t>7-②_의사록과활동공개</t>
        </is>
      </c>
      <c r="D97" s="40" t="inlineStr">
        <is>
          <t>712</t>
        </is>
      </c>
      <c r="E97" s="28" t="inlineStr">
        <is>
          <t>정기공시 외 개별이사 활동내용 공개 여부</t>
        </is>
      </c>
      <c r="F97" s="40" t="inlineStr">
        <is>
          <t>OX</t>
        </is>
      </c>
      <c r="G97" s="28" t="inlineStr">
        <is>
          <t>기업지배구조보고서</t>
        </is>
      </c>
      <c r="H97" s="27" t="inlineStr">
        <is>
          <t>G-2-4</t>
        </is>
      </c>
      <c r="I97" s="28" t="n"/>
      <c r="J97" s="39" t="n"/>
    </row>
    <row r="98" ht="15" customHeight="1">
      <c r="A98" s="20" t="n">
        <v>97</v>
      </c>
      <c r="B98" s="18" t="inlineStr">
        <is>
          <t>핵심원칙8_이사회내위원회</t>
        </is>
      </c>
      <c r="C98" s="17" t="inlineStr">
        <is>
          <t>8-①_위원구성</t>
        </is>
      </c>
      <c r="D98" s="38" t="inlineStr">
        <is>
          <t>801</t>
        </is>
      </c>
      <c r="E98" s="18" t="inlineStr">
        <is>
          <t>각 위원회 사외이사 과반수 선임 여부</t>
        </is>
      </c>
      <c r="F98" s="38" t="inlineStr">
        <is>
          <t>OX</t>
        </is>
      </c>
      <c r="G98" s="18" t="inlineStr">
        <is>
          <t>기업지배구조보고서</t>
        </is>
      </c>
      <c r="H98" s="17" t="inlineStr">
        <is>
          <t>G-2-3</t>
        </is>
      </c>
      <c r="I98" s="18" t="n"/>
      <c r="J98" s="39" t="n"/>
    </row>
    <row r="99" ht="29.25" customHeight="1">
      <c r="A99" s="29" t="n">
        <v>98</v>
      </c>
      <c r="B99" s="28" t="inlineStr">
        <is>
          <t>핵심원칙8_이사회내위원회</t>
        </is>
      </c>
      <c r="C99" s="27" t="inlineStr">
        <is>
          <t>8-①_위원구성</t>
        </is>
      </c>
      <c r="D99" s="40" t="inlineStr">
        <is>
          <t>802</t>
        </is>
      </c>
      <c r="E99" s="28" t="inlineStr">
        <is>
          <t>감사위원회·보수(보상)위원회 전원 사외이사 구성 여부</t>
        </is>
      </c>
      <c r="F99" s="40" t="inlineStr">
        <is>
          <t>OX</t>
        </is>
      </c>
      <c r="G99" s="28" t="inlineStr">
        <is>
          <t>기업지배구조보고서</t>
        </is>
      </c>
      <c r="H99" s="27" t="inlineStr">
        <is>
          <t>G-2-3</t>
        </is>
      </c>
      <c r="I99" s="28" t="n"/>
      <c r="J99" s="39" t="n"/>
    </row>
    <row r="100" ht="15" customHeight="1">
      <c r="A100" s="20" t="n">
        <v>99</v>
      </c>
      <c r="B100" s="18" t="inlineStr">
        <is>
          <t>핵심원칙8_이사회내위원회</t>
        </is>
      </c>
      <c r="C100" s="17" t="inlineStr">
        <is>
          <t>8-②_위원회운영과보고</t>
        </is>
      </c>
      <c r="D100" s="38" t="inlineStr">
        <is>
          <t>803</t>
        </is>
      </c>
      <c r="E100" s="18" t="inlineStr">
        <is>
          <t>이사회내 위원회 명문규정 존재 여부</t>
        </is>
      </c>
      <c r="F100" s="38" t="inlineStr">
        <is>
          <t>OX</t>
        </is>
      </c>
      <c r="G100" s="18" t="inlineStr">
        <is>
          <t>기업지배구조보고서</t>
        </is>
      </c>
      <c r="H100" s="17" t="inlineStr">
        <is>
          <t>G-2-3</t>
        </is>
      </c>
      <c r="I100" s="18" t="n"/>
      <c r="J100" s="39" t="n"/>
    </row>
    <row r="101" ht="15" customHeight="1">
      <c r="A101" s="29" t="n">
        <v>100</v>
      </c>
      <c r="B101" s="28" t="inlineStr">
        <is>
          <t>핵심원칙8_이사회내위원회</t>
        </is>
      </c>
      <c r="C101" s="27" t="inlineStr">
        <is>
          <t>8-②_위원회운영과보고</t>
        </is>
      </c>
      <c r="D101" s="40" t="inlineStr">
        <is>
          <t>804</t>
        </is>
      </c>
      <c r="E101" s="28" t="inlineStr">
        <is>
          <t>위원회 결의사항 이사회 보고 여부</t>
        </is>
      </c>
      <c r="F101" s="40" t="inlineStr">
        <is>
          <t>OX</t>
        </is>
      </c>
      <c r="G101" s="28" t="inlineStr">
        <is>
          <t>기업지배구조보고서</t>
        </is>
      </c>
      <c r="H101" s="27" t="inlineStr">
        <is>
          <t>G-2-3</t>
        </is>
      </c>
      <c r="I101" s="28" t="n"/>
      <c r="J101" s="39" t="n"/>
    </row>
    <row r="102" ht="15" customHeight="1">
      <c r="A102" s="20" t="n">
        <v>101</v>
      </c>
      <c r="B102" s="18" t="inlineStr">
        <is>
          <t>핵심원칙8_이사회내위원회</t>
        </is>
      </c>
      <c r="C102" s="17" t="inlineStr">
        <is>
          <t>8-②_위원회운영과보고</t>
        </is>
      </c>
      <c r="D102" s="38" t="inlineStr">
        <is>
          <t>805</t>
        </is>
      </c>
      <c r="E102" s="18" t="inlineStr">
        <is>
          <t>위원회별 개최횟수·안건·가결여부</t>
        </is>
      </c>
      <c r="F102" s="20" t="inlineStr">
        <is>
          <t>숫자/텍스트</t>
        </is>
      </c>
      <c r="G102" s="18" t="inlineStr">
        <is>
          <t>기업지배구조보고서</t>
        </is>
      </c>
      <c r="H102" s="17" t="inlineStr">
        <is>
          <t>G-2-3</t>
        </is>
      </c>
      <c r="I102" s="18" t="inlineStr">
        <is>
          <t>표 8-2-1~3</t>
        </is>
      </c>
      <c r="J102" s="39" t="n"/>
    </row>
    <row r="103" ht="15" customHeight="1">
      <c r="A103" s="29" t="n">
        <v>102</v>
      </c>
      <c r="B103" s="28" t="inlineStr">
        <is>
          <t>핵심원칙9_내부감사기구</t>
        </is>
      </c>
      <c r="C103" s="27" t="inlineStr">
        <is>
          <t>9-①_독립성과전문성</t>
        </is>
      </c>
      <c r="D103" s="40" t="inlineStr">
        <is>
          <t>901</t>
        </is>
      </c>
      <c r="E103" s="28" t="inlineStr">
        <is>
          <t>감사위원회 설치 여부</t>
        </is>
      </c>
      <c r="F103" s="40" t="inlineStr">
        <is>
          <t>OX</t>
        </is>
      </c>
      <c r="G103" s="28" t="inlineStr">
        <is>
          <t>기업지배구조보고서</t>
        </is>
      </c>
      <c r="H103" s="27" t="inlineStr">
        <is>
          <t>G-5-1, G-5-2</t>
        </is>
      </c>
      <c r="I103" s="28" t="inlineStr">
        <is>
          <t>핵심지표 H12 연계</t>
        </is>
      </c>
      <c r="J103" s="39" t="n"/>
    </row>
    <row r="104" ht="15" customHeight="1">
      <c r="A104" s="20" t="n">
        <v>103</v>
      </c>
      <c r="B104" s="18" t="inlineStr">
        <is>
          <t>핵심원칙9_내부감사기구</t>
        </is>
      </c>
      <c r="C104" s="17" t="inlineStr">
        <is>
          <t>9-①_독립성과전문성</t>
        </is>
      </c>
      <c r="D104" s="38" t="inlineStr">
        <is>
          <t>902</t>
        </is>
      </c>
      <c r="E104" s="18" t="inlineStr">
        <is>
          <t>회계 또는 재무전문가 존재 여부</t>
        </is>
      </c>
      <c r="F104" s="38" t="inlineStr">
        <is>
          <t>OX</t>
        </is>
      </c>
      <c r="G104" s="18" t="inlineStr">
        <is>
          <t>기업지배구조보고서</t>
        </is>
      </c>
      <c r="H104" s="17" t="inlineStr">
        <is>
          <t>G-5-1, G-5-2</t>
        </is>
      </c>
      <c r="I104" s="18" t="inlineStr">
        <is>
          <t>핵심지표 H13</t>
        </is>
      </c>
      <c r="J104" s="39" t="n"/>
    </row>
    <row r="105" ht="15" customHeight="1">
      <c r="A105" s="29" t="n">
        <v>104</v>
      </c>
      <c r="B105" s="28" t="inlineStr">
        <is>
          <t>핵심원칙9_내부감사기구</t>
        </is>
      </c>
      <c r="C105" s="27" t="inlineStr">
        <is>
          <t>9-①_독립성과전문성</t>
        </is>
      </c>
      <c r="D105" s="40" t="inlineStr">
        <is>
          <t>903</t>
        </is>
      </c>
      <c r="E105" s="28" t="inlineStr">
        <is>
          <t>내부감사기구 운영규정 존재 여부</t>
        </is>
      </c>
      <c r="F105" s="40" t="inlineStr">
        <is>
          <t>OX</t>
        </is>
      </c>
      <c r="G105" s="28" t="inlineStr">
        <is>
          <t>기업지배구조보고서</t>
        </is>
      </c>
      <c r="H105" s="27" t="inlineStr">
        <is>
          <t>G-5-1, G-5-2</t>
        </is>
      </c>
      <c r="I105" s="28" t="n"/>
      <c r="J105" s="39" t="n"/>
    </row>
    <row r="106" ht="15" customHeight="1">
      <c r="A106" s="20" t="n">
        <v>105</v>
      </c>
      <c r="B106" s="18" t="inlineStr">
        <is>
          <t>핵심원칙9_내부감사기구</t>
        </is>
      </c>
      <c r="C106" s="17" t="inlineStr">
        <is>
          <t>9-①_독립성과전문성</t>
        </is>
      </c>
      <c r="D106" s="38" t="inlineStr">
        <is>
          <t>904</t>
        </is>
      </c>
      <c r="E106" s="18" t="inlineStr">
        <is>
          <t>감사기구 대상 교육 제공 여부</t>
        </is>
      </c>
      <c r="F106" s="38" t="inlineStr">
        <is>
          <t>OX</t>
        </is>
      </c>
      <c r="G106" s="18" t="inlineStr">
        <is>
          <t>기업지배구조보고서</t>
        </is>
      </c>
      <c r="H106" s="17" t="inlineStr">
        <is>
          <t>G-5-1, G-5-2</t>
        </is>
      </c>
      <c r="I106" s="18" t="n"/>
      <c r="J106" s="39" t="n"/>
    </row>
    <row r="107" ht="15" customHeight="1">
      <c r="A107" s="29" t="n">
        <v>106</v>
      </c>
      <c r="B107" s="28" t="inlineStr">
        <is>
          <t>핵심원칙9_내부감사기구</t>
        </is>
      </c>
      <c r="C107" s="27" t="inlineStr">
        <is>
          <t>9-①_독립성과전문성</t>
        </is>
      </c>
      <c r="D107" s="40" t="inlineStr">
        <is>
          <t>905</t>
        </is>
      </c>
      <c r="E107" s="28" t="inlineStr">
        <is>
          <t>외부 전문가 자문 지원 시행 여부</t>
        </is>
      </c>
      <c r="F107" s="40" t="inlineStr">
        <is>
          <t>OX</t>
        </is>
      </c>
      <c r="G107" s="28" t="inlineStr">
        <is>
          <t>기업지배구조보고서</t>
        </is>
      </c>
      <c r="H107" s="27" t="inlineStr">
        <is>
          <t>G-5-1, G-5-2</t>
        </is>
      </c>
      <c r="I107" s="28" t="n"/>
      <c r="J107" s="39" t="n"/>
    </row>
    <row r="108" ht="15" customHeight="1">
      <c r="A108" s="20" t="n">
        <v>107</v>
      </c>
      <c r="B108" s="18" t="inlineStr">
        <is>
          <t>핵심원칙9_내부감사기구</t>
        </is>
      </c>
      <c r="C108" s="17" t="inlineStr">
        <is>
          <t>9-①_독립성과전문성</t>
        </is>
      </c>
      <c r="D108" s="38" t="inlineStr">
        <is>
          <t>906</t>
        </is>
      </c>
      <c r="E108" s="18" t="inlineStr">
        <is>
          <t>경영진 부정행위 조사절차 규정 마련 여부</t>
        </is>
      </c>
      <c r="F108" s="38" t="inlineStr">
        <is>
          <t>OX</t>
        </is>
      </c>
      <c r="G108" s="18" t="inlineStr">
        <is>
          <t>기업지배구조보고서</t>
        </is>
      </c>
      <c r="H108" s="17" t="inlineStr">
        <is>
          <t>G-5-1, G-5-2</t>
        </is>
      </c>
      <c r="I108" s="18" t="n"/>
      <c r="J108" s="39" t="n"/>
    </row>
    <row r="109" ht="15" customHeight="1">
      <c r="A109" s="29" t="n">
        <v>108</v>
      </c>
      <c r="B109" s="28" t="inlineStr">
        <is>
          <t>핵심원칙9_내부감사기구</t>
        </is>
      </c>
      <c r="C109" s="27" t="inlineStr">
        <is>
          <t>9-①_독립성과전문성</t>
        </is>
      </c>
      <c r="D109" s="40" t="inlineStr">
        <is>
          <t>907</t>
        </is>
      </c>
      <c r="E109" s="28" t="inlineStr">
        <is>
          <t>내부감사기구 중요정보 접근절차 보유 여부</t>
        </is>
      </c>
      <c r="F109" s="40" t="inlineStr">
        <is>
          <t>OX</t>
        </is>
      </c>
      <c r="G109" s="28" t="inlineStr">
        <is>
          <t>기업지배구조보고서</t>
        </is>
      </c>
      <c r="H109" s="27" t="inlineStr">
        <is>
          <t>G-5-1, G-5-2</t>
        </is>
      </c>
      <c r="I109" s="28" t="inlineStr">
        <is>
          <t>핵심지표 H15</t>
        </is>
      </c>
      <c r="J109" s="39" t="n"/>
    </row>
    <row r="110" ht="15" customHeight="1">
      <c r="A110" s="20" t="n">
        <v>109</v>
      </c>
      <c r="B110" s="18" t="inlineStr">
        <is>
          <t>핵심원칙9_내부감사기구</t>
        </is>
      </c>
      <c r="C110" s="17" t="inlineStr">
        <is>
          <t>9-①_독립성과전문성</t>
        </is>
      </c>
      <c r="D110" s="38" t="inlineStr">
        <is>
          <t>908</t>
        </is>
      </c>
      <c r="E110" s="18" t="inlineStr">
        <is>
          <t>내부감사업무 지원조직 설치 여부</t>
        </is>
      </c>
      <c r="F110" s="38" t="inlineStr">
        <is>
          <t>OX</t>
        </is>
      </c>
      <c r="G110" s="18" t="inlineStr">
        <is>
          <t>기업지배구조보고서</t>
        </is>
      </c>
      <c r="H110" s="17" t="inlineStr">
        <is>
          <t>G-5-1, G-5-2</t>
        </is>
      </c>
      <c r="I110" s="18" t="inlineStr">
        <is>
          <t>핵심지표 H12</t>
        </is>
      </c>
      <c r="J110" s="39" t="n"/>
    </row>
    <row r="111" ht="15" customHeight="1">
      <c r="A111" s="29" t="n">
        <v>110</v>
      </c>
      <c r="B111" s="28" t="inlineStr">
        <is>
          <t>핵심원칙9_내부감사기구</t>
        </is>
      </c>
      <c r="C111" s="27" t="inlineStr">
        <is>
          <t>9-①_독립성과전문성</t>
        </is>
      </c>
      <c r="D111" s="40" t="inlineStr">
        <is>
          <t>909</t>
        </is>
      </c>
      <c r="E111" s="28" t="inlineStr">
        <is>
          <t>지원조직 독립성 확보(인사권/동의권) 여부</t>
        </is>
      </c>
      <c r="F111" s="40" t="inlineStr">
        <is>
          <t>OX</t>
        </is>
      </c>
      <c r="G111" s="28" t="inlineStr">
        <is>
          <t>기업지배구조보고서</t>
        </is>
      </c>
      <c r="H111" s="27" t="inlineStr">
        <is>
          <t>G-5-1, G-5-2</t>
        </is>
      </c>
      <c r="I111" s="28" t="n"/>
      <c r="J111" s="39" t="n"/>
    </row>
    <row r="112" ht="15" customHeight="1">
      <c r="A112" s="20" t="n">
        <v>111</v>
      </c>
      <c r="B112" s="18" t="inlineStr">
        <is>
          <t>핵심원칙9_내부감사기구</t>
        </is>
      </c>
      <c r="C112" s="17" t="inlineStr">
        <is>
          <t>9-①_독립성과전문성</t>
        </is>
      </c>
      <c r="D112" s="38" t="inlineStr">
        <is>
          <t>910</t>
        </is>
      </c>
      <c r="E112" s="18" t="inlineStr">
        <is>
          <t>감사(위원) 독립적 보수정책 수립 여부</t>
        </is>
      </c>
      <c r="F112" s="38" t="inlineStr">
        <is>
          <t>OX</t>
        </is>
      </c>
      <c r="G112" s="18" t="inlineStr">
        <is>
          <t>기업지배구조보고서</t>
        </is>
      </c>
      <c r="H112" s="17" t="inlineStr">
        <is>
          <t>G-5-1, G-5-2</t>
        </is>
      </c>
      <c r="I112" s="18" t="n"/>
      <c r="J112" s="39" t="n"/>
    </row>
    <row r="113" ht="15" customHeight="1">
      <c r="A113" s="29" t="n">
        <v>112</v>
      </c>
      <c r="B113" s="28" t="inlineStr">
        <is>
          <t>핵심원칙9_내부감사기구</t>
        </is>
      </c>
      <c r="C113" s="27" t="inlineStr">
        <is>
          <t>9-①_독립성과전문성</t>
        </is>
      </c>
      <c r="D113" s="40" t="inlineStr">
        <is>
          <t>911</t>
        </is>
      </c>
      <c r="E113" s="28" t="inlineStr">
        <is>
          <t>감사(위원) 대비 사외이사 보수 비율</t>
        </is>
      </c>
      <c r="F113" s="29" t="inlineStr">
        <is>
          <t>숫자</t>
        </is>
      </c>
      <c r="G113" s="28" t="inlineStr">
        <is>
          <t>기업지배구조보고서</t>
        </is>
      </c>
      <c r="H113" s="27" t="inlineStr">
        <is>
          <t>G-5-1, G-5-2</t>
        </is>
      </c>
      <c r="I113" s="28" t="n"/>
      <c r="J113" s="39" t="n"/>
    </row>
    <row r="114" ht="15" customHeight="1">
      <c r="A114" s="20" t="n">
        <v>113</v>
      </c>
      <c r="B114" s="18" t="inlineStr">
        <is>
          <t>핵심원칙9_내부감사기구</t>
        </is>
      </c>
      <c r="C114" s="17" t="inlineStr">
        <is>
          <t>9-②_활동내역과공개</t>
        </is>
      </c>
      <c r="D114" s="38" t="inlineStr">
        <is>
          <t>912</t>
        </is>
      </c>
      <c r="E114" s="18" t="inlineStr">
        <is>
          <t>내부감사기구 정기회의 개최 여부</t>
        </is>
      </c>
      <c r="F114" s="38" t="inlineStr">
        <is>
          <t>OX</t>
        </is>
      </c>
      <c r="G114" s="18" t="inlineStr">
        <is>
          <t>기업지배구조보고서</t>
        </is>
      </c>
      <c r="H114" s="17" t="inlineStr">
        <is>
          <t>G-5-1, G-5-2</t>
        </is>
      </c>
      <c r="I114" s="18" t="n"/>
      <c r="J114" s="39" t="n"/>
    </row>
    <row r="115" ht="15" customHeight="1">
      <c r="A115" s="29" t="n">
        <v>114</v>
      </c>
      <c r="B115" s="28" t="inlineStr">
        <is>
          <t>핵심원칙9_내부감사기구</t>
        </is>
      </c>
      <c r="C115" s="27" t="inlineStr">
        <is>
          <t>9-②_활동내역과공개</t>
        </is>
      </c>
      <c r="D115" s="40" t="inlineStr">
        <is>
          <t>913</t>
        </is>
      </c>
      <c r="E115" s="28" t="inlineStr">
        <is>
          <t>감사회의록 작성·보존 규정 여부</t>
        </is>
      </c>
      <c r="F115" s="40" t="inlineStr">
        <is>
          <t>OX</t>
        </is>
      </c>
      <c r="G115" s="28" t="inlineStr">
        <is>
          <t>기업지배구조보고서</t>
        </is>
      </c>
      <c r="H115" s="27" t="inlineStr">
        <is>
          <t>G-5-1, G-5-2</t>
        </is>
      </c>
      <c r="I115" s="28" t="n"/>
      <c r="J115" s="39" t="n"/>
    </row>
    <row r="116" ht="15" customHeight="1">
      <c r="A116" s="20" t="n">
        <v>115</v>
      </c>
      <c r="B116" s="18" t="inlineStr">
        <is>
          <t>핵심원칙9_내부감사기구</t>
        </is>
      </c>
      <c r="C116" s="17" t="inlineStr">
        <is>
          <t>9-②_활동내역과공개</t>
        </is>
      </c>
      <c r="D116" s="38" t="inlineStr">
        <is>
          <t>914</t>
        </is>
      </c>
      <c r="E116" s="18" t="inlineStr">
        <is>
          <t>감사위원회 개별이사 출석률(최근3개년,%)</t>
        </is>
      </c>
      <c r="F116" s="20" t="inlineStr">
        <is>
          <t>숫자</t>
        </is>
      </c>
      <c r="G116" s="18" t="inlineStr">
        <is>
          <t>기업지배구조보고서</t>
        </is>
      </c>
      <c r="H116" s="17" t="inlineStr">
        <is>
          <t>G-5-1, G-5-2</t>
        </is>
      </c>
      <c r="I116" s="18" t="inlineStr">
        <is>
          <t>표 9-2-1</t>
        </is>
      </c>
      <c r="J116" s="39" t="n"/>
    </row>
    <row r="117" ht="26.25" customHeight="1">
      <c r="A117" s="29" t="n">
        <v>116</v>
      </c>
      <c r="B117" s="28" t="inlineStr">
        <is>
          <t>핵심원칙10_외부감사인</t>
        </is>
      </c>
      <c r="C117" s="27" t="inlineStr">
        <is>
          <t>10-①_선임시독립성전문성</t>
        </is>
      </c>
      <c r="D117" s="40" t="inlineStr">
        <is>
          <t>1001</t>
        </is>
      </c>
      <c r="E117" s="28" t="inlineStr">
        <is>
          <t>외부감사인 선임 관련 정책 마련 여부</t>
        </is>
      </c>
      <c r="F117" s="40" t="inlineStr">
        <is>
          <t>OX</t>
        </is>
      </c>
      <c r="G117" s="28" t="inlineStr">
        <is>
          <t>기업지배구조보고서</t>
        </is>
      </c>
      <c r="H117" s="27" t="inlineStr">
        <is>
          <t>G-5-1(외부감사 보강)</t>
        </is>
      </c>
      <c r="I117" s="28" t="n"/>
      <c r="J117" s="39" t="n"/>
    </row>
    <row r="118" ht="26.25" customHeight="1">
      <c r="A118" s="20" t="n">
        <v>117</v>
      </c>
      <c r="B118" s="18" t="inlineStr">
        <is>
          <t>핵심원칙10_외부감사인</t>
        </is>
      </c>
      <c r="C118" s="17" t="inlineStr">
        <is>
          <t>10-①_선임시독립성전문성</t>
        </is>
      </c>
      <c r="D118" s="38" t="inlineStr">
        <is>
          <t>1002</t>
        </is>
      </c>
      <c r="E118" s="18" t="inlineStr">
        <is>
          <t>외부감사인 독립성 훼손우려 상황 유무</t>
        </is>
      </c>
      <c r="F118" s="38" t="inlineStr">
        <is>
          <t>OX</t>
        </is>
      </c>
      <c r="G118" s="18" t="inlineStr">
        <is>
          <t>기업지배구조보고서</t>
        </is>
      </c>
      <c r="H118" s="17" t="inlineStr">
        <is>
          <t>G-5-1(외부감사 보강)</t>
        </is>
      </c>
      <c r="I118" s="18" t="inlineStr">
        <is>
          <t>비감사용역 사전승인 등 4가지 기준</t>
        </is>
      </c>
      <c r="J118" s="39" t="n"/>
    </row>
    <row r="119" ht="29.25" customHeight="1">
      <c r="A119" s="29" t="n">
        <v>118</v>
      </c>
      <c r="B119" s="28" t="inlineStr">
        <is>
          <t>핵심원칙10_외부감사인</t>
        </is>
      </c>
      <c r="C119" s="27" t="inlineStr">
        <is>
          <t>10-②_주기적의사소통</t>
        </is>
      </c>
      <c r="D119" s="40" t="inlineStr">
        <is>
          <t>1003</t>
        </is>
      </c>
      <c r="E119" s="28" t="inlineStr">
        <is>
          <t>내부감사기구-외부감사인 분기1회 이상 경영진 없이 소통 시행여부</t>
        </is>
      </c>
      <c r="F119" s="40" t="inlineStr">
        <is>
          <t>OX</t>
        </is>
      </c>
      <c r="G119" s="28" t="inlineStr">
        <is>
          <t>기업지배구조보고서</t>
        </is>
      </c>
      <c r="H119" s="27" t="inlineStr">
        <is>
          <t>G-5-1(외부감사 보강)</t>
        </is>
      </c>
      <c r="I119" s="28" t="inlineStr">
        <is>
          <t>핵심지표 H14</t>
        </is>
      </c>
      <c r="J119" s="39" t="n"/>
    </row>
    <row r="120" ht="15" customHeight="1">
      <c r="A120" s="20" t="n">
        <v>119</v>
      </c>
      <c r="B120" s="18" t="inlineStr">
        <is>
          <t>핵심원칙10_외부감사인</t>
        </is>
      </c>
      <c r="C120" s="17" t="inlineStr">
        <is>
          <t>10-②_주기적의사소통</t>
        </is>
      </c>
      <c r="D120" s="38" t="inlineStr">
        <is>
          <t>1004</t>
        </is>
      </c>
      <c r="E120" s="18" t="inlineStr">
        <is>
          <t>재무제표 정기주총 6주 전 제공 여부</t>
        </is>
      </c>
      <c r="F120" s="38" t="inlineStr">
        <is>
          <t>OX</t>
        </is>
      </c>
      <c r="G120" s="18" t="inlineStr">
        <is>
          <t>기업지배구조보고서</t>
        </is>
      </c>
      <c r="H120" s="17" t="inlineStr">
        <is>
          <t>G-5-1(외부감사 보강)</t>
        </is>
      </c>
      <c r="I120" s="18" t="n"/>
      <c r="J120" s="39" t="n"/>
    </row>
    <row r="121" ht="15" customHeight="1">
      <c r="A121" s="29" t="n">
        <v>120</v>
      </c>
      <c r="B121" s="28" t="inlineStr">
        <is>
          <t>핵심원칙10_외부감사인</t>
        </is>
      </c>
      <c r="C121" s="27" t="inlineStr">
        <is>
          <t>10-②_주기적의사소통</t>
        </is>
      </c>
      <c r="D121" s="40" t="inlineStr">
        <is>
          <t>1005</t>
        </is>
      </c>
      <c r="E121" s="28" t="inlineStr">
        <is>
          <t>연결재무제표 정기주총 4주 전 제공 여부</t>
        </is>
      </c>
      <c r="F121" s="40" t="inlineStr">
        <is>
          <t>OX</t>
        </is>
      </c>
      <c r="G121" s="28" t="inlineStr">
        <is>
          <t>기업지배구조보고서</t>
        </is>
      </c>
      <c r="H121" s="27" t="inlineStr">
        <is>
          <t>G-5-1(외부감사 보강)</t>
        </is>
      </c>
      <c r="I121" s="28" t="n"/>
      <c r="J121" s="39" t="n"/>
    </row>
    <row r="122" ht="29.25" customHeight="1">
      <c r="A122" s="20" t="n">
        <v>121</v>
      </c>
      <c r="B122" s="18" t="inlineStr">
        <is>
          <t>기타_기업가치제고계획</t>
        </is>
      </c>
      <c r="C122" s="17" t="inlineStr">
        <is>
          <t>11_기업가치제고계획</t>
        </is>
      </c>
      <c r="D122" s="38" t="inlineStr">
        <is>
          <t>1101</t>
        </is>
      </c>
      <c r="E122" s="18" t="inlineStr">
        <is>
          <t>기업가치 제고 계획 자율공시 여부</t>
        </is>
      </c>
      <c r="F122" s="38" t="inlineStr">
        <is>
          <t>OX</t>
        </is>
      </c>
      <c r="G122" s="18" t="inlineStr">
        <is>
          <t>사업보고서(DART)</t>
        </is>
      </c>
      <c r="H122" s="41" t="inlineStr">
        <is>
          <t>GAP(밸류업 프로그램-K-ESG 미대응)</t>
        </is>
      </c>
      <c r="I122" s="18" t="inlineStr">
        <is>
          <t>밸류업 프로그램</t>
        </is>
      </c>
      <c r="J122" s="39" t="n"/>
    </row>
    <row r="123" ht="29.25" customHeight="1">
      <c r="A123" s="29" t="n">
        <v>122</v>
      </c>
      <c r="B123" s="28" t="inlineStr">
        <is>
          <t>기타_기업가치제고계획</t>
        </is>
      </c>
      <c r="C123" s="27" t="inlineStr">
        <is>
          <t>11_기업가치제고계획</t>
        </is>
      </c>
      <c r="D123" s="40" t="inlineStr">
        <is>
          <t>1102</t>
        </is>
      </c>
      <c r="E123" s="28" t="inlineStr">
        <is>
          <t>기업가치 제고 계획 수립·공시 과정 이사회 참여 여부</t>
        </is>
      </c>
      <c r="F123" s="40" t="inlineStr">
        <is>
          <t>OX</t>
        </is>
      </c>
      <c r="G123" s="28" t="inlineStr">
        <is>
          <t>사업보고서(DART)</t>
        </is>
      </c>
      <c r="H123" s="41" t="inlineStr">
        <is>
          <t>GAP(밸류업 프로그램-K-ESG 미대응)</t>
        </is>
      </c>
      <c r="I123" s="28" t="n"/>
      <c r="J123" s="39" t="n"/>
    </row>
    <row r="124" ht="29.25" customHeight="1">
      <c r="A124" s="20" t="n">
        <v>123</v>
      </c>
      <c r="B124" s="18" t="inlineStr">
        <is>
          <t>기타_기업가치제고계획</t>
        </is>
      </c>
      <c r="C124" s="17" t="inlineStr">
        <is>
          <t>11_기업가치제고계획</t>
        </is>
      </c>
      <c r="D124" s="38" t="inlineStr">
        <is>
          <t>1103</t>
        </is>
      </c>
      <c r="E124" s="18" t="inlineStr">
        <is>
          <t>기업가치 제고 계획 주주·시장 소통 실적 여부</t>
        </is>
      </c>
      <c r="F124" s="38" t="inlineStr">
        <is>
          <t>OX</t>
        </is>
      </c>
      <c r="G124" s="18" t="inlineStr">
        <is>
          <t>사업보고서(DART)</t>
        </is>
      </c>
      <c r="H124" s="41" t="inlineStr">
        <is>
          <t>GAP(밸류업 프로그램-K-ESG 미대응)</t>
        </is>
      </c>
      <c r="I124" s="18" t="n"/>
      <c r="J124" s="39" t="n"/>
    </row>
    <row r="125" ht="29.25" customHeight="1">
      <c r="A125" s="29" t="n">
        <v>124</v>
      </c>
      <c r="B125" s="28" t="inlineStr">
        <is>
          <t>지속가능경영보고서_공시일반</t>
        </is>
      </c>
      <c r="C125" s="28" t="inlineStr">
        <is>
          <t>보고서발간여부</t>
        </is>
      </c>
      <c r="D125" s="40" t="inlineStr">
        <is>
          <t>S01</t>
        </is>
      </c>
      <c r="E125" s="28" t="inlineStr">
        <is>
          <t>당해연도 지속가능경영보고서 발간 여부</t>
        </is>
      </c>
      <c r="F125" s="40" t="inlineStr">
        <is>
          <t>OX</t>
        </is>
      </c>
      <c r="G125" s="28" t="inlineStr">
        <is>
          <t>지속가능경영보고서</t>
        </is>
      </c>
      <c r="H125" s="27" t="inlineStr">
        <is>
          <t>P-1-1</t>
        </is>
      </c>
      <c r="I125" s="28" t="inlineStr">
        <is>
          <t>핵심 종속변수(도표5 등에 사용)</t>
        </is>
      </c>
      <c r="J125" s="39" t="n"/>
    </row>
    <row r="126" ht="29.25" customHeight="1">
      <c r="A126" s="20" t="n">
        <v>125</v>
      </c>
      <c r="B126" s="18" t="inlineStr">
        <is>
          <t>지속가능경영보고서_공시일반</t>
        </is>
      </c>
      <c r="C126" s="18" t="inlineStr">
        <is>
          <t>보고서발간여부</t>
        </is>
      </c>
      <c r="D126" s="38" t="inlineStr">
        <is>
          <t>S02</t>
        </is>
      </c>
      <c r="E126" s="18" t="inlineStr">
        <is>
          <t>발간 채널(자사 홈페이지 게시 / 거래소(KIND) 공시)</t>
        </is>
      </c>
      <c r="F126" s="20" t="inlineStr">
        <is>
          <t>범주</t>
        </is>
      </c>
      <c r="G126" s="18" t="inlineStr">
        <is>
          <t>지속가능경영보고서</t>
        </is>
      </c>
      <c r="H126" s="17" t="inlineStr">
        <is>
          <t>P-1-1</t>
        </is>
      </c>
      <c r="I126" s="17" t="inlineStr">
        <is>
          <t>Report vs ReportKRX 구분</t>
        </is>
      </c>
      <c r="J126" s="39" t="n"/>
    </row>
    <row r="127" ht="29.25" customHeight="1">
      <c r="A127" s="29" t="n">
        <v>126</v>
      </c>
      <c r="B127" s="28" t="inlineStr">
        <is>
          <t>지속가능경영보고서_공시일반</t>
        </is>
      </c>
      <c r="C127" s="28" t="inlineStr">
        <is>
          <t>보고서발간여부</t>
        </is>
      </c>
      <c r="D127" s="40" t="inlineStr">
        <is>
          <t>S03</t>
        </is>
      </c>
      <c r="E127" s="28" t="inlineStr">
        <is>
          <t>보고서 분량(단어수/페이지수)</t>
        </is>
      </c>
      <c r="F127" s="29" t="inlineStr">
        <is>
          <t>숫자</t>
        </is>
      </c>
      <c r="G127" s="28" t="inlineStr">
        <is>
          <t>지속가능경영보고서</t>
        </is>
      </c>
      <c r="H127" s="27" t="inlineStr">
        <is>
          <t>P-1-1</t>
        </is>
      </c>
      <c r="I127" s="28" t="inlineStr">
        <is>
          <t>정보량 대리변수</t>
        </is>
      </c>
      <c r="J127" s="39" t="n"/>
    </row>
    <row r="128" ht="29.25" customHeight="1">
      <c r="A128" s="20" t="n">
        <v>127</v>
      </c>
      <c r="B128" s="18" t="inlineStr">
        <is>
          <t>지속가능경영보고서_공시일반</t>
        </is>
      </c>
      <c r="C128" s="18" t="inlineStr">
        <is>
          <t>보고서발간여부</t>
        </is>
      </c>
      <c r="D128" s="38" t="inlineStr">
        <is>
          <t>S04</t>
        </is>
      </c>
      <c r="E128" s="17" t="inlineStr">
        <is>
          <t>GRI Standards Index 수록 여부</t>
        </is>
      </c>
      <c r="F128" s="38" t="inlineStr">
        <is>
          <t>OX</t>
        </is>
      </c>
      <c r="G128" s="18" t="inlineStr">
        <is>
          <t>지속가능경영보고서</t>
        </is>
      </c>
      <c r="H128" s="17" t="inlineStr">
        <is>
          <t>P-2-1</t>
        </is>
      </c>
      <c r="I128" s="18" t="n"/>
      <c r="J128" s="39" t="n"/>
    </row>
    <row r="129" ht="29.25" customHeight="1">
      <c r="A129" s="29" t="n">
        <v>128</v>
      </c>
      <c r="B129" s="28" t="inlineStr">
        <is>
          <t>지속가능경영보고서_공시일반</t>
        </is>
      </c>
      <c r="C129" s="28" t="inlineStr">
        <is>
          <t>보고서발간여부</t>
        </is>
      </c>
      <c r="D129" s="40" t="inlineStr">
        <is>
          <t>S05</t>
        </is>
      </c>
      <c r="E129" s="28" t="inlineStr">
        <is>
          <t>제3자 검증(외부 검증) 여부</t>
        </is>
      </c>
      <c r="F129" s="40" t="inlineStr">
        <is>
          <t>OX</t>
        </is>
      </c>
      <c r="G129" s="28" t="inlineStr">
        <is>
          <t>지속가능경영보고서</t>
        </is>
      </c>
      <c r="H129" s="27" t="inlineStr">
        <is>
          <t>P-3-1</t>
        </is>
      </c>
      <c r="I129" s="28" t="n"/>
      <c r="J129" s="39" t="n"/>
    </row>
    <row r="130" ht="29.25" customHeight="1">
      <c r="A130" s="20" t="n">
        <v>129</v>
      </c>
      <c r="B130" s="18" t="inlineStr">
        <is>
          <t>지속가능경영보고서_공시일반</t>
        </is>
      </c>
      <c r="C130" s="18" t="inlineStr">
        <is>
          <t>보고서발간여부</t>
        </is>
      </c>
      <c r="D130" s="38" t="inlineStr">
        <is>
          <t>S06</t>
        </is>
      </c>
      <c r="E130" s="17" t="inlineStr">
        <is>
          <t>ESG위원회/거버넌스 조직도 수록 여부</t>
        </is>
      </c>
      <c r="F130" s="38" t="inlineStr">
        <is>
          <t>OX</t>
        </is>
      </c>
      <c r="G130" s="18" t="inlineStr">
        <is>
          <t>지속가능경영보고서</t>
        </is>
      </c>
      <c r="H130" s="17" t="inlineStr">
        <is>
          <t>G-1-1</t>
        </is>
      </c>
      <c r="I130" s="18" t="n"/>
      <c r="J130" s="39" t="n"/>
    </row>
    <row r="132" ht="15" customHeight="1">
      <c r="A132" s="12" t="inlineStr">
        <is>
          <t>출처: 3_ESG_지배구조_크롤링_체크리스트.xlsx (한국거래소 「기업지배구조보고서 가이드라인」 2025년 개정판 기준)</t>
        </is>
      </c>
    </row>
    <row r="133" ht="15" customHeight="1">
      <c r="A133" s="42" t="inlineStr">
        <is>
          <t>"연계 K-ESG 분류코드"가 GAP으로 표시된 항목은 K-ESG v2.0에 대응 항목이 없는 지표입니다 (예: 기업가치제고계획/밸류업 프로그램).</t>
        </is>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C00000"/>
    <outlinePr summaryBelow="1" summaryRight="1"/>
    <pageSetUpPr/>
  </sheetPr>
  <dimension ref="B2:G26"/>
  <sheetViews>
    <sheetView showGridLines="0" topLeftCell="A24" zoomScaleNormal="100" workbookViewId="0">
      <selection activeCell="C7" sqref="C7"/>
    </sheetView>
  </sheetViews>
  <sheetFormatPr baseColWidth="8" defaultColWidth="8.6640625" defaultRowHeight="14.4"/>
  <cols>
    <col width="3" customWidth="1" min="1" max="1"/>
    <col width="6" customWidth="1" min="2" max="2"/>
    <col width="26" customWidth="1" min="3" max="3"/>
    <col width="32" customWidth="1" min="4" max="4"/>
    <col width="12" customWidth="1" min="5" max="5"/>
    <col width="46" customWidth="1" min="6" max="6"/>
    <col width="42" customWidth="1" min="7" max="7"/>
  </cols>
  <sheetData>
    <row r="2" ht="23.25" customHeight="1">
      <c r="B2" s="43" t="inlineStr">
        <is>
          <t>KSSB 대비 GAP 분석</t>
        </is>
      </c>
    </row>
    <row r="3" ht="16.5" customHeight="1">
      <c r="B3" s="2" t="inlineStr">
        <is>
          <t>KSSB(한국지속가능성기준위원회) 지속가능성 공시기준서 제1호(일반요구사항)·제2호(기후) 대비 K-ESG 가이드라인 v2.0의 대응 현황</t>
        </is>
      </c>
    </row>
    <row r="4">
      <c r="B4" s="44" t="inlineStr">
        <is>
          <t>※ 본 GAP 분석의 KSSB 조문번호는 2024.4 공개초안 기준이며, 2026.2.26 최종 제정본 대비 재검증이 필요합니다.</t>
        </is>
      </c>
    </row>
    <row r="5" ht="18.75" customHeight="1">
      <c r="B5" s="3" t="inlineStr">
        <is>
          <t>1. K-ESG v2.0(91개 항목 기준) 영역별 KSSB 대응 현황</t>
        </is>
      </c>
    </row>
    <row r="6" ht="19.5" customHeight="1">
      <c r="B6" s="45" t="inlineStr">
        <is>
          <t>영역</t>
        </is>
      </c>
      <c r="C6" s="45" t="inlineStr">
        <is>
          <t>완전대응</t>
        </is>
      </c>
      <c r="D6" s="45" t="inlineStr">
        <is>
          <t>부분대응</t>
        </is>
      </c>
      <c r="E6" s="46" t="inlineStr">
        <is>
          <t>GAP(대응지표 없음)</t>
        </is>
      </c>
      <c r="F6" s="45" t="inlineStr">
        <is>
          <t>항목수 합계</t>
        </is>
      </c>
      <c r="G6" s="45" t="inlineStr">
        <is>
          <t>완전대응율</t>
        </is>
      </c>
    </row>
    <row r="7" ht="15" customHeight="1">
      <c r="B7" s="47" t="inlineStr">
        <is>
          <t>정보공시</t>
        </is>
      </c>
      <c r="C7" s="26" t="n">
        <v>1</v>
      </c>
      <c r="D7" s="26" t="n">
        <v>4</v>
      </c>
      <c r="E7" s="26" t="n">
        <v>0</v>
      </c>
      <c r="F7" s="26">
        <f>C7+D7+E7</f>
        <v/>
      </c>
      <c r="G7" s="48">
        <f>IFERROR(C7/F7,0)</f>
        <v/>
      </c>
    </row>
    <row r="8" ht="15" customHeight="1">
      <c r="B8" s="49" t="inlineStr">
        <is>
          <t>환경</t>
        </is>
      </c>
      <c r="C8" s="26" t="n">
        <v>5</v>
      </c>
      <c r="D8" s="26" t="n">
        <v>12</v>
      </c>
      <c r="E8" s="26" t="n">
        <v>15</v>
      </c>
      <c r="F8" s="26">
        <f>C8+D8+E8</f>
        <v/>
      </c>
      <c r="G8" s="48">
        <f>IFERROR(C8/F8,0)</f>
        <v/>
      </c>
    </row>
    <row r="9" ht="15" customHeight="1">
      <c r="B9" s="50" t="inlineStr">
        <is>
          <t>사회</t>
        </is>
      </c>
      <c r="C9" s="26" t="n">
        <v>0</v>
      </c>
      <c r="D9" s="26" t="n">
        <v>5</v>
      </c>
      <c r="E9" s="26" t="n">
        <v>29</v>
      </c>
      <c r="F9" s="26">
        <f>C9+D9+E9</f>
        <v/>
      </c>
      <c r="G9" s="48">
        <f>IFERROR(C9/F9,0)</f>
        <v/>
      </c>
    </row>
    <row r="10" ht="15" customHeight="1">
      <c r="B10" s="51" t="inlineStr">
        <is>
          <t>지배구조</t>
        </is>
      </c>
      <c r="C10" s="26" t="n">
        <v>2</v>
      </c>
      <c r="D10" s="26" t="n">
        <v>10</v>
      </c>
      <c r="E10" s="26" t="n">
        <v>8</v>
      </c>
      <c r="F10" s="26">
        <f>C10+D10+E10</f>
        <v/>
      </c>
      <c r="G10" s="48">
        <f>IFERROR(C10/F10,0)</f>
        <v/>
      </c>
    </row>
    <row r="11" ht="15" customHeight="1">
      <c r="B11" s="52" t="inlineStr">
        <is>
          <t>전체</t>
        </is>
      </c>
      <c r="C11" s="52">
        <f>SUM(C7:C10)</f>
        <v/>
      </c>
      <c r="D11" s="52">
        <f>SUM(D7:D10)</f>
        <v/>
      </c>
      <c r="E11" s="52">
        <f>SUM(E7:E10)</f>
        <v/>
      </c>
      <c r="F11" s="52">
        <f>SUM(F7:F10)</f>
        <v/>
      </c>
      <c r="G11" s="53">
        <f>IFERROR(C11/F11,0)</f>
        <v/>
      </c>
    </row>
    <row r="14" ht="18.75" customHeight="1">
      <c r="B14" s="3" t="inlineStr">
        <is>
          <t>2. KSSB 및 주요 ESG 공시·평가기준 대비 추가 관리 필요사항 (9건)</t>
        </is>
      </c>
    </row>
    <row r="15" ht="15" customHeight="1">
      <c r="B15" s="12" t="inlineStr">
        <is>
          <t>아래 항목은 91개 진단항목 어디에도 대응 지표가 없는 사항입니다. KSSB 요구사항뿐 아니라 GRI·TNFD·한국거래소 등 관련 기준도 포함되어 있어(근거 열 참조), 공시·평가 대응 시 신규 관리체계 구축이 필요합니다.</t>
        </is>
      </c>
    </row>
    <row r="17" ht="21.75" customHeight="1">
      <c r="B17" s="13" t="inlineStr">
        <is>
          <t>No</t>
        </is>
      </c>
      <c r="C17" s="13" t="inlineStr">
        <is>
          <t>KSSB 요구 주제</t>
        </is>
      </c>
      <c r="D17" s="13" t="inlineStr">
        <is>
          <t>KSSB/기타 근거</t>
        </is>
      </c>
      <c r="E17" s="14" t="inlineStr">
        <is>
          <t>관련 영역</t>
        </is>
      </c>
      <c r="F17" s="13" t="inlineStr">
        <is>
          <t>GAP 설명</t>
        </is>
      </c>
      <c r="G17" s="14" t="inlineStr">
        <is>
          <t>개선 권고</t>
        </is>
      </c>
    </row>
    <row r="18" ht="43.5" customHeight="1">
      <c r="B18" s="33" t="n">
        <v>1</v>
      </c>
      <c r="C18" s="28" t="inlineStr">
        <is>
          <t>내부탄소가격(Internal Carbon Price)</t>
        </is>
      </c>
      <c r="D18" s="27" t="inlineStr">
        <is>
          <t>KSSB 제2호 문단 29(6)</t>
        </is>
      </c>
      <c r="E18" s="29" t="inlineStr">
        <is>
          <t>환경(E)</t>
        </is>
      </c>
      <c r="F18" s="28" t="inlineStr">
        <is>
          <t>투자의사결정·자본배치·시나리오분석에 적용하는 내부 탄소가격(Shadow Price) 정책 수립 여부를 공시하는 항목이 K-ESG v2.0 69개 기본/16개 추가 진단항목에 존재하지 않음.</t>
        </is>
      </c>
      <c r="G18" s="28" t="inlineStr">
        <is>
          <t>내부탄소가격 운영지침을 수립하고 투자의사결정 문서에 반영, 매년 공시</t>
        </is>
      </c>
    </row>
    <row r="19" ht="43.5" customHeight="1">
      <c r="B19" s="33" t="n">
        <v>2</v>
      </c>
      <c r="C19" s="18" t="inlineStr">
        <is>
          <t>이중중대성평가(Double Materiality)</t>
        </is>
      </c>
      <c r="D19" s="17" t="inlineStr">
        <is>
          <t>KSSB 제1호 문단 17~19</t>
        </is>
      </c>
      <c r="E19" s="20" t="inlineStr">
        <is>
          <t>정보공시(P)</t>
        </is>
      </c>
      <c r="F19" s="18" t="inlineStr">
        <is>
          <t>재무적 중대성과 이해관계자 관점의 영향 중대성을 모두 평가하는 이중중대성 평가 절차가 P-2-1(핵심이슈 및 KPI)에 명시적으로 요구되지 않음.</t>
        </is>
      </c>
      <c r="G19" s="18" t="inlineStr">
        <is>
          <t>이중중대성 평가 프로세스를 문서화하고 중대 이슈 목록·평가방법론을 별도 공시</t>
        </is>
      </c>
    </row>
    <row r="20" ht="43.5" customHeight="1">
      <c r="B20" s="33" t="n">
        <v>3</v>
      </c>
      <c r="C20" s="28" t="inlineStr">
        <is>
          <t>조세 투명성(CbCR)</t>
        </is>
      </c>
      <c r="D20" s="27" t="inlineStr">
        <is>
          <t>GRI 207-1~4 (KSSB 미규정이나 글로벌 공시관행)</t>
        </is>
      </c>
      <c r="E20" s="29" t="inlineStr">
        <is>
          <t>지배구조(G)</t>
        </is>
      </c>
      <c r="F20" s="28" t="inlineStr">
        <is>
          <t>국가별 납세현황(Country-by-Country Reporting) 공시 항목이 K-ESG v2.0에 없음.</t>
        </is>
      </c>
      <c r="G20" s="28" t="inlineStr">
        <is>
          <t>조세방침 문서화 및 국가별 세전이익·법인세납부액 요약 공시</t>
        </is>
      </c>
    </row>
    <row r="21" ht="43.5" customHeight="1">
      <c r="B21" s="33" t="n">
        <v>4</v>
      </c>
      <c r="C21" s="18" t="inlineStr">
        <is>
          <t>경영진 ESG-KPI 연계 보상 비율</t>
        </is>
      </c>
      <c r="D21" s="17" t="inlineStr">
        <is>
          <t>KSSB 제2호 문단 29(7)</t>
        </is>
      </c>
      <c r="E21" s="20" t="inlineStr">
        <is>
          <t>지배구조(G)</t>
        </is>
      </c>
      <c r="F21" s="17" t="inlineStr">
        <is>
          <t>G-경영진-추가1(성과평가 및 보상)이 일반 성과평가는 다루나, ESG/기후 성과지표의 보수 연계 비율을 정량 공시하는 항목은 부분적으로만 대응.</t>
        </is>
      </c>
      <c r="G21" s="18" t="inlineStr">
        <is>
          <t>대표이사·경영진 성과급 산정기준 내 ESG/기후 KPI 반영비율을 정량 공시</t>
        </is>
      </c>
    </row>
    <row r="22" ht="43.5" customHeight="1">
      <c r="B22" s="33" t="n">
        <v>5</v>
      </c>
      <c r="C22" s="27" t="inlineStr">
        <is>
          <t>Scope 3 15개 카테고리별 세분화 공시</t>
        </is>
      </c>
      <c r="D22" s="27" t="inlineStr">
        <is>
          <t>KSSB 제2호 문단 29(1)(사)</t>
        </is>
      </c>
      <c r="E22" s="29" t="inlineStr">
        <is>
          <t>환경(E)</t>
        </is>
      </c>
      <c r="F22" s="27" t="inlineStr">
        <is>
          <t>E-3-2는 '범주인식-산정-검증' 3단계로 단순화되어 있어 GHG Protocol 15개 카테고리별 개별 공시 수준까지는 요구하지 않음.</t>
        </is>
      </c>
      <c r="G22" s="27" t="inlineStr">
        <is>
          <t>Scope3 15개 카테고리 전체를 스크리닝하고 중요 카테고리는 개별 정량 산정치 공시</t>
        </is>
      </c>
    </row>
    <row r="23" ht="43.5" customHeight="1">
      <c r="B23" s="33" t="n">
        <v>6</v>
      </c>
      <c r="C23" s="18" t="inlineStr">
        <is>
          <t>기후 시나리오 정량 재무영향(1.5℃/4℃ 등)</t>
        </is>
      </c>
      <c r="D23" s="17" t="inlineStr">
        <is>
          <t>KSSB 제2호 문단 22, B1~B18</t>
        </is>
      </c>
      <c r="E23" s="20" t="inlineStr">
        <is>
          <t>환경(E)</t>
        </is>
      </c>
      <c r="F23" s="17" t="inlineStr">
        <is>
          <t>E-10-3/E-10-4가 물리·전환 리스크 식별은 요구하나 특정 시나리오(NGFS/IPCC) 기반 정량 재무영향 산정까지는 요구 수준이 낮음.</t>
        </is>
      </c>
      <c r="G23" s="17" t="inlineStr">
        <is>
          <t>NGFS·IPCC 시나리오 기반 정량 재무영향(매출·비용·자산가치 영향)을 산정하여 공시</t>
        </is>
      </c>
    </row>
    <row r="24" ht="43.5" customHeight="1">
      <c r="B24" s="33" t="n">
        <v>7</v>
      </c>
      <c r="C24" s="28" t="inlineStr">
        <is>
          <t>생물다양성 정량 목표(No Net Loss 등)</t>
        </is>
      </c>
      <c r="D24" s="27" t="inlineStr">
        <is>
          <t>TNFD 권고안 (KSSB 별도 기준서 미제정)</t>
        </is>
      </c>
      <c r="E24" s="29" t="inlineStr">
        <is>
          <t>환경(E)</t>
        </is>
      </c>
      <c r="F24" s="27" t="inlineStr">
        <is>
          <t>E-11 시리즈는 자연자본 식별·전략 수립 여부까지만 다루며 TNFD의 정량적 손실제로(No Net Loss) 목표설정까지는 요구하지 않음.</t>
        </is>
      </c>
      <c r="G24" s="27" t="inlineStr">
        <is>
          <t>TNFD LEAP 접근법에 따른 자연자본 영향 평가 및 정량 목표(No Net Loss/Net Positive) 수립</t>
        </is>
      </c>
    </row>
    <row r="25" ht="43.5" customHeight="1">
      <c r="B25" s="33" t="n">
        <v>8</v>
      </c>
      <c r="C25" s="18" t="inlineStr">
        <is>
          <t>금융배출량(Financed Emissions, PCAF)</t>
        </is>
      </c>
      <c r="D25" s="17" t="inlineStr">
        <is>
          <t>KSSB 제2호 문단 29A, B58~B63A</t>
        </is>
      </c>
      <c r="E25" s="20" t="inlineStr">
        <is>
          <t>해당없음</t>
        </is>
      </c>
      <c r="F25" s="18" t="inlineStr">
        <is>
          <t>제조업 등 비금융업에는 해당하지 않으나, 금융계열사를 보유한 기업집단은 KSSB상 별도 공시의무 발생 가능.</t>
        </is>
      </c>
      <c r="G25" s="18" t="inlineStr">
        <is>
          <t>금융업 영위 계열사가 있는 경우 PCAF 기준 자산군별 금융배출량 산정·공시 검토</t>
        </is>
      </c>
    </row>
    <row r="26" ht="43.5" customHeight="1">
      <c r="B26" s="33" t="n">
        <v>9</v>
      </c>
      <c r="C26" s="28" t="inlineStr">
        <is>
          <t>기업가치제고계획(밸류업 프로그램) 공시</t>
        </is>
      </c>
      <c r="D26" s="28" t="inlineStr">
        <is>
          <t>한국거래소·금융위 자율공시 기준(KSSB 직접 규정 없음)</t>
        </is>
      </c>
      <c r="E26" s="29" t="inlineStr">
        <is>
          <t>지배구조(G)</t>
        </is>
      </c>
      <c r="F26" s="28" t="inlineStr">
        <is>
          <t>기업가치 제고 계획의 자율공시, 이사회 참여, 주주 소통 실적 등 밸류업 프로그램 관련 항목이 K-ESG v2.0에 없음.</t>
        </is>
      </c>
      <c r="G26" s="28" t="inlineStr">
        <is>
          <t>기업가치 제고 계획을 수립해 이사회 승인 후 자율공시하고, 연 1회 이상 주주·시장과 소통 실적을 공시</t>
        </is>
      </c>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548235"/>
    <outlinePr summaryBelow="1" summaryRight="1"/>
    <pageSetUpPr/>
  </sheetPr>
  <dimension ref="B2:G28"/>
  <sheetViews>
    <sheetView showGridLines="0" topLeftCell="A6" zoomScaleNormal="100" workbookViewId="0">
      <selection activeCell="H18" sqref="H18"/>
    </sheetView>
  </sheetViews>
  <sheetFormatPr baseColWidth="8" defaultColWidth="8.6640625" defaultRowHeight="14.4"/>
  <cols>
    <col width="3" customWidth="1" min="1" max="1"/>
    <col width="26" customWidth="1" min="2" max="2"/>
    <col width="16" customWidth="1" min="3" max="7"/>
    <col width="30" customWidth="1" min="8" max="8"/>
  </cols>
  <sheetData>
    <row r="2" ht="23.25" customHeight="1">
      <c r="B2" s="43" t="inlineStr">
        <is>
          <t>ESG 통합진단 요약 대시보드</t>
        </is>
      </c>
    </row>
    <row r="3" ht="16.5" customHeight="1">
      <c r="B3" s="2" t="inlineStr">
        <is>
          <t>01_ESG통합진단마스터 시트의 입력값을 기준으로 자동 집계됩니다 (수식 연동)</t>
        </is>
      </c>
    </row>
    <row r="5" ht="18.75" customHeight="1">
      <c r="B5" s="3" t="inlineStr">
        <is>
          <t>1. 진단 완료 현황</t>
        </is>
      </c>
    </row>
    <row r="6" ht="15" customHeight="1">
      <c r="B6" s="10" t="inlineStr">
        <is>
          <t>전체 진단항목 수</t>
        </is>
      </c>
      <c r="C6" s="54" t="n">
        <v>91</v>
      </c>
    </row>
    <row r="7" ht="15" customHeight="1">
      <c r="B7" s="10" t="inlineStr">
        <is>
          <t>점수 입력 완료 항목 수</t>
        </is>
      </c>
      <c r="C7" s="54">
        <f>COUNT('01_ESG통합진단마스터'!X2:X92)</f>
        <v/>
      </c>
    </row>
    <row r="8" ht="15" customHeight="1">
      <c r="B8" s="10" t="inlineStr">
        <is>
          <t>입력 완료율</t>
        </is>
      </c>
      <c r="C8" s="55">
        <f>C7/C6</f>
        <v/>
      </c>
    </row>
    <row r="10" ht="18.75" customHeight="1">
      <c r="B10" s="3" t="inlineStr">
        <is>
          <t>2. 영역별(E/S/G/P) 평균 점수 (동일가중 단순평균 — 각 진단항목 100점 기준)</t>
        </is>
      </c>
    </row>
    <row r="11" ht="25.5" customHeight="1">
      <c r="B11" s="14" t="inlineStr">
        <is>
          <t>영역</t>
        </is>
      </c>
      <c r="C11" s="14" t="inlineStr">
        <is>
          <t>항목 수</t>
        </is>
      </c>
      <c r="D11" s="14" t="inlineStr">
        <is>
          <t>점수입력 완료수</t>
        </is>
      </c>
      <c r="E11" s="14" t="inlineStr">
        <is>
          <t>평균점수(100점 환산)</t>
        </is>
      </c>
      <c r="F11" s="14" t="inlineStr">
        <is>
          <t>완전대응(KSSB)</t>
        </is>
      </c>
      <c r="G11" s="13" t="inlineStr">
        <is>
          <t>GAP(KSSB)</t>
        </is>
      </c>
    </row>
    <row r="12" ht="15" customHeight="1">
      <c r="B12" s="47" t="inlineStr">
        <is>
          <t>정보공시</t>
        </is>
      </c>
      <c r="C12" s="26">
        <f>COUNTIF('01_ESG통합진단마스터'!$D$2:$D$92,B12)</f>
        <v/>
      </c>
      <c r="D12" s="26">
        <f>SUMPRODUCT(('01_ESG통합진단마스터'!$D$2:$D$92=B12)*ISNUMBER('01_ESG통합진단마스터'!$X$2:$X$92))</f>
        <v/>
      </c>
      <c r="E12" s="60">
        <f>IFERROR(AVERAGEIFS('01_ESG통합진단마스터'!$X$2:$X$92,'01_ESG통합진단마스터'!$D$2:$D$92,B12),"미입력")</f>
        <v/>
      </c>
      <c r="F12" s="26">
        <f>COUNTIFS('01_ESG통합진단마스터'!$D$2:$D$92,B12,'01_ESG통합진단마스터'!$P$2:$P$92,"완전대응")</f>
        <v/>
      </c>
      <c r="G12" s="26">
        <f>COUNTIFS('01_ESG통합진단마스터'!$D$2:$D$92,B12,'01_ESG통합진단마스터'!$P$2:$P$92,"GAP(대응지표 없음)")</f>
        <v/>
      </c>
    </row>
    <row r="13" ht="15" customHeight="1">
      <c r="B13" s="49" t="inlineStr">
        <is>
          <t>환경</t>
        </is>
      </c>
      <c r="C13" s="26">
        <f>COUNTIF('01_ESG통합진단마스터'!$D$2:$D$92,B13)</f>
        <v/>
      </c>
      <c r="D13" s="26">
        <f>SUMPRODUCT(('01_ESG통합진단마스터'!$D$2:$D$92=B13)*ISNUMBER('01_ESG통합진단마스터'!$X$2:$X$92))</f>
        <v/>
      </c>
      <c r="E13" s="60">
        <f>IFERROR(AVERAGEIFS('01_ESG통합진단마스터'!$X$2:$X$92,'01_ESG통합진단마스터'!$D$2:$D$92,B13),"미입력")</f>
        <v/>
      </c>
      <c r="F13" s="26">
        <f>COUNTIFS('01_ESG통합진단마스터'!$D$2:$D$92,B13,'01_ESG통합진단마스터'!$P$2:$P$92,"완전대응")</f>
        <v/>
      </c>
      <c r="G13" s="26">
        <f>COUNTIFS('01_ESG통합진단마스터'!$D$2:$D$92,B13,'01_ESG통합진단마스터'!$P$2:$P$92,"GAP(대응지표 없음)")</f>
        <v/>
      </c>
    </row>
    <row r="14" ht="15" customHeight="1">
      <c r="B14" s="50" t="inlineStr">
        <is>
          <t>사회</t>
        </is>
      </c>
      <c r="C14" s="26">
        <f>COUNTIF('01_ESG통합진단마스터'!$D$2:$D$92,B14)</f>
        <v/>
      </c>
      <c r="D14" s="26">
        <f>SUMPRODUCT(('01_ESG통합진단마스터'!$D$2:$D$92=B14)*ISNUMBER('01_ESG통합진단마스터'!$X$2:$X$92))</f>
        <v/>
      </c>
      <c r="E14" s="60">
        <f>IFERROR(AVERAGEIFS('01_ESG통합진단마스터'!$X$2:$X$92,'01_ESG통합진단마스터'!$D$2:$D$92,B14),"미입력")</f>
        <v/>
      </c>
      <c r="F14" s="26">
        <f>COUNTIFS('01_ESG통합진단마스터'!$D$2:$D$92,B14,'01_ESG통합진단마스터'!$P$2:$P$92,"완전대응")</f>
        <v/>
      </c>
      <c r="G14" s="26">
        <f>COUNTIFS('01_ESG통합진단마스터'!$D$2:$D$92,B14,'01_ESG통합진단마스터'!$P$2:$P$92,"GAP(대응지표 없음)")</f>
        <v/>
      </c>
    </row>
    <row r="15" ht="15" customHeight="1">
      <c r="B15" s="51" t="inlineStr">
        <is>
          <t>지배구조</t>
        </is>
      </c>
      <c r="C15" s="26">
        <f>COUNTIF('01_ESG통합진단마스터'!$D$2:$D$92,B15)</f>
        <v/>
      </c>
      <c r="D15" s="26">
        <f>SUMPRODUCT(('01_ESG통합진단마스터'!$D$2:$D$92=B15)*ISNUMBER('01_ESG통합진단마스터'!$X$2:$X$92))</f>
        <v/>
      </c>
      <c r="E15" s="60">
        <f>IFERROR(AVERAGEIFS('01_ESG통합진단마스터'!$X$2:$X$92,'01_ESG통합진단마스터'!$D$2:$D$92,B15),"미입력")</f>
        <v/>
      </c>
      <c r="F15" s="26">
        <f>COUNTIFS('01_ESG통합진단마스터'!$D$2:$D$92,B15,'01_ESG통합진단마스터'!$P$2:$P$92,"완전대응")</f>
        <v/>
      </c>
      <c r="G15" s="26">
        <f>COUNTIFS('01_ESG통합진단마스터'!$D$2:$D$92,B15,'01_ESG통합진단마스터'!$P$2:$P$92,"GAP(대응지표 없음)")</f>
        <v/>
      </c>
    </row>
    <row r="16" ht="15" customHeight="1">
      <c r="B16" s="52" t="inlineStr">
        <is>
          <t>전체(종합)</t>
        </is>
      </c>
      <c r="C16" s="52">
        <f>SUM(C12:C15)</f>
        <v/>
      </c>
      <c r="D16" s="52">
        <f>SUM(D12:D15)</f>
        <v/>
      </c>
      <c r="E16" s="61">
        <f>IFERROR(AVERAGE('01_ESG통합진단마스터'!$X$2:$X$92),"미입력")</f>
        <v/>
      </c>
      <c r="F16" s="52">
        <f>SUM(F12:F15)</f>
        <v/>
      </c>
      <c r="G16" s="52">
        <f>SUM(G12:G15)</f>
        <v/>
      </c>
    </row>
    <row r="19" ht="18.75" customHeight="1">
      <c r="B19" s="3" t="inlineStr">
        <is>
          <t>3. 적용구분별 항목 수 (기본/추가/업종특화)</t>
        </is>
      </c>
    </row>
    <row r="20" ht="15" customHeight="1">
      <c r="B20" s="14" t="inlineStr">
        <is>
          <t>적용구분</t>
        </is>
      </c>
      <c r="C20" s="14" t="inlineStr">
        <is>
          <t>항목 수</t>
        </is>
      </c>
      <c r="D20" s="14" t="inlineStr">
        <is>
          <t>점수입력 완료수</t>
        </is>
      </c>
      <c r="E20" s="14" t="inlineStr">
        <is>
          <t>평균점수</t>
        </is>
      </c>
    </row>
    <row r="21" ht="15" customHeight="1">
      <c r="B21" s="58" t="inlineStr">
        <is>
          <t>기본진단항목(v2.0)</t>
        </is>
      </c>
      <c r="C21" s="58">
        <f>COUNTIF('01_ESG통합진단마스터'!$C$2:$C$92,B21)</f>
        <v/>
      </c>
      <c r="D21" s="58">
        <f>SUMPRODUCT(('01_ESG통합진단마스터'!$C$2:$C$92=B21)*ISNUMBER('01_ESG통합진단마스터'!$X$2:$X$92))</f>
        <v/>
      </c>
      <c r="E21" s="60">
        <f>IFERROR(AVERAGEIFS('01_ESG통합진단마스터'!$X$2:$X$92,'01_ESG통합진단마스터'!$C$2:$C$92,B21),"미입력")</f>
        <v/>
      </c>
    </row>
    <row r="22" ht="15" customHeight="1">
      <c r="B22" s="58" t="inlineStr">
        <is>
          <t>추가진단항목(v2.0)</t>
        </is>
      </c>
      <c r="C22" s="58">
        <f>COUNTIF('01_ESG통합진단마스터'!$C$2:$C$92,B22)</f>
        <v/>
      </c>
      <c r="D22" s="58">
        <f>SUMPRODUCT(('01_ESG통합진단마스터'!$C$2:$C$92=B22)*ISNUMBER('01_ESG통합진단마스터'!$X$2:$X$92))</f>
        <v/>
      </c>
      <c r="E22" s="60">
        <f>IFERROR(AVERAGEIFS('01_ESG통합진단마스터'!$X$2:$X$92,'01_ESG통합진단마스터'!$C$2:$C$92,B22),"미입력")</f>
        <v/>
      </c>
    </row>
    <row r="23" ht="15" customHeight="1">
      <c r="B23" s="58" t="inlineStr">
        <is>
          <t>업종특화(반도체 v1.0)</t>
        </is>
      </c>
      <c r="C23" s="58">
        <f>COUNTIF('01_ESG통합진단마스터'!$C$2:$C$92,B23)</f>
        <v/>
      </c>
      <c r="D23" s="58">
        <f>SUMPRODUCT(('01_ESG통합진단마스터'!$C$2:$C$92=B23)*ISNUMBER('01_ESG통합진단마스터'!$X$2:$X$92))</f>
        <v/>
      </c>
      <c r="E23" s="60">
        <f>IFERROR(AVERAGEIFS('01_ESG통합진단마스터'!$X$2:$X$92,'01_ESG통합진단마스터'!$C$2:$C$92,B23),"미입력")</f>
        <v/>
      </c>
    </row>
    <row r="26" ht="18.75" customHeight="1">
      <c r="B26" s="3" t="inlineStr">
        <is>
          <t>4. 참고</t>
        </is>
      </c>
    </row>
    <row r="27" ht="15" customHeight="1">
      <c r="B27" s="12" t="inlineStr">
        <is>
          <t>평균점수는 각 영역 내 모든 항목에 동일 가중치(1/N)를 부여한 단순평균이며, 복합가중형 항목은 수동입력된 값만 반영됩니다.</t>
        </is>
      </c>
    </row>
    <row r="28" ht="15" customHeight="1">
      <c r="B28" s="12" t="inlineStr">
        <is>
          <t>조직의 ESG 전략에 따라 항목별 가중치를 달리 적용하려면 K-ESG v2.0 원문(38p "가중치 결정" 절) 방식을 참고해 별도 가중평균표를 구성하세요.</t>
        </is>
      </c>
    </row>
    <row r="30" ht="18.75" customHeight="1"/>
    <row r="31" ht="27.75" customHeight="1"/>
    <row r="33" ht="29.25" customHeight="1"/>
    <row r="34" ht="15" customHeight="1"/>
    <row r="35" ht="15" customHeight="1"/>
    <row r="36" ht="15" customHeight="1"/>
    <row r="37" ht="15" customHeight="1"/>
    <row r="39" ht="18.75" customHeight="1"/>
    <row r="40" ht="27.75" customHeight="1"/>
    <row r="42" ht="15" customHeight="1"/>
    <row r="43" ht="15" customHeight="1"/>
    <row r="44" ht="15" customHeight="1"/>
    <row r="45" ht="15" customHeight="1"/>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2026-08-27T07:35:46Z</dcterms:created>
  <dcterms:modified xsi:type="dcterms:W3CDTF">2026-09-03T08:01:54Z</dcterms:modified>
  <cp:lastModifiedBy>진혜원</cp:lastModifiedBy>
  <cp:revision>0</cp:revision>
</cp:coreProperties>
</file>