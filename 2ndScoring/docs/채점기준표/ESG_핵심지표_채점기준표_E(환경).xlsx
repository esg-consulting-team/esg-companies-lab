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_ESG통합진단마스터" sheetId="1" state="visible" r:id="rId1"/>
    <sheet name="02_점수산정참고표" sheetId="2" state="visible" r:id="rId2"/>
    <sheet name="04_KSSB갭분석" sheetId="3" state="visible" r:id="rId3"/>
    <sheet name="05_요약대시보드"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i val="1"/>
      <color rgb="FF666666"/>
      <sz val="9"/>
    </font>
    <font>
      <name val="Arial"/>
      <family val="2"/>
      <b val="1"/>
      <color rgb="FFFFFFFF"/>
      <sz val="9.5"/>
    </font>
    <font>
      <name val="Noto Sans CJK SC"/>
      <charset val="1"/>
      <family val="2"/>
      <b val="1"/>
      <color rgb="FFFFFFFF"/>
      <sz val="9.5"/>
    </font>
    <font>
      <name val="Arial"/>
      <family val="2"/>
      <sz val="9.5"/>
    </font>
    <font>
      <name val="Noto Sans CJK SC"/>
      <charset val="1"/>
      <family val="2"/>
      <sz val="9.5"/>
    </font>
    <font>
      <name val="Noto Sans CJK SC"/>
      <charset val="1"/>
      <family val="2"/>
      <b val="1"/>
      <sz val="9.5"/>
    </font>
    <font>
      <name val="Arial"/>
      <family val="2"/>
      <b val="1"/>
      <color rgb="FF0000FF"/>
      <sz val="9.5"/>
    </font>
    <font>
      <name val="Arial"/>
      <family val="2"/>
      <b val="1"/>
      <color rgb="FF1F4E78"/>
      <sz val="10"/>
    </font>
    <font>
      <b val="1"/>
      <sz val="13"/>
    </font>
    <font>
      <b val="1"/>
      <color rgb="FFFFFFFF"/>
    </font>
    <font>
      <b val="1"/>
    </font>
  </fonts>
  <fills count="8">
    <fill>
      <patternFill/>
    </fill>
    <fill>
      <patternFill patternType="gray125"/>
    </fill>
    <fill>
      <patternFill patternType="solid">
        <fgColor rgb="FF1F4E78"/>
        <bgColor rgb="FF003366"/>
      </patternFill>
    </fill>
    <fill>
      <patternFill patternType="solid">
        <fgColor rgb="FFF5F8FC"/>
        <bgColor rgb="FFFFFFFF"/>
      </patternFill>
    </fill>
    <fill>
      <patternFill patternType="solid">
        <fgColor rgb="FFFFF2CC"/>
        <bgColor rgb="FFFCE4D6"/>
      </patternFill>
    </fill>
    <fill>
      <patternFill patternType="solid">
        <fgColor rgb="FFFFEB9C"/>
        <bgColor rgb="FFFFF2CC"/>
      </patternFill>
    </fill>
    <fill>
      <patternFill patternType="solid">
        <fgColor rgb="FFFFFDE7"/>
        <bgColor rgb="FFFFFFFF"/>
      </patternFill>
    </fill>
    <fill>
      <patternFill patternType="solid">
        <fgColor rgb="FF1F4E78"/>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4">
    <xf numFmtId="0" fontId="0" fillId="0" borderId="0" pivotButton="0" quotePrefix="0" xfId="0"/>
    <xf numFmtId="0" fontId="1" fillId="0" borderId="0" pivotButton="0" quotePrefix="0" xfId="0"/>
    <xf numFmtId="0" fontId="2" fillId="2" borderId="1" applyAlignment="1" pivotButton="0" quotePrefix="0" xfId="0">
      <alignment horizontal="center" vertical="top" wrapText="1"/>
    </xf>
    <xf numFmtId="0" fontId="3" fillId="2" borderId="1" applyAlignment="1" pivotButton="0" quotePrefix="0" xfId="0">
      <alignment horizontal="center" vertical="top" wrapText="1"/>
    </xf>
    <xf numFmtId="0" fontId="3" fillId="2" borderId="0" applyAlignment="1" pivotButton="0" quotePrefix="0" xfId="0">
      <alignment horizontal="center" vertical="top" wrapText="1"/>
    </xf>
    <xf numFmtId="0" fontId="4" fillId="3" borderId="1" applyAlignment="1" pivotButton="0" quotePrefix="0" xfId="0">
      <alignment horizontal="center" vertical="center"/>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6" fillId="4" borderId="1" applyAlignment="1" pivotButton="0" quotePrefix="0" xfId="0">
      <alignment horizontal="center" vertical="top" wrapText="1"/>
    </xf>
    <xf numFmtId="0" fontId="5" fillId="3" borderId="1" applyAlignment="1" pivotButton="0" quotePrefix="0" xfId="0">
      <alignment horizontal="center" vertical="top" wrapText="1"/>
    </xf>
    <xf numFmtId="0" fontId="5" fillId="5" borderId="1" applyAlignment="1" pivotButton="0" quotePrefix="0" xfId="0">
      <alignment horizontal="center" vertical="top" wrapText="1"/>
    </xf>
    <xf numFmtId="0" fontId="7" fillId="6" borderId="1" applyAlignment="1" pivotButton="0" quotePrefix="0" xfId="0">
      <alignment horizontal="center" vertical="center"/>
    </xf>
    <xf numFmtId="0" fontId="7" fillId="3" borderId="1" applyAlignment="1" pivotButton="0" quotePrefix="0" xfId="0">
      <alignment horizontal="center" vertical="center"/>
    </xf>
    <xf numFmtId="1" fontId="8" fillId="3" borderId="1" applyAlignment="1" pivotButton="0" quotePrefix="0" xfId="0">
      <alignment horizontal="center" vertical="center"/>
    </xf>
    <xf numFmtId="0" fontId="5" fillId="0" borderId="0" applyAlignment="1" pivotButton="0" quotePrefix="0" xfId="0">
      <alignment horizontal="left" vertical="top" wrapText="1"/>
    </xf>
    <xf numFmtId="0" fontId="9" fillId="0" borderId="0" pivotButton="0" quotePrefix="0" xfId="0"/>
    <xf numFmtId="0" fontId="10" fillId="0" borderId="2" applyAlignment="1" pivotButton="0" quotePrefix="0" xfId="0">
      <alignment horizontal="center" vertical="center" wrapText="1"/>
    </xf>
    <xf numFmtId="0" fontId="10" fillId="7" borderId="2" applyAlignment="1" pivotButton="0" quotePrefix="0" xfId="0">
      <alignment horizontal="center" vertical="center" wrapText="1"/>
    </xf>
    <xf numFmtId="0" fontId="0" fillId="0" borderId="2" applyAlignment="1" pivotButton="0" quotePrefix="0" xfId="0">
      <alignment horizontal="center" vertical="center" wrapText="1"/>
    </xf>
    <xf numFmtId="10" fontId="0" fillId="0" borderId="2" applyAlignment="1" pivotButton="0" quotePrefix="0" xfId="0">
      <alignment horizontal="center" vertical="center" wrapText="1"/>
    </xf>
    <xf numFmtId="0" fontId="11" fillId="0" borderId="2" applyAlignment="1" pivotButton="0" quotePrefix="0" xfId="0">
      <alignment horizontal="center" vertical="center" wrapText="1"/>
    </xf>
    <xf numFmtId="10" fontId="11" fillId="0" borderId="2" applyAlignment="1" pivotButton="0" quotePrefix="0" xfId="0">
      <alignment horizontal="center" vertical="center" wrapText="1"/>
    </xf>
    <xf numFmtId="0" fontId="11" fillId="0" borderId="0" pivotButton="0" quotePrefix="0" xfId="0"/>
    <xf numFmtId="1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12" customWidth="1" min="2" max="2"/>
    <col width="16" customWidth="1" min="3" max="3"/>
    <col width="8" customWidth="1" min="4" max="4"/>
    <col width="16" customWidth="1" min="5" max="5"/>
    <col width="22" customWidth="1" min="6" max="6"/>
    <col width="34" customWidth="1" min="7" max="7"/>
    <col width="26" customWidth="1" min="8" max="8"/>
    <col width="12" customWidth="1" min="9" max="9"/>
    <col width="16" customWidth="1" min="10" max="10"/>
    <col width="26" customWidth="1" min="11" max="11"/>
    <col width="10" customWidth="1" min="12" max="12"/>
    <col width="8" customWidth="1" min="13" max="13"/>
    <col width="26" customWidth="1" min="14" max="14"/>
    <col width="46" customWidth="1" min="15" max="15"/>
    <col width="12" customWidth="1" min="16" max="16"/>
    <col width="30" customWidth="1" min="17" max="17"/>
    <col width="24" customWidth="1" min="18" max="18"/>
    <col width="20" customWidth="1" min="19" max="19"/>
    <col width="12" customWidth="1" min="20" max="20"/>
    <col width="10" customWidth="1" min="21" max="21"/>
    <col width="12" customWidth="1" min="24" max="24"/>
    <col width="34" customWidth="1" min="25" max="25"/>
    <col width="14" customWidth="1" min="26" max="26"/>
    <col width="42" customWidth="1" min="27" max="27"/>
    <col width="18" customWidth="1" min="28" max="28"/>
    <col width="30" customWidth="1" min="29" max="29"/>
  </cols>
  <sheetData>
    <row r="1">
      <c r="A1" s="1" t="inlineStr">
        <is>
          <t>[분리본: E(환경)] 원본 「ESG_핵심지표_채점기준표_전체」 01시트를 분류코드 기준으로 재분류한 파일입니다.</t>
        </is>
      </c>
    </row>
    <row r="2" ht="45.75" customHeight="1">
      <c r="A2" s="2" t="inlineStr">
        <is>
          <t>No</t>
        </is>
      </c>
      <c r="B2" s="3" t="inlineStr">
        <is>
          <t>분류코드</t>
        </is>
      </c>
      <c r="C2" s="3" t="inlineStr">
        <is>
          <t>적용구분</t>
        </is>
      </c>
      <c r="D2" s="3" t="inlineStr">
        <is>
          <t>영역</t>
        </is>
      </c>
      <c r="E2" s="3" t="inlineStr">
        <is>
          <t>범주</t>
        </is>
      </c>
      <c r="F2" s="3" t="inlineStr">
        <is>
          <t>진단항목명</t>
        </is>
      </c>
      <c r="G2" s="3" t="inlineStr">
        <is>
          <t>항목설명</t>
        </is>
      </c>
      <c r="H2" s="3" t="inlineStr">
        <is>
          <t>데이터원천(수집처)</t>
        </is>
      </c>
      <c r="I2" s="3" t="inlineStr">
        <is>
          <t>데이터기간</t>
        </is>
      </c>
      <c r="J2" s="3" t="inlineStr">
        <is>
          <t>데이터범위</t>
        </is>
      </c>
      <c r="K2" s="3" t="inlineStr">
        <is>
          <t>데이터산식(정량화공식)</t>
        </is>
      </c>
      <c r="L2" s="3" t="inlineStr">
        <is>
          <t>채점유형</t>
        </is>
      </c>
      <c r="M2" s="3" t="inlineStr">
        <is>
          <t>최대단계수</t>
        </is>
      </c>
      <c r="N2" s="3" t="inlineStr">
        <is>
          <t>배점구조 요약</t>
        </is>
      </c>
      <c r="O2" s="3" t="inlineStr">
        <is>
          <t>점검기준 상세(K-ESG v2.0 원문)</t>
        </is>
      </c>
      <c r="P2" s="2" t="inlineStr">
        <is>
          <t>KSSB 대응현황</t>
        </is>
      </c>
      <c r="Q2" s="2" t="inlineStr">
        <is>
          <t>KSSB 참고근거</t>
        </is>
      </c>
      <c r="R2" s="3" t="inlineStr">
        <is>
          <t>기타 참고기준(GRI/SASB/TCFD/KCGS 등)</t>
        </is>
      </c>
      <c r="S2" s="3" t="inlineStr">
        <is>
          <t>원본 출처파일</t>
        </is>
      </c>
      <c r="T2" s="2" t="inlineStr">
        <is>
          <t>[입력]충족단계/요건수</t>
        </is>
      </c>
      <c r="U2" s="2" t="inlineStr">
        <is>
          <t>[입력]위반유형1</t>
        </is>
      </c>
      <c r="V2" s="2" t="inlineStr">
        <is>
          <t>[입력]위반유형2</t>
        </is>
      </c>
      <c r="W2" s="2" t="inlineStr">
        <is>
          <t>[입력]위반유형3</t>
        </is>
      </c>
      <c r="X2" s="3" t="inlineStr">
        <is>
          <t>자사취득점수(0~100)</t>
        </is>
      </c>
      <c r="Y2" s="3" t="inlineStr">
        <is>
          <t>개선 가이드</t>
        </is>
      </c>
      <c r="Z2" s="3" t="inlineStr">
        <is>
          <t>비고</t>
        </is>
      </c>
      <c r="AA2" s="4" t="inlineStr">
        <is>
          <t>실사 진단 질문</t>
        </is>
      </c>
      <c r="AB2" s="4" t="inlineStr">
        <is>
          <t>답변형식</t>
        </is>
      </c>
    </row>
    <row r="3">
      <c r="A3" s="5" t="n">
        <v>6</v>
      </c>
      <c r="B3" s="6" t="inlineStr">
        <is>
          <t>E-1-1</t>
        </is>
      </c>
      <c r="C3" s="7" t="inlineStr">
        <is>
          <t>기본진단항목(v2.0)</t>
        </is>
      </c>
      <c r="D3" s="8" t="inlineStr">
        <is>
          <t>환경</t>
        </is>
      </c>
      <c r="E3" s="7" t="inlineStr">
        <is>
          <t>환경경영 목표</t>
        </is>
      </c>
      <c r="F3" s="6" t="inlineStr">
        <is>
          <t>환경경영 목표 수립</t>
        </is>
      </c>
      <c r="G3" s="7" t="inlineStr">
        <is>
          <t> 조직이 책임있는 환경경영을 수행하기 위한 방향성을 명확히 설정하고 효율적인 자원 배분이 이루어지고 있는지, 또한 조직이 외부에 미치는 환경 영향을 최소화하고 내부 환경성과를 향상시키기 위한 구체적인 계획이 마련되어 있는지 점검  조직이 수립한 환경 분야 단기/중장기 목표 구체성과 내재화 수준을 확인</t>
        </is>
      </c>
      <c r="H3" s="7" t="inlineStr">
        <is>
          <t>환경 분야 목표 수립 현황</t>
        </is>
      </c>
      <c r="I3" s="7" t="inlineStr">
        <is>
          <t>직전 회계연도</t>
        </is>
      </c>
      <c r="J3" s="6" t="inlineStr">
        <is>
          <t>N/A</t>
        </is>
      </c>
      <c r="K3" s="6" t="inlineStr">
        <is>
          <t>N/A</t>
        </is>
      </c>
      <c r="L3" s="9" t="inlineStr">
        <is>
          <t>단계형</t>
        </is>
      </c>
      <c r="M3" s="5" t="n">
        <v>5</v>
      </c>
      <c r="N3" s="7" t="inlineStr">
        <is>
          <t>단계형: 1단계=0점 / 2단계=25점 / 3단계=50점 / 4단계=75점 / 5단계=100점</t>
        </is>
      </c>
      <c r="O3" s="6" t="inlineStr">
        <is>
          <t>1단계 |  단기/중장기 성과목표, 또는 조직의 환경경영 방향성을 나타내는 환경경영 미션/비전/지향점이 없는 경우 |  2단계 |  환경경영 미션/비전/지향점만 제시하고 있는 경우 |  3단계 |  2단계 + 조직의 환경 분야 핵심이슈에 대한 단기 목표만 설정하고 있는 경우 |  4단계 |  3단계 + 중장기 목표까지 수립하고 있는 경우 |  5단계 |  4단계 + 중장기 목표 달성을 위한 과제와, 이행점검 지표를 마련한 경우</t>
        </is>
      </c>
      <c r="P3" s="10" t="inlineStr">
        <is>
          <t>부분대응</t>
        </is>
      </c>
      <c r="Q3" s="6" t="inlineStr">
        <is>
          <t>KSSB 제2호 문단 33~36(목표) 준용 가능</t>
        </is>
      </c>
      <c r="R3" s="6" t="inlineStr">
        <is>
          <t>GRI 2-27</t>
        </is>
      </c>
      <c r="S3" s="6" t="inlineStr">
        <is>
          <t>1_2_0_업종별 K-ESG 가이드라인(v2.0) 진단항목</t>
        </is>
      </c>
      <c r="T3" s="11" t="n"/>
      <c r="U3" s="12" t="n"/>
      <c r="V3" s="12" t="n"/>
      <c r="W3" s="12" t="n"/>
      <c r="X3" s="13" t="n"/>
      <c r="Y3" s="6" t="inlineStr">
        <is>
          <t> 조직은 중대성 평가(Materiality Test)를 통해 조직의 사업운영 및 외부환경에 중요한 영향력을 행사하는 핵심이슈를 도출할 수 있다. 조직은 사업운영에 해당하는 모든 직/간접 환경규제를 관리해야 함과 동시에 사업성과와 연계된 핵심이슈에 대해서는 목표에 의한 성과관리가 필요하다. 조직이 수립할 수 있는 환경 분야 목표와 관련된 핵심이슈에는 아래와 같은 이슈가 해당된다. 에너지 사용량 절감 재생에너지 투자 확대 온실가스 배출량 감축 탄소중립 기술 개발 및 관련 투자활동 폐기물 발생량 저감 플라스틱 사용량 절감 재사용 용수 확대 원자재 효율적 투입 산림 및 토양 복원 생물다양성 증진 및 관련 투자활동 친환경 공급망 구축 대기/수질/토양 오염 감소 유해물질 감소…</t>
        </is>
      </c>
      <c r="Z3" s="7" t="n"/>
      <c r="AA3" s="14" t="inlineStr">
        <is>
          <t>단기/중장기 환경경영 정량 목표 및 점검 지표를 수립했습니까?</t>
        </is>
      </c>
      <c r="AB3" s="14" t="inlineStr">
        <is>
          <t>단계(1~5)</t>
        </is>
      </c>
    </row>
    <row r="4">
      <c r="A4" s="5" t="n">
        <v>7</v>
      </c>
      <c r="B4" s="6" t="inlineStr">
        <is>
          <t>E-1-2</t>
        </is>
      </c>
      <c r="C4" s="7" t="inlineStr">
        <is>
          <t>기본진단항목(v2.0)</t>
        </is>
      </c>
      <c r="D4" s="8" t="inlineStr">
        <is>
          <t>환경</t>
        </is>
      </c>
      <c r="E4" s="7" t="inlineStr">
        <is>
          <t>환경경영 목표</t>
        </is>
      </c>
      <c r="F4" s="6" t="inlineStr">
        <is>
          <t>환경경영 추진체계</t>
        </is>
      </c>
      <c r="G4" s="7" t="inlineStr">
        <is>
          <t> 조직이 환경성과 향상과 환경 개선 등의 경영활동으로 인한 환경영향 관리, 원부자재/에너지/폐기물 등의 효율적 관리, 국제사회 등 이해관계자의 환경영역 요구 대응을 위해 체계적으로 환경경영을 추진하고 있는지 점검  국내외 규격에서 제시하는 환경경영시스템 구성요건을 기준으로 조직이 이를 따르거나, 준용하여 환경경영 추진체계를 갖추고 있는지 확인</t>
        </is>
      </c>
      <c r="H4" s="7" t="inlineStr">
        <is>
          <t>환경경영시스템, 환경경영 정책, 환경경영 가이던스</t>
        </is>
      </c>
      <c r="I4" s="7" t="inlineStr">
        <is>
          <t>직전 회계연도</t>
        </is>
      </c>
      <c r="J4" s="6" t="inlineStr">
        <is>
          <t>N/A</t>
        </is>
      </c>
      <c r="K4" s="6" t="inlineStr">
        <is>
          <t>N/A</t>
        </is>
      </c>
      <c r="L4" s="9" t="inlineStr">
        <is>
          <t>선택형</t>
        </is>
      </c>
      <c r="M4" s="5" t="n">
        <v>5</v>
      </c>
      <c r="N4" s="7" t="inlineStr">
        <is>
          <t>선택형: 요건1=0점 / 요건2=25점 / 요건3=50점 / 요건4=75점 / 요건5=100점</t>
        </is>
      </c>
      <c r="O4" s="6" t="inlineStr">
        <is>
          <t>요건1 |  환경경영 추진을 위한 전사 거버넌스 체계를 구축하고 있는 경우 |  (전담조직, 실무협의회, 경영회의 및 내부점검체계 등) |  요건2 |  환경경영 추진을 위한 전사 전담조직을 운영하고 있는 경우 |  (전사 환경경영 기획, 점검, 성과관리 등 실행업무 담당) |  요건3 |  환경경영 과제 실행에 필요한 자원을 투입하고 있는 경우 |  (환경투자 예산, 역량강화 교육, 내외부 전문인력 등) |  요건4 |  환경경영 추진 현황을 점검/분석/평가하는 시스템이 있는 경우 |  (IT기반 모니터링 시스템, 과제점검 회의, 제3자 의견수렴 등) |  요건5 |  환경경영 과제 이행현황이 경영진 포함 관련 구성원의 |  성과평가지표(KPIs)에 반영되어 있는 경우 |  * 선택 항목의 합산값으로 평가</t>
        </is>
      </c>
      <c r="P4" s="10" t="inlineStr">
        <is>
          <t>부분대응</t>
        </is>
      </c>
      <c r="Q4" s="6" t="inlineStr">
        <is>
          <t>KSSB 제2호 문단 6(거버넌스) 준용 가능</t>
        </is>
      </c>
      <c r="R4" s="6" t="inlineStr">
        <is>
          <t>GRI 2-27, K-ESG</t>
        </is>
      </c>
      <c r="S4" s="6" t="inlineStr">
        <is>
          <t>1_2_0_업종별 K-ESG 가이드라인(v2.0) 진단항목</t>
        </is>
      </c>
      <c r="T4" s="11" t="n"/>
      <c r="U4" s="12" t="n"/>
      <c r="V4" s="12" t="n"/>
      <c r="W4" s="12" t="n"/>
      <c r="X4" s="13" t="n"/>
      <c r="Y4" s="6" t="inlineStr">
        <is>
          <t> 환경경영이란 조직의 사업운영 전 과정에 걸쳐 발생하는 환경영향을 최소화하면서 환경적으로 건전하고, 경제적으로 지속가능한 발전을 도모하고자 하는 경영활동이다. 조직의 환경경영 체계란 환경경영을 효과적으로 추진하기 위해 환경방침 개발, 이행, 달성, 검토 및 유지관리 할 수 있는 조직, 책임, 자원, 절차, 과정 및 성과관리 등을 종합적으로 구축한 것을 의미한다.  조직은 환경경영을 위해 아래와 같은 추진체계를 구축할 수 있으며, 해당 정보는 이해관계자와 공유할 필요가 있다. ; 1) 조직은 목표 달성과 관련된 제반업무를 관장하는 거버넌스 및 업무분장 체계를 구축해야 한다. 2) 목표 달성을 위한 추진과제와 실행계획을 수립해야 한다. 3) 목표 달성에 필요한 새로운…</t>
        </is>
      </c>
      <c r="Z4" s="7" t="n"/>
      <c r="AA4" s="14" t="inlineStr">
        <is>
          <t>거버넌스, 전담조직, 예산 투입, 구성원 KPI 연계 체계가 있습니까?</t>
        </is>
      </c>
      <c r="AB4" s="14" t="inlineStr">
        <is>
          <t>단계(1~5)</t>
        </is>
      </c>
    </row>
    <row r="5">
      <c r="A5" s="5" t="n">
        <v>8</v>
      </c>
      <c r="B5" s="6" t="inlineStr">
        <is>
          <t>E-2-1</t>
        </is>
      </c>
      <c r="C5" s="7" t="inlineStr">
        <is>
          <t>기본진단항목(v2.0)</t>
        </is>
      </c>
      <c r="D5" s="8" t="inlineStr">
        <is>
          <t>환경</t>
        </is>
      </c>
      <c r="E5" s="7" t="inlineStr">
        <is>
          <t>원부자재</t>
        </is>
      </c>
      <c r="F5" s="6" t="inlineStr">
        <is>
          <t>원부자재 사용량</t>
        </is>
      </c>
      <c r="G5" s="7" t="inlineStr">
        <is>
          <t> 조직이 이윤을 창출하기 위한 재화를 생산하는 과정에서 자연으로부터 가져온 원부자재를 효율적으로 관리하고 있는지 점검  조직 규모 차이(매출액, 생산량 등) 또는 사업 변동(구조조정, 인수합병 등)을 고려하여 상대적 비교가능성이 높은 ‘원단위’ 개념을 기반으로 원부자재의 물리적·화학적 특성을 포괄한 사용량을 점검</t>
        </is>
      </c>
      <c r="H5" s="7" t="inlineStr">
        <is>
          <t>‘조직별 홈페이지’ 上 지속가능경영보고서, 환경정보공개시스템&gt;자원/에너지&gt;원부자재 사용량, 조직의 원부자재 구매 및 사용량 실적</t>
        </is>
      </c>
      <c r="I5" s="7" t="inlineStr">
        <is>
          <t>최근 4개 회계연도</t>
        </is>
      </c>
      <c r="J5" s="6" t="inlineStr">
        <is>
          <t>국내외 사업장 및 기타 연결실체</t>
        </is>
      </c>
      <c r="K5" s="6" t="inlineStr">
        <is>
          <t>총 원단위 원부자재 사용량 = 총 원부자재 사용량(재생불가능한, 재생가능한, 재생/재활용) / 원단위 활용 분모 (매출액 등)</t>
        </is>
      </c>
      <c r="L5" s="9" t="inlineStr">
        <is>
          <t>단계형</t>
        </is>
      </c>
      <c r="M5" s="5" t="n">
        <v>3</v>
      </c>
      <c r="N5" s="7" t="inlineStr">
        <is>
          <t>단계형: 1단계=0점 / 2단계=50점 / 3단계=100점</t>
        </is>
      </c>
      <c r="O5" s="6" t="inlineStr">
        <is>
          <t>1단계 |  지난 4개년 원단위 원부자재 사용량 증가 추세 |  2단계 |  지난 4개년 원단위 원부자재 사용량 변동 없음 |  3단계 |  지난 4개년 원단위 원부자재 사용량 감소 추세 |  * 원단위 원부자재 사용량을 관리하지 않는 경우 0점 적용 |  * 3개년 이하 데이터 보유 시 해당 데이터로 추세 산정 |  * '유지 추세'로 판단할 경우 2단계로 적용하여 평가</t>
        </is>
      </c>
      <c r="P5" s="10" t="inlineStr">
        <is>
          <t>GAP(대응지표 없음)</t>
        </is>
      </c>
      <c r="Q5" s="6" t="inlineStr">
        <is>
          <t>KSSB 원부자재 지표 미규정</t>
        </is>
      </c>
      <c r="R5" s="6" t="inlineStr">
        <is>
          <t>GRI 301</t>
        </is>
      </c>
      <c r="S5" s="6" t="inlineStr">
        <is>
          <t>1_2_0_업종별 K-ESG 가이드라인(v2.0) 진단항목</t>
        </is>
      </c>
      <c r="T5" s="11" t="n"/>
      <c r="U5" s="12" t="n"/>
      <c r="V5" s="12" t="n"/>
      <c r="W5" s="12" t="n"/>
      <c r="X5" s="13" t="n"/>
      <c r="Y5" s="6" t="inlineStr">
        <is>
          <t> 본 ‘원부자재 사용량’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 확대할 수 있다.  원부자재는 기본적으로 재생가능 여부에 따라 재생가능한 원부자재, 재생불가능한 원부자재로 분류되며, 해당 원부자재의 원천(Source)에 따라 재생/재활용 원부자재, 천연 원부자재로 분류된다. 아래 분류별 예시를 참고하되 절대적인 기준은 아니므로 원료 특성 및 가공 방법에 따라 보편적·합리적…</t>
        </is>
      </c>
      <c r="Z5" s="7" t="n"/>
      <c r="AA5" s="14" t="inlineStr">
        <is>
          <t>원단위 원부자재 사용량이 4개년 간 감소 추세입니까?</t>
        </is>
      </c>
      <c r="AB5" s="14" t="inlineStr">
        <is>
          <t>단계(1~5)</t>
        </is>
      </c>
    </row>
    <row r="6">
      <c r="A6" s="5" t="n">
        <v>9</v>
      </c>
      <c r="B6" s="6" t="inlineStr">
        <is>
          <t>E-2-2</t>
        </is>
      </c>
      <c r="C6" s="7" t="inlineStr">
        <is>
          <t>기본진단항목(v2.0)</t>
        </is>
      </c>
      <c r="D6" s="8" t="inlineStr">
        <is>
          <t>환경</t>
        </is>
      </c>
      <c r="E6" s="7" t="inlineStr">
        <is>
          <t>원부자재</t>
        </is>
      </c>
      <c r="F6" s="6" t="inlineStr">
        <is>
          <t>재생 원부자재 비율</t>
        </is>
      </c>
      <c r="G6" s="7" t="inlineStr">
        <is>
          <t> 지속적인 경제 성장으로 인한 천연자원 고갈 이슈가 증가함에 따라, 원부자재 조달-투입 방식을 자원순환형 체계로 전환하고 있는지 점검  조직이 생산하는 제품 중 재생 원부자재를 적용할 수 있는 부분을 실제 재생 원부자재로 대체하는 등의 자원순환 이행성과를 확인</t>
        </is>
      </c>
      <c r="H6" s="7" t="inlineStr">
        <is>
          <t>‘전자공시시스템’ 上 사업보고서, ‘조직별 홈페이지’ 上 지속가능경영보고서, 조직의 원부자재 구매 및 사용량 실적</t>
        </is>
      </c>
      <c r="I6" s="7" t="inlineStr">
        <is>
          <t>최근 4개 회계연도</t>
        </is>
      </c>
      <c r="J6" s="6" t="inlineStr">
        <is>
          <t>국내외 사업장 및 기타 연결실체</t>
        </is>
      </c>
      <c r="K6" s="6" t="inlineStr">
        <is>
          <t>재생 원부자재 사용 비율 = 총 재생 원부자재 사용량 / 총 원부자재 사용량</t>
        </is>
      </c>
      <c r="L6" s="9" t="inlineStr">
        <is>
          <t>단계형</t>
        </is>
      </c>
      <c r="M6" s="5" t="n">
        <v>3</v>
      </c>
      <c r="N6" s="7" t="inlineStr">
        <is>
          <t>단계형: 1단계=0점 / 2단계=50점 / 3단계=100점</t>
        </is>
      </c>
      <c r="O6" s="6" t="inlineStr">
        <is>
          <t>1단계 |  지난 4개년 재생 원부자재 사용 비율 감소 추세 |  2단계 |  지난 4개년 재생 원부자재 사용 비율 변동 없음 |  3단계 |  지난 4개년 재생 원부자재 사용 비율 증가 추세 |  * 재생 원부자재를 사용하지 않는 경우 0점 적용 |  * 국내 및 해외 모든 사업장에서 재생 원부자재를 100% 사용하는 경우 100점 적용 |  * 3개년 이하 데이터 보유 시 해당 데이터로 추세 산정 |  * '유지 추세'로 판단할 경우 2단계로 적용하여 평가</t>
        </is>
      </c>
      <c r="P6" s="10" t="inlineStr">
        <is>
          <t>GAP(대응지표 없음)</t>
        </is>
      </c>
      <c r="Q6" s="6" t="inlineStr">
        <is>
          <t>KSSB 원부자재 지표 미규정</t>
        </is>
      </c>
      <c r="R6" s="6" t="inlineStr">
        <is>
          <t>GRI 301</t>
        </is>
      </c>
      <c r="S6" s="6" t="inlineStr">
        <is>
          <t>1_2_0_업종별 K-ESG 가이드라인(v2.0) 진단항목</t>
        </is>
      </c>
      <c r="T6" s="11" t="n"/>
      <c r="U6" s="12" t="n"/>
      <c r="V6" s="12" t="n"/>
      <c r="W6" s="12" t="n"/>
      <c r="X6" s="13" t="n"/>
      <c r="Y6" s="6" t="inlineStr">
        <is>
          <t> 원료, 생산, 소비, 폐기로 이어지는 기존의 선형 경제 대안으로 유럽연합 등 선진국을 중심으로 자원순환 경제 모델(3R: Reduce, Recycle, Reuse)이 확산되고 있다. 자원순환 경제는 폐기 이후의 재활용, 자원의 절약 등을 통해 사회 전반의 순환성을 높이고 지속가능성을 추구하는 모델이다.  본 ‘재생 원부자재 비율’ 항목 정의서를 참고할 수 있는 산업군을 좁은 범위로 해석한다면 원부자재를 가공하여 제품을 대량 생산하는 광업, 제조업, 건설업, 전기/가스/증기업 등으로 한정할 수 있으나, 넓은 범위로 해석한다면 서비스 운용/제공하는 과정에서 광물, 종이, 플라스틱 등을 사용하는 도매/소매, 운수/창고, 정보통신, 금융/보험, 기타 전문 서비스업으로…</t>
        </is>
      </c>
      <c r="Z6" s="7" t="n"/>
      <c r="AA6" s="14" t="inlineStr">
        <is>
          <t>재생/재활용 투입 원부자재 비율이 4개년 간 증가 추세입니까?</t>
        </is>
      </c>
      <c r="AB6" s="14" t="inlineStr">
        <is>
          <t>단계(1~5)</t>
        </is>
      </c>
    </row>
    <row r="7">
      <c r="A7" s="5" t="n">
        <v>10</v>
      </c>
      <c r="B7" s="6" t="inlineStr">
        <is>
          <t>E-3-1</t>
        </is>
      </c>
      <c r="C7" s="7" t="inlineStr">
        <is>
          <t>기본진단항목(v2.0)</t>
        </is>
      </c>
      <c r="D7" s="8" t="inlineStr">
        <is>
          <t>환경</t>
        </is>
      </c>
      <c r="E7" s="7" t="inlineStr">
        <is>
          <t>온실가스</t>
        </is>
      </c>
      <c r="F7" s="6" t="inlineStr">
        <is>
          <t>온실가스 배출량 (Scope1 &amp; Scope2)</t>
        </is>
      </c>
      <c r="G7" s="7" t="inlineStr">
        <is>
          <t> 조직이 소유, 관리, 통제하는 물리적 경계(사업장 등) 내에서 에너지 사용으로 인해 발생하는 온실가스 배출(Scope1 &amp; Scope2)을 감축하고 있는지 점검  조직간 규모 차이(매출액, 생산량 등) 또는 사업 변동(구조조정, 인수합병 등)을 고려하여 상대적 비교가능성이 높은 ‘원단위’ 개념을 기반으로 온실가스 배출량을 확인</t>
        </is>
      </c>
      <c r="H7" s="7" t="inlineStr">
        <is>
          <t>‘전자공시시스템’ 上 사업보고서, ‘조직별 홈페이지’ 上 지속가능경영보고서, ‘국가온실가스종합관리 시스템’ 上 명세서배출량통계</t>
        </is>
      </c>
      <c r="I7" s="7" t="inlineStr">
        <is>
          <t>최근 4개 회계연도</t>
        </is>
      </c>
      <c r="J7" s="6" t="inlineStr">
        <is>
          <t>국내외 사업장 및 기타 연결실체</t>
        </is>
      </c>
      <c r="K7" s="6" t="inlineStr">
        <is>
          <t>원단위 온실가스 배출량 = 총 온실가스 배출량 / 원단위 활용 분모</t>
        </is>
      </c>
      <c r="L7" s="9" t="inlineStr">
        <is>
          <t>단계형</t>
        </is>
      </c>
      <c r="M7" s="5" t="n">
        <v>3</v>
      </c>
      <c r="N7" s="7" t="inlineStr">
        <is>
          <t>단계형: 1단계=0점 / 2단계=50점 / 3단계=100점</t>
        </is>
      </c>
      <c r="O7" s="6" t="inlineStr">
        <is>
          <t>1단계 |  지난 4개년 원단위 온실가스 배출량 증가 추세 |  2단계 |  지난 4개년 원단위 온실가스 배출량 변동 없음 |  3단계 |  지난 4개년 원단위 온실가스 배출량 감소 추세 |  * 원단위 온실가스 배출량을 관리하고 있지 않은 경우 0점 적용 |  * 국내 및 해외 모든 사업장이 ‘탄소중립’ 또는 ‘탄소제로’를 달성한 경우 100점 적용 |  * 3개년 이하 데이터 보유 시 해당 데이터로 추세 산정 |  * '유지 추세'로 판단할 경우 2단계로 적용하여 평가</t>
        </is>
      </c>
      <c r="P7" s="10" t="inlineStr">
        <is>
          <t>완전대응</t>
        </is>
      </c>
      <c r="Q7" s="6" t="inlineStr">
        <is>
          <t>KSSB 제2호 문단 29(1) — Scope1·2 배출량</t>
        </is>
      </c>
      <c r="R7" s="6" t="inlineStr">
        <is>
          <t>GHG Protocol, GRI 305-1,2</t>
        </is>
      </c>
      <c r="S7" s="6" t="inlineStr">
        <is>
          <t>1_2_0_업종별 K-ESG 가이드라인(v2.0) 진단항목</t>
        </is>
      </c>
      <c r="T7" s="11" t="n"/>
      <c r="U7" s="12" t="n"/>
      <c r="V7" s="12" t="n"/>
      <c r="W7" s="12" t="n"/>
      <c r="X7" s="13" t="n"/>
      <c r="Y7" s="6" t="inlineStr">
        <is>
          <t> Scope1 온실가스 배출량 산정방법 = ∑[고정연소, 이동연소, 공정배출, 탈루배출, 폐기물처리]  Scope2 온실가스 배출량 산정방법 = ∑[구매전기, 구매 열(온수, 스팀 등)]  조직의 온실가스 배출량이 산업 내 어떠한 수준에 있는지 점검하는 방식에는 1) ‘온실가스 배출권의할당및거래에관한법률’ 등에 따른 할당량 대비, 2) ‘온실가스·에너지 목표관리제’에 따른 목표값 대비, 3) 조직의 과거년도 배출량을 기반으로 수립한 목표 대비, 4) 조직이 자체적으로 수립한 목표(SBTi* 등) 대비, 5) 조직이 벤치마킹하는 경쟁조직 대비 비교하는 방식 등이 있다. * Science Based Target Initiative : 조직의 과거년도 배출량이나, 국가별…</t>
        </is>
      </c>
      <c r="Z7" s="7" t="n"/>
      <c r="AA7" s="14" t="inlineStr">
        <is>
          <t>온실가스 배출량 (Scope1 &amp; Scope2)에 대한 현황을 관리·공시하고 있습니까?</t>
        </is>
      </c>
      <c r="AB7" s="14" t="inlineStr">
        <is>
          <t>단계(1~5)</t>
        </is>
      </c>
    </row>
    <row r="8">
      <c r="A8" s="5" t="n">
        <v>11</v>
      </c>
      <c r="B8" s="6" t="inlineStr">
        <is>
          <t>E-3-2</t>
        </is>
      </c>
      <c r="C8" s="7" t="inlineStr">
        <is>
          <t>기본진단항목(v2.0)</t>
        </is>
      </c>
      <c r="D8" s="8" t="inlineStr">
        <is>
          <t>환경</t>
        </is>
      </c>
      <c r="E8" s="7" t="inlineStr">
        <is>
          <t>온실가스</t>
        </is>
      </c>
      <c r="F8" s="6" t="inlineStr">
        <is>
          <t>온실가스 배출량 (Scope3)</t>
        </is>
      </c>
      <c r="G8" s="7" t="inlineStr">
        <is>
          <t> 조직이 온실가스 배출량 감축 목표를 달성하기 위해 물리적 경계 내에서 발생하는 Scope1 &amp; Scope2 배출량뿐만 아니라, 조직의 외부에서 발생하는 Scope3 배출량의 감축도 관리하고 있는지 점검  Scope3는 조직이 통제할 수 없는 범주에 속하기 때문에, 조직이 Scope3를 직접 감축하고 있는지를 확인하기보다는 Scope3의 인식/산정/검증 등 성과를 관리하는 노력 수준을 확인</t>
        </is>
      </c>
      <c r="H8" s="7" t="inlineStr">
        <is>
          <t>Scope3 측정 범주, Scope3 배출 데이터, Scope3 검증의견서</t>
        </is>
      </c>
      <c r="I8" s="7" t="inlineStr">
        <is>
          <t>직전 회계연도</t>
        </is>
      </c>
      <c r="J8" s="6" t="inlineStr">
        <is>
          <t>국내외 사업장 및 기타 연결실체</t>
        </is>
      </c>
      <c r="K8" s="6" t="inlineStr">
        <is>
          <t>N/A</t>
        </is>
      </c>
      <c r="L8" s="9" t="inlineStr">
        <is>
          <t>복합가중형</t>
        </is>
      </c>
      <c r="M8" s="5" t="n"/>
      <c r="N8" s="7" t="inlineStr">
        <is>
          <t>복합가중형: 2~3개 세부요소를 균등가중평균(예: 1/2+1/2, 1/3×3) — 세부 배점은 점검기준 상세 참조, 자사취득점수는 수동 산정</t>
        </is>
      </c>
      <c r="O8" s="6" t="inlineStr">
        <is>
          <t>Scope3 범주 인식 Scope3 배출량 산정 Scope3 배출량 검증 |  (1/3) (1/3) (1/3) |  1단계 조직의 Scope3 범주를 인식하고 조직의 Scope3 배출량을 Scope3 배출량에 대한 제3자 |  있지 않는 경우 측정하고 있지 않는 경우 검증을 하지 않는 경우 |  2단계 조직의 가치사슬 관련 일부 국내 등 일부 사업장의 일부 Scope3 범주 및 측정값에 |  Scope3 범주만 인식하고 Scope3 배출량만 측정하고 대해서만 제3자 검증을 하는 경우 |  있는 경우 있는 경우 |  3단계 조직의 가치사슬 관련 모든 조직의 모든 사업장의 Scope3 모든 Scope3 범주 및 측정값에 |  Scope3 범주를 인식하고 배출량을 측정하고 있는 경우 대해 제3자 검증을 하는 경우 |  있는 경우</t>
        </is>
      </c>
      <c r="P8" s="10" t="inlineStr">
        <is>
          <t>부분대응</t>
        </is>
      </c>
      <c r="Q8" s="6" t="inlineStr">
        <is>
          <t>KSSB 제2호 문단 29(1)(사) — Scope3 15개 카테고리 요구(K-ESG는 범주인식·산정·검증 3단계로 단순화)</t>
        </is>
      </c>
      <c r="R8" s="6" t="inlineStr">
        <is>
          <t>GHG Protocol, GRI 305-3</t>
        </is>
      </c>
      <c r="S8" s="6" t="inlineStr">
        <is>
          <t>1_2_0_업종별 K-ESG 가이드라인(v2.0) 진단항목</t>
        </is>
      </c>
      <c r="T8" s="11" t="inlineStr">
        <is>
          <t>해당없음(복합가중형)</t>
        </is>
      </c>
      <c r="U8" s="12" t="n"/>
      <c r="V8" s="12" t="n"/>
      <c r="W8" s="12" t="n"/>
      <c r="X8" s="13" t="n"/>
      <c r="Y8" s="6" t="inlineStr">
        <is>
          <t> Scope3 온실가스란 조직이 소유하고 관리하는 사업장(경계) 외 가치사슬에서 발생하는 간접적인 온실가스 배출이다. 조직의 경계 내에서 직접 배출되는 Scope1과 외부 전력 및 열 소비로 인해 배출되는 Scope2에 비해 감축의무 대상은 아니지만, 기후변화 이슈가 가속화됨에 따라 Scope3 관리 필요성도 증가하고 있다. 특히, [조달-개발-생산-유통-판매- 유지-폐기] 등 경영활동 전반을 내재화한 조직과 달리, 사업 운영의 대부분을 외주화(Outsourcing)한 조직은 Scope1 &amp; Scope2 못지않게, Scope3 관리가 중요하다. GreenHouse Gas Protocol이 제시한 ‘Corporate Value Chain(Scope3) Accounting…</t>
        </is>
      </c>
      <c r="Z8" s="7" t="n"/>
      <c r="AA8" s="14" t="inlineStr">
        <is>
          <t>가치사슬 전반 Scope 3 15개 범주를 인식/산정/검증합니까?</t>
        </is>
      </c>
      <c r="AB8" s="14" t="inlineStr">
        <is>
          <t>단계(1~5)</t>
        </is>
      </c>
    </row>
    <row r="9">
      <c r="A9" s="5" t="n">
        <v>12</v>
      </c>
      <c r="B9" s="6" t="inlineStr">
        <is>
          <t>E-3-3</t>
        </is>
      </c>
      <c r="C9" s="7" t="inlineStr">
        <is>
          <t>기본진단항목(v2.0)</t>
        </is>
      </c>
      <c r="D9" s="8" t="inlineStr">
        <is>
          <t>환경</t>
        </is>
      </c>
      <c r="E9" s="7" t="inlineStr">
        <is>
          <t>온실가스</t>
        </is>
      </c>
      <c r="F9" s="6" t="inlineStr">
        <is>
          <t>온실가스 배출량 검증</t>
        </is>
      </c>
      <c r="G9" s="7" t="inlineStr">
        <is>
          <t> 온실가스 배출권 거래제, 온실가스 목표관리제, 기타 온실가스 정보를 기반으로 의사결정하는 이해관계자가 증가함에 따라, 조직이 대외공시하는 온실가스 배출량 데이터가 타당성/신뢰성/투명성을 확보하고 있는지 확인  조직의 온실가스 배출량 데이터에 관해 제3자 기관으로부터 검증을 받는 경우, 해당 검증의견이 갖추어야 할 형식적 요건을 점검</t>
        </is>
      </c>
      <c r="H9" s="7" t="inlineStr">
        <is>
          <t>온실가스 배출량 검증의견서</t>
        </is>
      </c>
      <c r="I9" s="7" t="inlineStr">
        <is>
          <t>직전 회계연도</t>
        </is>
      </c>
      <c r="J9" s="6" t="inlineStr">
        <is>
          <t>N/A</t>
        </is>
      </c>
      <c r="K9" s="6" t="inlineStr">
        <is>
          <t>N/A</t>
        </is>
      </c>
      <c r="L9" s="9" t="inlineStr">
        <is>
          <t>선택형</t>
        </is>
      </c>
      <c r="M9" s="5" t="n">
        <v>5</v>
      </c>
      <c r="N9" s="7" t="inlineStr">
        <is>
          <t>선택형: 요건1=0점 / 요건2=25점 / 요건3=50점 / 요건4=75점 / 요건5=100점</t>
        </is>
      </c>
      <c r="O9" s="6" t="inlineStr">
        <is>
          <t>요건1 |  검증의견서에 검증기관(또는 검증인)이 명시되어 있는 경우 |  (또는, 검증기관이 License Number를 갖추고 있는 경우) |  요건2 |  검증의견서에 검증표준(방법론)이 제시되어 있는 경우 |  (온실가스 배출권거래제의 배출량 보고 및 인증에 관한 지침, GHG Protocol, ISO14064-1 등) |  요건3 |  검증의견서에 ESG 정보 검증수준을 공개하고 있는 경우 |  (전체/일부 데이터 검증, 제한적/합리적 보증 등) |  요건4 |  제3자 검증기관이 검증한 온실가스 배출량 검증 범위가 적시되어 있는 경우 |  (즉, 조직의 사업장 중 온실가스 배출량을 검증받은 사업장 및 지역 등) |  요건5 |  조직의 온실가스 관리에 관한 제3자 검증기관 의견이 명시되어 있는 경우 |  (온실가스 관리 시스템 개선, 향후 검증값의 변동가능성 등)</t>
        </is>
      </c>
      <c r="P9" s="10" t="inlineStr">
        <is>
          <t>완전대응</t>
        </is>
      </c>
      <c r="Q9" s="6" t="inlineStr">
        <is>
          <t>KSSB 제1호 문단 50(3)(검증)</t>
        </is>
      </c>
      <c r="R9" s="6" t="inlineStr">
        <is>
          <t>GRI 305</t>
        </is>
      </c>
      <c r="S9" s="6" t="inlineStr">
        <is>
          <t>1_2_0_업종별 K-ESG 가이드라인(v2.0) 진단항목</t>
        </is>
      </c>
      <c r="T9" s="11" t="n"/>
      <c r="U9" s="12" t="n"/>
      <c r="V9" s="12" t="n"/>
      <c r="W9" s="12" t="n"/>
      <c r="X9" s="13" t="n"/>
      <c r="Y9" s="6" t="inlineStr">
        <is>
          <t> ｢기후위기 대응을 위한 탄소중립·녹색성장 기본법｣에 따라 국가 온실가스 감축 목표(2030년의 국가 온실가스 총배출량을 2018년의 온실가스 총배출량의 40%만큼 감축)를 달성할 수 있도록 일정 수준 이상의 온실가스를 배출하고 에너지를 소비하는 업체 및 사업장은 관리업체로 지정되며, 해당 기업은 온실가스 감축목표, 에너지 절약목표를 설정하고 관리할 의무가 있다.  2023년 12월 14일 환경부 온실가스종합정보센터의 관리업체 고시 기준 온실가스·에너지 목표관리 대상은 총 331개로 관장기관별로 국토교통부 86개, 산업통상자원부 172개, 농림축산식품부 35개, 해양수산부 15개, 환경부 23개이며, 관리업체에 대한 선정기준은 최근 3년간 연평균 온실가스 배출총량을…</t>
        </is>
      </c>
      <c r="Z9" s="7" t="n"/>
      <c r="AA9" s="14" t="inlineStr">
        <is>
          <t>온실가스 배출량에 대해 적격한 제3자 검증을 획득했습니까?</t>
        </is>
      </c>
      <c r="AB9" s="14" t="inlineStr">
        <is>
          <t>단계(1~5)</t>
        </is>
      </c>
    </row>
    <row r="10">
      <c r="A10" s="5" t="n">
        <v>13</v>
      </c>
      <c r="B10" s="6" t="inlineStr">
        <is>
          <t>E-4-1</t>
        </is>
      </c>
      <c r="C10" s="7" t="inlineStr">
        <is>
          <t>기본진단항목(v2.0)</t>
        </is>
      </c>
      <c r="D10" s="8" t="inlineStr">
        <is>
          <t>환경</t>
        </is>
      </c>
      <c r="E10" s="7" t="inlineStr">
        <is>
          <t>에너지</t>
        </is>
      </c>
      <c r="F10" s="6" t="inlineStr">
        <is>
          <t>에너지 사용량</t>
        </is>
      </c>
      <c r="G10" s="7" t="inlineStr">
        <is>
          <t> 조직이 소유, 관리, 통제하는 물리적 경계(사업장 등) 내에서 직접 생산하거나, 외부로부터 구매하는 에너지 사용 총량을 절감하고 있는지 점검  조직간 규모 차이(매출액, 생산량 등) 또는 각 조직의 사업 변동(구조조정, 인수합병 등)을 고려하여 상대적으로 비교가 용이한 단위 당 개념의 ‘원단위’를 기반으로 에너지 사용량을 확인</t>
        </is>
      </c>
      <c r="H10" s="7" t="inlineStr">
        <is>
          <t>‘전자공시시스템’ 上 사업보고서, ‘조직별 홈페이지’ 上 지속가능경영보고서, ‘한국에너지공단 홈페이지’ 上 산업부문 에너지 사용 및 온실가스 배출량 통계</t>
        </is>
      </c>
      <c r="I10" s="7" t="inlineStr">
        <is>
          <t>최근 4개 회계연도</t>
        </is>
      </c>
      <c r="J10" s="6" t="inlineStr">
        <is>
          <t>국내외 사업장 및 기타 연결실체</t>
        </is>
      </c>
      <c r="K10" s="6" t="inlineStr">
        <is>
          <t>원단위 에너지 사용량 = 총 에너지 사용량 / 원단위 활용 분모</t>
        </is>
      </c>
      <c r="L10" s="9" t="inlineStr">
        <is>
          <t>단계형</t>
        </is>
      </c>
      <c r="M10" s="5" t="n">
        <v>3</v>
      </c>
      <c r="N10" s="7" t="inlineStr">
        <is>
          <t>단계형: 1단계=0점 / 2단계=50점 / 3단계=100점</t>
        </is>
      </c>
      <c r="O10" s="6" t="inlineStr">
        <is>
          <t>1단계 |  지난 4개년 원단위 에너지 사용량이 증가 추세 |  2단계 |  지난 4개년 원단위 에너지 사용량이 변동 없음 |  3단계 |  지난 4개년 원단위 에너지 사용량이 감소 추세 |  * 원단위 에너지 사용량을 관리하지 않고 있는 경우 0점 적용 |  * 3개년 이하 데이터 보유 시 해당 데이터로 추세 산정 |  * '유지 추세'로 판단할 경우 2단계로 적용하여 평가</t>
        </is>
      </c>
      <c r="P10" s="10" t="inlineStr">
        <is>
          <t>부분대응</t>
        </is>
      </c>
      <c r="Q10" s="6" t="inlineStr">
        <is>
          <t>KSSB 제2호 문단 29 부속 에너지 사용 관련 준용</t>
        </is>
      </c>
      <c r="R10" s="6" t="inlineStr">
        <is>
          <t>GRI 302-1</t>
        </is>
      </c>
      <c r="S10" s="6" t="inlineStr">
        <is>
          <t>1_2_0_업종별 K-ESG 가이드라인(v2.0) 진단항목</t>
        </is>
      </c>
      <c r="T10" s="11" t="n"/>
      <c r="U10" s="12" t="n"/>
      <c r="V10" s="12" t="n"/>
      <c r="W10" s="12" t="n"/>
      <c r="X10" s="13" t="n"/>
      <c r="Y10" s="6" t="inlineStr">
        <is>
          <t> 에너지 사용량 = ‘조직에서 직접 사용한 화석연료’ + ‘조직에서 직접 사용한 재생연료’ + ‘외부로부터 구매한 전기, 열 등’ + ‘조직에서 생산한 전기, 열(스팀) 등’ - ‘조직에서 사용하지 않고 외부로 판매한 전기, 열 등’  (고체, 기체, 액체 연료) 에너지 사용량 환산방법 = 연료 사용량 × 총발열량  (전기) 에너지 사용량 환산방법 = 전력사용량 × 발열량(소비)  조직의 에너지 사용량이 산업 내 어떠한 수준에 있는지 점검하는 방식에는 1) ‘온실가스 배출권의할당및거래에관한법률’ 등에 따른 할당량 대비 비교, 2) ‘온실가스·에너지 목표관리제’에 따른 목표 대비 비교, 3) 조직의 과거년도 배출량을 기반으로 설정한 목표 대비 비교, 4) RE100…</t>
        </is>
      </c>
      <c r="Z10" s="7" t="n"/>
      <c r="AA10" s="14" t="inlineStr">
        <is>
          <t>원단위 에너지 사용량이 최근 4개년 간 절감 추세입니까?</t>
        </is>
      </c>
      <c r="AB10" s="14" t="inlineStr">
        <is>
          <t>단계(1~5)</t>
        </is>
      </c>
    </row>
    <row r="11">
      <c r="A11" s="5" t="n">
        <v>14</v>
      </c>
      <c r="B11" s="6" t="inlineStr">
        <is>
          <t>E-4-2</t>
        </is>
      </c>
      <c r="C11" s="7" t="inlineStr">
        <is>
          <t>기본진단항목(v2.0)</t>
        </is>
      </c>
      <c r="D11" s="8" t="inlineStr">
        <is>
          <t>환경</t>
        </is>
      </c>
      <c r="E11" s="7" t="inlineStr">
        <is>
          <t>에너지</t>
        </is>
      </c>
      <c r="F11" s="6" t="inlineStr">
        <is>
          <t>재생에너지 사용 비율</t>
        </is>
      </c>
      <c r="G11" s="7" t="inlineStr">
        <is>
          <t> 조직이 에너지 체계를 재생에너지로 전환하고 있는지 확인  조직의 총 에너지 사용량 대비 신에너지 및 재생에너지가 차지하는 비율로 해당 항목을 점검  국내 ‘신에너지 및 재생에너지 개발·이용·보급촉진법’ 上 2025년까지 대규모 발전소가 공급하는 신재생에너지공급의무비율 (RPS)은 25%로써 수요 대비 한계가 있으므로, 해당 지표에서 다루는 재생에너지 범위는 ‘자가 재생에너지 발전’, ‘녹색프리미엄 요금제 사용’, ‘재생에너지 크레딧 구매’, ‘재생에너지 발전사업 지분 참여’, ‘제3자 전력구매계약’ 등을 포괄함</t>
        </is>
      </c>
      <c r="H11" s="7" t="inlineStr">
        <is>
          <t>‘조직별 홈페이지’ 上 지속가능경영보고서</t>
        </is>
      </c>
      <c r="I11" s="7" t="inlineStr">
        <is>
          <t>최근 4개 회계연도</t>
        </is>
      </c>
      <c r="J11" s="6" t="inlineStr">
        <is>
          <t>국내외 사업장 및 기타 연결실체</t>
        </is>
      </c>
      <c r="K11" s="6" t="inlineStr">
        <is>
          <t>재생에너지 사용 비율 = 총 재생에너지 사용량 / 총 에너지 사용량 * 신에너지 사용량 포함</t>
        </is>
      </c>
      <c r="L11" s="9" t="inlineStr">
        <is>
          <t>단계형</t>
        </is>
      </c>
      <c r="M11" s="5" t="n">
        <v>3</v>
      </c>
      <c r="N11" s="7" t="inlineStr">
        <is>
          <t>단계형: 1단계=0점 / 2단계=50점 / 3단계=100점</t>
        </is>
      </c>
      <c r="O11" s="6" t="inlineStr">
        <is>
          <t>1단계 |  지난 4개년 재생에너지 사용비율이 감소 추세 |  2단계 |  지난 4개년 재생에너지 사용비율이 변동 없음 |  3단계 |  지난 4개년 재생에너지 사용비율이 증가 추세 |  * 재생에너지를 사용하고 있지 않은 경우 0점 적용 |  * 국내 및 해외 모든 사업장에서 재생에너지를 100% 사용하는 경우 100점 적용 |  * 3개년 이하 데이터 보유 시 해당 데이터로 추세 산정 |  * '유지 추세'로 판단할 경우 2단계로 적용하여 평가</t>
        </is>
      </c>
      <c r="P11" s="10" t="inlineStr">
        <is>
          <t>부분대응</t>
        </is>
      </c>
      <c r="Q11" s="6" t="inlineStr">
        <is>
          <t>KSSB 제2호 문단 29(4) 친환경 기회 관련 준용</t>
        </is>
      </c>
      <c r="R11" s="6" t="inlineStr">
        <is>
          <t>GRI 302-1</t>
        </is>
      </c>
      <c r="S11" s="6" t="inlineStr">
        <is>
          <t>1_2_0_업종별 K-ESG 가이드라인(v2.0) 진단항목</t>
        </is>
      </c>
      <c r="T11" s="11" t="n"/>
      <c r="U11" s="12" t="n"/>
      <c r="V11" s="12" t="n"/>
      <c r="W11" s="12" t="n"/>
      <c r="X11" s="13" t="n"/>
      <c r="Y11" s="6" t="inlineStr">
        <is>
          <t> ‘신에너지 및 재생에너지 개발·이용·보급촉진법’ 제2조에서는 신재생에너지를 “기존의 화석연료를 변환시켜 이용하거나 햇빛·물·지열·강수·생물유기체 등을 포함하여 재생가능한 에너지를 변환시켜 이용하는 에너지”로 정의하고 있으며, 신재생에너지의 종류는 다음과 같다. - 신에너지 : 연료전지, 수소, 석탄액화·가스화 및 중질잔사유 가스화 - 재생에너지 : 태양광, 태양열, 바이오, 풍력, 수력, 해양, 폐기물, 지열  조직이 사업을 영위하는 국가 또는 지역의 에너지 체계에 따라, 또는 태양광, 대기, 조류 등의 양적/질적 조건에 따라 재생에너지 사용 비율을 확대하는데 한계가 있다. 반면, 국가별 재생에너지 이용·보급·확산을 위해 조직이 재생에너지를 직접 구매·생산하지…</t>
        </is>
      </c>
      <c r="Z11" s="7" t="n"/>
      <c r="AA11" s="14" t="inlineStr">
        <is>
          <t>재생에너지(PPA, REC 등) 사용 비율이 4개년 간 증가 추세입니까?</t>
        </is>
      </c>
      <c r="AB11" s="14" t="inlineStr">
        <is>
          <t>단계(1~5)</t>
        </is>
      </c>
    </row>
    <row r="12">
      <c r="A12" s="5" t="n">
        <v>15</v>
      </c>
      <c r="B12" s="6" t="inlineStr">
        <is>
          <t>E-5-1</t>
        </is>
      </c>
      <c r="C12" s="7" t="inlineStr">
        <is>
          <t>기본진단항목(v2.0)</t>
        </is>
      </c>
      <c r="D12" s="8" t="inlineStr">
        <is>
          <t>환경</t>
        </is>
      </c>
      <c r="E12" s="7" t="inlineStr">
        <is>
          <t>용수</t>
        </is>
      </c>
      <c r="F12" s="6" t="inlineStr">
        <is>
          <t>용수 사용량</t>
        </is>
      </c>
      <c r="G12" s="7" t="inlineStr">
        <is>
          <t> 조직이 용수를 공급받는 취수원을 보호하고 있는지, 또는 사업장이 위치한 지역의 수자원 고갈 리스크에 대비하고 있는지를 간접적으로 점검할 수 있는 항목으로써, 조직이 사용하는 용수 총량(신규 취수량, 내부 재사용량)을 효율적으로 관리하고 있는지 확인  조직간 규모 차이(매출액, 생산량 등) 또는 각 조직의 사업 변동(구조조정, 인수합병 등)을 고려하여 상대적 비교가능성이 높은 ‘원단위’ 개념을 기반으로 용수 사용량을 점검</t>
        </is>
      </c>
      <c r="H12" s="7" t="inlineStr">
        <is>
          <t>‘조직별 홈페이지’ 上 지속가능경영보고서, ‘한국에너지공단 물정보포털(My Water)’ 上 GIS 수자원</t>
        </is>
      </c>
      <c r="I12" s="7" t="inlineStr">
        <is>
          <t>최근 4개 회계연도</t>
        </is>
      </c>
      <c r="J12" s="6" t="inlineStr">
        <is>
          <t>국내외 사업장 및 기타 연결실체</t>
        </is>
      </c>
      <c r="K12" s="6" t="inlineStr">
        <is>
          <t>원단위 용수 사용량 = 총 용수 사용량 / 원단위 활용 분모</t>
        </is>
      </c>
      <c r="L12" s="9" t="inlineStr">
        <is>
          <t>단계형</t>
        </is>
      </c>
      <c r="M12" s="5" t="n">
        <v>3</v>
      </c>
      <c r="N12" s="7" t="inlineStr">
        <is>
          <t>단계형: 1단계=0점 / 2단계=50점 / 3단계=100점</t>
        </is>
      </c>
      <c r="O12" s="6" t="inlineStr">
        <is>
          <t>1단계 |  지난 4개년 원단위 용수 사용량이 증가 추세 |  2단계 |  지난 4개년 원단위 용수 사용량이 변동 없음 |  3단계 |  지난 4개년 원단위 용수 사용량이 감소 추세 |  * 원단위 용수 사용량을 관리하고 있지 않은 경우 0점 적용 |  * 3개년 이하 데이터 보유 시 해당 데이터로 추세 산정 |  * '유지 추세'로 판단할 경우 2단계로 적용하여 평가</t>
        </is>
      </c>
      <c r="P12" s="10" t="inlineStr">
        <is>
          <t>GAP(대응지표 없음)</t>
        </is>
      </c>
      <c r="Q12" s="6" t="inlineStr">
        <is>
          <t>KSSB 제2호 직접 규정 없음(업종기반지표로만 요구 가능)</t>
        </is>
      </c>
      <c r="R12" s="6" t="inlineStr">
        <is>
          <t>GRI 303, CDSB 물 적용지침</t>
        </is>
      </c>
      <c r="S12" s="6" t="inlineStr">
        <is>
          <t>1_2_0_업종별 K-ESG 가이드라인(v2.0) 진단항목</t>
        </is>
      </c>
      <c r="T12" s="11" t="n"/>
      <c r="U12" s="12" t="n"/>
      <c r="V12" s="12" t="n"/>
      <c r="W12" s="12" t="n"/>
      <c r="X12" s="13" t="n"/>
      <c r="Y12" s="6" t="inlineStr">
        <is>
          <t> UN의 환경경제 통합계정(System of Integrated Environmental and Economic Accounting, SEEA, 1993)에 따른 ‘용수 사용량’은 다음과 같이 정의할 수 있다. - 용수 사용량 = 환경에서 유입한 취수량 + 조직 내 재사용량 + 다른 조직에서 전달받은 폐수량 * 취수에 해당하는 경우 : 공업용수 外 표층수, 지하수, 토양수, 강우포집, 해양취수  용수 사용량은 산업분류, 사업특성, 생산규모에 따라 영향을 받는다. 따라서 조직의 용수 사용량이 산업 내 어떠한 수준에 있는지 점검하는 방식에는 1) 조직이 취수받는 수원별 공급능력 대비, 2) 조직의 사업장이 위치한 지역별 수자원 부존량 대비, 3) 조직의 과거년도 사용량…</t>
        </is>
      </c>
      <c r="Z12" s="7" t="n"/>
      <c r="AA12" s="14" t="inlineStr">
        <is>
          <t>수자원 취수 원단위 총 용수 사용량이 감소 추세입니까?</t>
        </is>
      </c>
      <c r="AB12" s="14" t="inlineStr">
        <is>
          <t>단계(1~5)</t>
        </is>
      </c>
    </row>
    <row r="13">
      <c r="A13" s="5" t="n">
        <v>16</v>
      </c>
      <c r="B13" s="6" t="inlineStr">
        <is>
          <t>E-5-2</t>
        </is>
      </c>
      <c r="C13" s="7" t="inlineStr">
        <is>
          <t>기본진단항목(v2.0)</t>
        </is>
      </c>
      <c r="D13" s="8" t="inlineStr">
        <is>
          <t>환경</t>
        </is>
      </c>
      <c r="E13" s="7" t="inlineStr">
        <is>
          <t>용수</t>
        </is>
      </c>
      <c r="F13" s="6" t="inlineStr">
        <is>
          <t>재사용 용수 비율</t>
        </is>
      </c>
      <c r="G13" s="7" t="inlineStr">
        <is>
          <t> 조직이 도시화와 산업화 진전으로 인해 발생되는 수자원 부족 문제에 대비하여, 지속가능한 용수 순환 체계를 구축하고 있는지 확인  조직이 소유, 관리, 통제하는 물리적 경계(사업장 등) 내에서 중수도, 하·폐수처리수 재이용시설 등을 설치하여 오수(汚水), 하수, 폐수를 효과적으로 순환·재사용하는지 점검</t>
        </is>
      </c>
      <c r="H13" s="7" t="inlineStr">
        <is>
          <t>‘조직별 홈페이지’ 上 지속가능경영보고서</t>
        </is>
      </c>
      <c r="I13" s="7" t="inlineStr">
        <is>
          <t>최근 4개 회계연도</t>
        </is>
      </c>
      <c r="J13" s="6" t="inlineStr">
        <is>
          <t>국내외 사업장 및 기타 연결실체</t>
        </is>
      </c>
      <c r="K13" s="6" t="inlineStr">
        <is>
          <t>재사용 용수 비율 = 총 재사용 용수량 / 총 용수 사용량</t>
        </is>
      </c>
      <c r="L13" s="9" t="inlineStr">
        <is>
          <t>단계형</t>
        </is>
      </c>
      <c r="M13" s="5" t="n">
        <v>3</v>
      </c>
      <c r="N13" s="7" t="inlineStr">
        <is>
          <t>단계형: 1단계=0점 / 2단계=50점 / 3단계=100점</t>
        </is>
      </c>
      <c r="O13" s="6" t="inlineStr">
        <is>
          <t>1단계 |  지난 4개년 재사용 용수 비율이 감소 추세 |  2단계 |  지난 4개년 재사용 용수 비율이 변동 없음 |  3단계 |  지난 4개년 재사용 용수 비율이 증가 추세 |  * 용수를 재사용하지 않고 있는 경우 0점 적용 |  * 국내 및 해외 모든 사업장이 폐수 무방류 시스템을 구축한 경우 100점 적용 |  * 3개년 이하 데이터 보유 시 해당 데이터로 추세 산정 |  * '유지 추세'로 판단할 경우 2단계로 적용하여 평가</t>
        </is>
      </c>
      <c r="P13" s="10" t="inlineStr">
        <is>
          <t>GAP(대응지표 없음)</t>
        </is>
      </c>
      <c r="Q13" s="6" t="inlineStr">
        <is>
          <t>KSSB 제2호 직접 규정 없음</t>
        </is>
      </c>
      <c r="R13" s="6" t="inlineStr">
        <is>
          <t>GRI 303</t>
        </is>
      </c>
      <c r="S13" s="6" t="inlineStr">
        <is>
          <t>1_2_0_업종별 K-ESG 가이드라인(v2.0) 진단항목</t>
        </is>
      </c>
      <c r="T13" s="11" t="n"/>
      <c r="U13" s="12" t="n"/>
      <c r="V13" s="12" t="n"/>
      <c r="W13" s="12" t="n"/>
      <c r="X13" s="13" t="n"/>
      <c r="Y13" s="6" t="inlineStr">
        <is>
          <t> 물의 순환 개념은 ‘우수→하천→취수→[1회사용]→배출→하천→해양’으로써, 용수 재사용이란 인공적인 순환을 개념을 추가한 ‘우수→하천→취수→[사용→처리→재사용]→배출→하천→해양’이라 할 수 있다. 해당 지표에서 정의하는 재사용은 재생처리된 폐수를 방류한 후 이를 다시 취수하는 간접 재사용(Indirect Reuse)을 의미하는 것이 아니라, 재생처리된 폐수를 방류하지 않고 조직의 사업 및 영업 행위에 다시 사용하는 직접 재사용(Direct Reuse)을 의미한다.  조직의 사업 특성에 따라 재사용 또는 재활용 불가능한 수준의 오수, 하수, 폐수가 발생할 수 있으나, 해당 오수, 하수, 폐수를 재사용 또는 재활용할 수 있는 수처리 기술도 발전하고 있다. 따라서 재사용…</t>
        </is>
      </c>
      <c r="Z13" s="7" t="n"/>
      <c r="AA13" s="14" t="inlineStr">
        <is>
          <t>사용한 용수를 직접 재사용/순환하는 비율이 증가 추세입니까?</t>
        </is>
      </c>
      <c r="AB13" s="14" t="inlineStr">
        <is>
          <t>단계(1~5)</t>
        </is>
      </c>
    </row>
    <row r="14">
      <c r="A14" s="5" t="n">
        <v>17</v>
      </c>
      <c r="B14" s="6" t="inlineStr">
        <is>
          <t>E-6-1</t>
        </is>
      </c>
      <c r="C14" s="7" t="inlineStr">
        <is>
          <t>기본진단항목(v2.0)</t>
        </is>
      </c>
      <c r="D14" s="8" t="inlineStr">
        <is>
          <t>환경</t>
        </is>
      </c>
      <c r="E14" s="7" t="inlineStr">
        <is>
          <t>폐기물</t>
        </is>
      </c>
      <c r="F14" s="6" t="inlineStr">
        <is>
          <t>폐기물 배출량</t>
        </is>
      </c>
      <c r="G14" s="7" t="inlineStr">
        <is>
          <t> 조직이 소유, 관리, 통제하는 물리적 경계(사업장 등) 내에서 사업 및 영업 활동(ex. 연구개발, 제품 생산/가공/포장 등 포함, 소비자가 사용 이후 폐기한 폐제품은 제외)에 따라 발생하는 폐기물을 저감하고 있는지 확인  조직간 규모 차이(매출액, 생산량 등) 또는 각 조직의 사업 변동(구조조정, 인수합병 등)을 고려하여 상대적 비교가능성 높은 ‘원단위’ 개념을 기반으로 폐기물 배출량을 점검</t>
        </is>
      </c>
      <c r="H14" s="7" t="inlineStr">
        <is>
          <t>‘조직별 홈페이지’ 上 지속가능경영보고서, ‘한국환경공단’&gt;자원순환정보시스템&gt;연도별 전국 폐기물 발생 및 처리현황</t>
        </is>
      </c>
      <c r="I14" s="7" t="inlineStr">
        <is>
          <t>최근 4개 회계연도</t>
        </is>
      </c>
      <c r="J14" s="6" t="inlineStr">
        <is>
          <t>국내외 사업장 및 기타 연결실체</t>
        </is>
      </c>
      <c r="K14" s="6" t="inlineStr">
        <is>
          <t>원단위 폐기물 배출량 = 총 폐기물 배출량 / 원단위 활용 분모</t>
        </is>
      </c>
      <c r="L14" s="9" t="inlineStr">
        <is>
          <t>단계형</t>
        </is>
      </c>
      <c r="M14" s="5" t="n">
        <v>3</v>
      </c>
      <c r="N14" s="7" t="inlineStr">
        <is>
          <t>단계형: 1단계=0점 / 2단계=50점 / 3단계=100점</t>
        </is>
      </c>
      <c r="O14" s="6" t="inlineStr">
        <is>
          <t>1단계 |  지난 4개년 원단위 폐기물 배출량이 증가 추세 |  2단계 |  지난 4개년 원단위 폐기물 배출량이 변동 없음 |  3단계 |  지난 4개년 원단위 폐기물 배출량이 감소 추세 |  * 원단위 폐기물 배출량을 관리하지 않고 있는 경우 0점 적용 |  * 3개년 이하 데이터 보유 시 해당 데이터로 추세 산정 |  * '유지 추세'로 판단할 경우 2단계로 적용하여 평가</t>
        </is>
      </c>
      <c r="P14" s="10" t="inlineStr">
        <is>
          <t>GAP(대응지표 없음)</t>
        </is>
      </c>
      <c r="Q14" s="6" t="inlineStr">
        <is>
          <t>KSSB 제2호 직접 규정 없음(업종기반지표로만 요구 가능)</t>
        </is>
      </c>
      <c r="R14" s="6" t="inlineStr">
        <is>
          <t>GRI 306</t>
        </is>
      </c>
      <c r="S14" s="6" t="inlineStr">
        <is>
          <t>1_2_0_업종별 K-ESG 가이드라인(v2.0) 진단항목</t>
        </is>
      </c>
      <c r="T14" s="11" t="n"/>
      <c r="U14" s="12" t="n"/>
      <c r="V14" s="12" t="n"/>
      <c r="W14" s="12" t="n"/>
      <c r="X14" s="13" t="n"/>
      <c r="Y14" s="6" t="inlineStr">
        <is>
          <t> 폐기물이란 쓰레기, 연소재, 오니, 폐유, 폐산, 폐알칼리 및 동물사체 등으로 사람의 생활이나 사업활동에 필요하지 않게 된 물질을 말하며, 조직에서 발생하는 폐기물의 종류는 ‘사업장배출시설계폐기물’, ‘사업장생활계폐기물’, ‘지정폐기물’, ‘건설폐기물’로 구분된다. - 조직이 배출하는 폐기물의 종류와 배출량은 ‘환경부-폐기물적법처리시스템(Allbaro)’, ‘환경부-환경정보 공개시스템’에서 확인 가능하다.  폐기물 배출량은 산업분류, 사업특성, 생산규모에 따라 영향을 받는다. 따라서 조직의 폐기물 배출량이 산업 내 어떠한 수준에 있는지 점검하는 방식에는 1) 업종별 총 폐기물 배출량 대비, 2) 조직의 사업장이 위치한 지역의 총 폐기물 배출량 대비, 3) 조직의…</t>
        </is>
      </c>
      <c r="Z14" s="7" t="n"/>
      <c r="AA14" s="14" t="inlineStr">
        <is>
          <t>지정/일반 폐기물 발생 총량의 원단위 감축 추세입니까?</t>
        </is>
      </c>
      <c r="AB14" s="14" t="inlineStr">
        <is>
          <t>단계(1~5)</t>
        </is>
      </c>
    </row>
    <row r="15">
      <c r="A15" s="5" t="n">
        <v>18</v>
      </c>
      <c r="B15" s="6" t="inlineStr">
        <is>
          <t>E-6-2</t>
        </is>
      </c>
      <c r="C15" s="7" t="inlineStr">
        <is>
          <t>기본진단항목(v2.0)</t>
        </is>
      </c>
      <c r="D15" s="8" t="inlineStr">
        <is>
          <t>환경</t>
        </is>
      </c>
      <c r="E15" s="7" t="inlineStr">
        <is>
          <t>폐기물</t>
        </is>
      </c>
      <c r="F15" s="6" t="inlineStr">
        <is>
          <t>폐기물 재활용 비율</t>
        </is>
      </c>
      <c r="G15" s="7" t="inlineStr">
        <is>
          <t> 조직이 자원순환 경제로 전환에 동참하기 위해, 생산 단계에서부터 폐기물을 원천 감량하는 것을 넘어, 폐기물의 순환이용을 높이고 있는지 확인  조직이 가공-생산-보관-유통 과정에서 발생하는 폐기물이 생산 과정에 재투입되거나, 조직 내/외부에서 2차 자원으로 재활용 되고 있는지 점검</t>
        </is>
      </c>
      <c r="H15" s="7" t="inlineStr">
        <is>
          <t>‘조직별 홈페이지’ 上 지속가능경영보고서, ‘한국환경공단’ 연도별 전국 폐기물 발생 및 처리현황, 폐기물 재활용 실적 및 업체현황, 재활용지정사업자 재활용실적, 포장재폐기물 발생량 및 재활용량</t>
        </is>
      </c>
      <c r="I15" s="7" t="inlineStr">
        <is>
          <t>최근 4개 회계연도</t>
        </is>
      </c>
      <c r="J15" s="6" t="inlineStr">
        <is>
          <t>국내외 사업장 및 기타 연결실체</t>
        </is>
      </c>
      <c r="K15" s="6" t="inlineStr">
        <is>
          <t>폐기물 재활용 비율 = 폐기물 재활용량(재사용 포함) / 재활용(재사용 포함) 대상 폐기물 발생량</t>
        </is>
      </c>
      <c r="L15" s="9" t="inlineStr">
        <is>
          <t>단계형</t>
        </is>
      </c>
      <c r="M15" s="5" t="n">
        <v>3</v>
      </c>
      <c r="N15" s="7" t="inlineStr">
        <is>
          <t>단계형: 1단계=0점 / 2단계=50점 / 3단계=100점</t>
        </is>
      </c>
      <c r="O15" s="6" t="inlineStr">
        <is>
          <t>1단계 |  지난 4개년 폐기물 재활용 비율이 감소 추세 |  2단계 |  지난 4개년 폐기물 재활용 비율이 변동 없음 |  3단계 |  지난 4개년 폐기물 재활용 비율이 증가 추세 |  * 폐기물 재활용 비율을 관리하지 않고 있는 경우 0점 적용 |  * 국내 및 해외 모든 사업장이 재활용 및 재사용 가능한 폐기물 전부를 재활용 및 재사용하고 있는 경우 100점 적용 |  * 3개년 이하 데이터 보유 시 해당 데이터로 추세 산정 |  * '유지 추세'로 판단할 경우 2단계로 적용하여 평가</t>
        </is>
      </c>
      <c r="P15" s="10" t="inlineStr">
        <is>
          <t>GAP(대응지표 없음)</t>
        </is>
      </c>
      <c r="Q15" s="6" t="inlineStr">
        <is>
          <t>KSSB 제2호 직접 규정 없음</t>
        </is>
      </c>
      <c r="R15" s="6" t="inlineStr">
        <is>
          <t>GRI 306</t>
        </is>
      </c>
      <c r="S15" s="6" t="inlineStr">
        <is>
          <t>1_2_0_업종별 K-ESG 가이드라인(v2.0) 진단항목</t>
        </is>
      </c>
      <c r="T15" s="11" t="n"/>
      <c r="U15" s="12" t="n"/>
      <c r="V15" s="12" t="n"/>
      <c r="W15" s="12" t="n"/>
      <c r="X15" s="13" t="n"/>
      <c r="Y15" s="6" t="inlineStr">
        <is>
          <t> 폐기물 재사용이란 원부자재 또는 재공품의 본래 용도 및 사용 목적과 같은 목적으로 사용하는 것을 의미하며, 폐기물 재활용이란 폐기된 원부자재 또는 재공품에서 유용한 자원을 회수하여 활용하는 것을 의미한다. 폐기물 재활용은 크게 아래와 같은 3가지 기준으로 구분할 수 있다. - 물질적 회수 : 폐기물이나 부산물을 처리하여 유가금속, 철스크랩, 종이류, 목재 등 특정 2차 물질을 회수하여 재활용하는 방식 - 화학적 회수 : 폐기물이나 부산물의 분자구조를 변형시키는 것으로 이전에는 실질적으로 재활용할 수 없었던 것을 재활용 할 수 있도록 변형하는 방식 - 에너지 전환 : 폐기물이나 부산물로부터 고형연료, 메탄가스 또는 기타 에너지원을 회수하여 새로운 에너지원으로 전환하는…</t>
        </is>
      </c>
      <c r="Z15" s="7" t="n"/>
      <c r="AA15" s="14" t="inlineStr">
        <is>
          <t>물질/화학적 회수를 통한 전체 폐기물 재활용률이 증가 추세입니까?</t>
        </is>
      </c>
      <c r="AB15" s="14" t="inlineStr">
        <is>
          <t>단계(1~5)</t>
        </is>
      </c>
    </row>
    <row r="16">
      <c r="A16" s="5" t="n">
        <v>19</v>
      </c>
      <c r="B16" s="6" t="inlineStr">
        <is>
          <t>E-7-1</t>
        </is>
      </c>
      <c r="C16" s="7" t="inlineStr">
        <is>
          <t>기본진단항목(v2.0)</t>
        </is>
      </c>
      <c r="D16" s="8" t="inlineStr">
        <is>
          <t>환경</t>
        </is>
      </c>
      <c r="E16" s="7" t="inlineStr">
        <is>
          <t>오염물질</t>
        </is>
      </c>
      <c r="F16" s="6" t="inlineStr">
        <is>
          <t>대기오염물질 배출량</t>
        </is>
      </c>
      <c r="G16" s="7" t="inlineStr">
        <is>
          <t> 조직이 소유, 관리, 통제하는 물리적 경계(사업장 등) 내에서 발생하는 대기오염물질을 지속적으로 저감하는 등 대기환경 개선을 위한 노력을 이행하고 있는지 확인  ｢대기환경보전법｣ 上 64개 대기오염물질 중 대다수를 구성하는 질소산화물, 황산화물, 미세먼지 배출농도를 기간별 비교하는 방식으로 점검</t>
        </is>
      </c>
      <c r="H16" s="7" t="inlineStr">
        <is>
          <t>‘조직별 홈페이지’ 上 지속가능경영보고서, ‘한국환경공단-에어코리아’ 上 실시간 자료조회</t>
        </is>
      </c>
      <c r="I16" s="7" t="inlineStr">
        <is>
          <t>최근 4개년 회계연도</t>
        </is>
      </c>
      <c r="J16" s="6" t="inlineStr">
        <is>
          <t>국내외 사업장 및 기타 연결실체</t>
        </is>
      </c>
      <c r="K16" s="6" t="inlineStr">
        <is>
          <t>대기오염물질 배출 = 질소산화물, 황산화물, 미세먼지의 배출농도(PPM, mg/㎥)</t>
        </is>
      </c>
      <c r="L16" s="9" t="inlineStr">
        <is>
          <t>단계형</t>
        </is>
      </c>
      <c r="M16" s="5" t="n">
        <v>3</v>
      </c>
      <c r="N16" s="7" t="inlineStr">
        <is>
          <t>단계형: 1단계=0점 / 2단계=50점 / 3단계=100점</t>
        </is>
      </c>
      <c r="O16" s="6" t="inlineStr">
        <is>
          <t>1단계 |  지난 4개년 대기오염물질 평균 배출농도가 증가 추세 |  2단계 |  지난 4개년 대기오염물질 평균 배출농도가 변동 없음 |  3단계 |  지난 4개년 대기오염물질 평균 배출농도가 감소 추세 |  * 대기오염물질 평균 배출농도를 관리하지 않고 있는 경우 0점 적용 |  * 국내 및 해외 모든 사업장의 대기오염물질 배출농도가 ‘0’인 경우 100점 적용 |  * 3개년 이하 데이터 보유 시 해당 데이터로 추세 산정 |  * '유지 추세'로 판단할 경우 2단계로 적용하여 평가</t>
        </is>
      </c>
      <c r="P16" s="10" t="inlineStr">
        <is>
          <t>GAP(대응지표 없음)</t>
        </is>
      </c>
      <c r="Q16" s="6" t="inlineStr">
        <is>
          <t>KSSB 제2호 직접 규정 없음</t>
        </is>
      </c>
      <c r="R16" s="6" t="inlineStr">
        <is>
          <t>GRI 305-7</t>
        </is>
      </c>
      <c r="S16" s="6" t="inlineStr">
        <is>
          <t>1_2_0_업종별 K-ESG 가이드라인(v2.0) 진단항목</t>
        </is>
      </c>
      <c r="T16" s="11" t="n"/>
      <c r="U16" s="12" t="n"/>
      <c r="V16" s="12" t="n"/>
      <c r="W16" s="12" t="n"/>
      <c r="X16" s="13" t="n"/>
      <c r="Y16" s="6" t="inlineStr">
        <is>
          <t> 해당 항목에서 정의한 대기오염물질인 질소산화물(NOx), 황산화물(SOx), 먼지(TSP)는 환경부의 ‘사업장 대기오염물질 총량관리제도’에서 규정한 ‘관리대상 오염물질’이다. ‘사업장 대기오염물질 총량관리제도’는 사업장에 연도별로 배출허용총량을 할당하고, 이를 준수하는 사업장은 잔여 할당량을 판매할 수 있고, 이를 초과하는 사업장은 총량초과과징금을 부과한다.  대기오염물질 배출농도 및 가스유량은 ｢환경분야 시험·검사 등에 관한 법률｣ 제6조제1항에 따라 환경부장관이 정하여 고시한 환경오염공정시험기준(또는 이에 준하는 국가별 관계법령)에 따라 측정한다.  ｢대기환경보전법｣에 따른 대기오염물질 방지시설 설치 면제사업장의 경우, 동법 시행규칙 별지 제7호 서식에 따라…</t>
        </is>
      </c>
      <c r="Z16" s="7" t="n"/>
      <c r="AA16" s="14" t="inlineStr">
        <is>
          <t>NOx, SOx, 미세먼지 원단위 배출농도가 감소 추세입니까?</t>
        </is>
      </c>
      <c r="AB16" s="14" t="inlineStr">
        <is>
          <t>단계(1~5)</t>
        </is>
      </c>
    </row>
    <row r="17">
      <c r="A17" s="5" t="n">
        <v>20</v>
      </c>
      <c r="B17" s="6" t="inlineStr">
        <is>
          <t>E-7-2</t>
        </is>
      </c>
      <c r="C17" s="7" t="inlineStr">
        <is>
          <t>기본진단항목(v2.0)</t>
        </is>
      </c>
      <c r="D17" s="8" t="inlineStr">
        <is>
          <t>환경</t>
        </is>
      </c>
      <c r="E17" s="7" t="inlineStr">
        <is>
          <t>오염물질</t>
        </is>
      </c>
      <c r="F17" s="6" t="inlineStr">
        <is>
          <t>수질오염물질 배출량</t>
        </is>
      </c>
      <c r="G17" s="7" t="inlineStr">
        <is>
          <t> 조직이 소유, 관리, 통제하는 물리적 경계(사업장 등) 내에서 최종 발생하는 수질오염물질을 저감하는 등 수자원 보호를 위한 노력을 이행하고 있는지 확인  ｢물환경보전법｣ 上 수질오염물질을 대표하는 생물화학적 산소요구량(BOD), 총 유기탄소량(TOC), 부유물질량(SS)의 배출 농도를 기간별 비교하는 방식으로 점검</t>
        </is>
      </c>
      <c r="H17" s="7" t="inlineStr">
        <is>
          <t>‘조직별 홈페이지’ 上 지속가능경영보고서, ‘환경부-물환경정보시스템’ 上 수질측정망</t>
        </is>
      </c>
      <c r="I17" s="7" t="inlineStr">
        <is>
          <t>최근 4개 회계연도</t>
        </is>
      </c>
      <c r="J17" s="6" t="inlineStr">
        <is>
          <t>국내외 사업장 및 기타 연결실체</t>
        </is>
      </c>
      <c r="K17" s="6" t="inlineStr">
        <is>
          <t>수질오염물질 배출 = 생물화학적 산소요구량, 총 유기탄소량, 부유물질량의 배출농도(PPM, mg/l)</t>
        </is>
      </c>
      <c r="L17" s="9" t="inlineStr">
        <is>
          <t>단계형</t>
        </is>
      </c>
      <c r="M17" s="5" t="n">
        <v>3</v>
      </c>
      <c r="N17" s="7" t="inlineStr">
        <is>
          <t>단계형: 1단계=0점 / 2단계=50점 / 3단계=100점</t>
        </is>
      </c>
      <c r="O17" s="6" t="inlineStr">
        <is>
          <t>1단계 |  지난 4개년 수질오염물질 평균 배출농도가 증가 추세 |  2단계 |  지난 4개년 수질오염물질 평균 배출농도가 변동 없음 |  3단계 |  지난 4개년 수질오염물질 평균 배출농도가 감소 추세 |  * 수질오염물질 평균 배출농도를 관리하지 않고 있는 경우 0점 적용 |  * 국내 및 해외 모든 사업장의 수질오염물질 배출농도가 ‘0’인 경우 100점 적용 |  * 3개년 이하 데이터 보유 시 해당 데이터로 추세 산정 |  * '유지 추세'로 판단할 경우 2단계로 적용하여 평가</t>
        </is>
      </c>
      <c r="P17" s="10" t="inlineStr">
        <is>
          <t>GAP(대응지표 없음)</t>
        </is>
      </c>
      <c r="Q17" s="6" t="inlineStr">
        <is>
          <t>KSSB 제2호 직접 규정 없음</t>
        </is>
      </c>
      <c r="R17" s="6" t="inlineStr">
        <is>
          <t>GRI 303-4</t>
        </is>
      </c>
      <c r="S17" s="6" t="inlineStr">
        <is>
          <t>1_2_0_업종별 K-ESG 가이드라인(v2.0) 진단항목</t>
        </is>
      </c>
      <c r="T17" s="11" t="n"/>
      <c r="U17" s="12" t="n"/>
      <c r="V17" s="12" t="n"/>
      <c r="W17" s="12" t="n"/>
      <c r="X17" s="13" t="n"/>
      <c r="Y17" s="6" t="inlineStr">
        <is>
          <t> 해당 지표에서 정의한 수질오염물질인 생물화학적 산소요구량(BOD), 총 유기탄소량(TOC), 부유물질량(SS)은 ｢물환경보전법 시행규칙｣ 별표13 上 ‘수질오염물질의 배출허용기준’ 항목이다.  수질오염물질 배출농도는 ｢환경분야 시험·검사 등에 관한 법률｣ 제6조제1항에 따라 환경부장관이 정하여 고시한 환경오염공정시험기준(또는 이에 준하는 국가별 관계법령)에 따라 측정한다.  ｢물환경보전법｣ 제35조에 따른 수질오염물질 방지시설 면제사업장에 해당하는 경우 수질오염물질 배출 성과를 점검하지 아니할 수 있다.  조직의 수질오염물질 배출 수준을 점검하는 방식에는 1) 폐수를 방류하거나, 폐수처리시설과 관련된 수계의 평균 오염농도 대비, 2) 조직의 과거년도 배출농도를…</t>
        </is>
      </c>
      <c r="Z17" s="7" t="n"/>
      <c r="AA17" s="14" t="inlineStr">
        <is>
          <t>BOD, TOC, SS 배출농도가 감소 추세입니까?</t>
        </is>
      </c>
      <c r="AB17" s="14" t="inlineStr">
        <is>
          <t>단계(1~5)</t>
        </is>
      </c>
    </row>
    <row r="18">
      <c r="A18" s="5" t="n">
        <v>21</v>
      </c>
      <c r="B18" s="6" t="inlineStr">
        <is>
          <t>E-8-1</t>
        </is>
      </c>
      <c r="C18" s="7" t="inlineStr">
        <is>
          <t>기본진단항목(v2.0)</t>
        </is>
      </c>
      <c r="D18" s="8" t="inlineStr">
        <is>
          <t>환경</t>
        </is>
      </c>
      <c r="E18" s="7" t="inlineStr">
        <is>
          <t>환경 법/규제 위반</t>
        </is>
      </c>
      <c r="F18" s="6" t="inlineStr">
        <is>
          <t>환경 법/규제 위반</t>
        </is>
      </c>
      <c r="G18" s="7" t="inlineStr">
        <is>
          <t> 조직이 사업을 운영하는 과정에서 준수해야 할 환경 관리 법/규제를 명확하게 인식하고, 환경 법/규제 리스크 해결을 위한 투자 및 개선활동이 효과적인지 확인  환경 관련 법/규제 위반 사건 중 조직의 재무구조 및 평판 관리에 상당한 영향력을 미치는 사법상 형벌, 행정상 처분(금전적, 비금전적)에 대해 가중치를 달리 적용하는 방식으로 ‘환경 법/규제 위반’을 점검</t>
        </is>
      </c>
      <c r="H18" s="7" t="inlineStr">
        <is>
          <t>‘전자공시시스템’ 上 사업보고서, ‘조직별 홈페이지’ 上 지속가능경영보고서</t>
        </is>
      </c>
      <c r="I18" s="7" t="inlineStr">
        <is>
          <t>최근 4개 회계연도</t>
        </is>
      </c>
      <c r="J18" s="6" t="inlineStr">
        <is>
          <t>국내외 사업장 및 기타 연결실체</t>
        </is>
      </c>
      <c r="K18" s="6" t="inlineStr">
        <is>
          <t>∑(환경 법/규제 위반 건 * 처벌수위별 감점 기준)</t>
        </is>
      </c>
      <c r="L18" s="9" t="inlineStr">
        <is>
          <t>감점형</t>
        </is>
      </c>
      <c r="M18" s="5" t="n">
        <v>3</v>
      </c>
      <c r="N18" s="7" t="inlineStr">
        <is>
          <t>감점형: 기준 100점에서 위반유형별(-50/-30/-10점) 차감(중복 적용 가능), 최저 0점</t>
        </is>
      </c>
      <c r="O18" s="6" t="inlineStr">
        <is>
          <t>유형 1 |  지난 4개년 간 환경 법/규제 위반내역 중 판결이 확정된 건수에 대해, 처벌수위가 사법상 형벌, 벌금, 과료인 경우, 또는 국가나 |  지방자치단체를 당사자로 하는 계약에서 입찰참가자격을 제한당한 경우 |  유형 2 |  지난 4개년 간 환경 법/규제 위반내역 중 판결이 확정된 건수에 대해, 처벌수위가 행정상 처분 중 금전적 처분에 해당하는 과태료, |  과징금, 이행강제금 등인 경우 |  유형 3 |  지난 4개년 간 환경 법/규제 위반내역 중 판결이 확정된 건수에 대해, 처벌수위가 행정상 처분 중 비금전적 처분에 해당하는 시정 |  명령, 시정권고, 경고 등인 경우 |  * 감점 사항이 없을 경우, 감점 없음 |  * 단, 처벌 및 조치내역의 발생횟수에 따른 감점 시 환경 분야의 총 평가 최저점은 0점으로 하한선 설정</t>
        </is>
      </c>
      <c r="P18" s="10" t="inlineStr">
        <is>
          <t>부분대응</t>
        </is>
      </c>
      <c r="Q18" s="6" t="inlineStr">
        <is>
          <t>KSSB 제1호 문단 위험관리 원칙 준용</t>
        </is>
      </c>
      <c r="R18" s="6" t="inlineStr">
        <is>
          <t>GRI 2-27(Compliance)</t>
        </is>
      </c>
      <c r="S18" s="6" t="inlineStr">
        <is>
          <t>1_2_0_업종별 K-ESG 가이드라인(v2.0) 진단항목</t>
        </is>
      </c>
      <c r="T18" s="11" t="inlineStr">
        <is>
          <t>해당없음(감점형)</t>
        </is>
      </c>
      <c r="U18" s="12" t="n">
        <v>0</v>
      </c>
      <c r="V18" s="12" t="n">
        <v>0</v>
      </c>
      <c r="W18" s="12" t="n">
        <v>0</v>
      </c>
      <c r="X18" s="13" t="n">
        <v>100</v>
      </c>
      <c r="Y18" s="6" t="inlineStr">
        <is>
          <t> 환경 법/규제 위반행위란 오염물질 불법배출의 가중처벌, 환경보호지역 오염행위 등의 가중처벌, 과실범, 멸종위기 야생생물의 포획 등의 가중처벌, 폐기물 불법처리의 가중처벌, 누범의 가중, 명령 불이행자에 대한 처벌의 규정에 해당하는 행위나 ｢대기환경보전법｣ 비산먼지 발생을 억제하기 위한 시설 설치 혹은 조치를 하지 않은 경우, ｢화학물질 등록 및 평가 등에 관한 법률｣ 또는 ｢화학물질관리법｣ 유해화학물질을 부적절하게 관리한 경우, ｢폐기물관리법｣ 생활폐기물을 불법 처리하는 행위 등으로써 ｢환경범죄 등의 단속 및 가중처벌에 관한 법률｣ 제3조에서 제14조를 통해 처벌수위를 규정하고 있다. - 제3조 : 오염물질 불법배출의 가중처벌 - 제4조 : 환경보호지역 오염행위 등의…</t>
        </is>
      </c>
      <c r="Z18" s="7" t="n"/>
      <c r="AA18" s="14" t="inlineStr">
        <is>
          <t>환경 관계 법령 위반 처벌 및 제재 이력이 있습니까?</t>
        </is>
      </c>
      <c r="AB18" s="14" t="inlineStr">
        <is>
          <t>단계(1~5)</t>
        </is>
      </c>
    </row>
    <row r="19">
      <c r="A19" s="5" t="n">
        <v>22</v>
      </c>
      <c r="B19" s="6" t="inlineStr">
        <is>
          <t>E-9-1</t>
        </is>
      </c>
      <c r="C19" s="7" t="inlineStr">
        <is>
          <t>기본진단항목(v2.0)</t>
        </is>
      </c>
      <c r="D19" s="8" t="inlineStr">
        <is>
          <t>환경</t>
        </is>
      </c>
      <c r="E19" s="7" t="inlineStr">
        <is>
          <t>환경 라벨링</t>
        </is>
      </c>
      <c r="F19" s="6" t="inlineStr">
        <is>
          <t>친환경 인증 제품 및 서비스 비율</t>
        </is>
      </c>
      <c r="G19" s="7" t="inlineStr">
        <is>
          <t> 제품의 생산 과정에서 자원·에너지 사용, 오염물질 배출, 인체·생태계 독성 등 환경영향을 파악하며, 제품의 긍정적 환경영향을 확대하고 부정적 환경영향은 축소하고 있는지 확인  ISO 등 국제인증표준에 준하거나, 환경부 등 정부기관에서 시행하고 있는 친환경 인증 획득 제품이 전체 제품에서 차지하는 비율을 점검</t>
        </is>
      </c>
      <c r="H19" s="7" t="inlineStr">
        <is>
          <t>‘전자공시시스템’ 上 사업보고서, ‘조직별 홈페이지’ 上 지속가능경영보고서</t>
        </is>
      </c>
      <c r="I19" s="7" t="inlineStr">
        <is>
          <t>직전 회계연도</t>
        </is>
      </c>
      <c r="J19" s="6" t="inlineStr">
        <is>
          <t>국내외 사업장 및 기타 연결실체</t>
        </is>
      </c>
      <c r="K19" s="6" t="inlineStr">
        <is>
          <t>친환경 인증 제품 및 서비스 비율 = (친환경 인증 제품 및 서비스 매출액 / 조직의 총 매출액)</t>
        </is>
      </c>
      <c r="L19" s="9" t="inlineStr">
        <is>
          <t>단계형</t>
        </is>
      </c>
      <c r="M19" s="5" t="n">
        <v>3</v>
      </c>
      <c r="N19" s="7" t="inlineStr">
        <is>
          <t>단계형: 1단계=100점 / 2단계=50점 / 3단계=0점</t>
        </is>
      </c>
      <c r="O19" s="6" t="inlineStr">
        <is>
          <t>1단계 |  친환경 인증을 획득한 제품 및 서비스, 또는 친환경 인증 원부자재 등이 포함된 제품군의 매출비율이 증가 추세 |  2단계 |  친환경 인증을 획득한 제품 및 서비스, 또는 친환경 인증 원부자재 등이 포함된 제품군의 매출비율이 변동 없음 |  3단계 |  친환경 인증을 획득한 제품 및 서비스, 또는 친환경 인증 원부자재 등이 포함된 제품군의 매출비율이 감소 추세 |  * 완성품이 아닌 원부자재 생산 업종의 경우 원부자재에 대한 친환경 인증을 기준으로 점검 |  * 3개년 이하 데이터 보유 시 해당 데이터로 추세 산정 |  * '유지 추세'로 판단할 경우 2단계로 적용하여 평가</t>
        </is>
      </c>
      <c r="P19" s="10" t="inlineStr">
        <is>
          <t>부분대응</t>
        </is>
      </c>
      <c r="Q19" s="6" t="inlineStr">
        <is>
          <t>KSSB 제2호 문단 29(4) 친환경 기회(택소노미 부합 매출) 취지 유사</t>
        </is>
      </c>
      <c r="R19" s="6" t="inlineStr">
        <is>
          <t>K-ESG 고유지표, K-Taxonomy</t>
        </is>
      </c>
      <c r="S19" s="6" t="inlineStr">
        <is>
          <t>1_2_0_업종별 K-ESG 가이드라인(v2.0) 진단항목</t>
        </is>
      </c>
      <c r="T19" s="11" t="n"/>
      <c r="U19" s="12" t="n"/>
      <c r="V19" s="12" t="n"/>
      <c r="W19" s="12" t="n"/>
      <c r="X19" s="13" t="n"/>
      <c r="Y19" s="6" t="inlineStr">
        <is>
          <t> 친환경 제품 및 서비스 인증은 1) 제품 및 서비스 자체의 친환경성을 확인, 2) 제품 및 서비스가 환경에 미치는 계량적 정보를 라벨링하는 것에 대해 공신력 있는 제3자기관으로부터 인증을 획득하거나 국내외 표준규격을 준용하여 조직이 자체적으로 선언하는 것을 포함한다. 친환경 제품 및 서비스 인증표준 및 관련 제도는 국가별, 지역별 또는 제품/서비스 유형별로 다양하게 도입되고 있어, 조직은 해당 산업 내 통용되는 친환경 제품 및 서비스 인증표준 및 관련 제도를 파악하고, 해당 인증을 획득한 제품 및 서비스가 차지하는 비율을 관리할 수 있다. - 해외 주요 인증 : ISO14021, ISO14024, ISO14025, CE Marking - 국내 주요 인증 : 환경마크,…</t>
        </is>
      </c>
      <c r="Z19" s="7" t="n"/>
      <c r="AA19" s="14" t="inlineStr">
        <is>
          <t>친환경 인증 제품 및 서비스 비율을 정량적으로 산정하여 관리·공시하고 있습니까?</t>
        </is>
      </c>
      <c r="AB19" s="14" t="inlineStr">
        <is>
          <t>단계(1~5)</t>
        </is>
      </c>
    </row>
    <row r="20">
      <c r="A20" s="5" t="n">
        <v>23</v>
      </c>
      <c r="B20" s="6" t="inlineStr">
        <is>
          <t>E-10-1</t>
        </is>
      </c>
      <c r="C20" s="7" t="inlineStr">
        <is>
          <t>기본진단항목(v2.0)</t>
        </is>
      </c>
      <c r="D20" s="8" t="inlineStr">
        <is>
          <t>환경</t>
        </is>
      </c>
      <c r="E20" s="7" t="inlineStr">
        <is>
          <t>기후변화대응</t>
        </is>
      </c>
      <c r="F20" s="6" t="inlineStr">
        <is>
          <t>기후변화 거버넌스</t>
        </is>
      </c>
      <c r="G20" s="7" t="inlineStr">
        <is>
          <t> 조직 내 기후변화 이슈에 체계적이고 효과적으로 대응할 수 있는 관리·감독(기구) 구축 여부 점검  조직 내 기후변화 대응 목표가 핵심성과지표(KPIs)에 반영되어 있는지 점검하고, 이를 통해 인센티브를 제공하고 있는지 확인</t>
        </is>
      </c>
      <c r="H20" s="7" t="inlineStr">
        <is>
          <t>‘조직별 홈페이지’ 上 지속가능성보고서, TCFD 보고서, 기후변화 대응계획, 이사회 또는 ESG위원회(지속가능경영위원회) 조직도 및 회의록</t>
        </is>
      </c>
      <c r="I20" s="7" t="inlineStr">
        <is>
          <t>직전 회계연도 기준</t>
        </is>
      </c>
      <c r="J20" s="6" t="inlineStr">
        <is>
          <t>N/A</t>
        </is>
      </c>
      <c r="K20" s="6" t="inlineStr">
        <is>
          <t>N/A</t>
        </is>
      </c>
      <c r="L20" s="9" t="inlineStr">
        <is>
          <t>단계형</t>
        </is>
      </c>
      <c r="M20" s="5" t="n">
        <v>5</v>
      </c>
      <c r="N20" s="7" t="inlineStr">
        <is>
          <t>단계형: 1단계=0점 / 2단계=25점 / 3단계=50점 / 4단계=75점 / 5단계=100점</t>
        </is>
      </c>
      <c r="O20" s="6" t="inlineStr">
        <is>
          <t>1단계 |  기후변화 문제에 대응할 수 있는 담당자(혹은 기구)가 없음 |  2단계 |  기후변화 문제에 대응하기 위한 관리자(혹은 담당부서)가 있으며, 담당부서의 KPIs에 조직의 기후변화 대응 목표가 반영되어 |  있음 |  3단계 |  기후변화 문제에 대응하기 위한 관리직(C-level) 혹은 위원회가 있으며, 관리직의 KPIs에 조직의 기후변화 대응 목표가 반영되어 |  있음 (예 : 기후/지속가능성/ESG 최고 책임자, 리스크 관리 최고 책임자(CEO 제외) 등) |  4단계 |  3단계 + 기후 관련 문제를 이사회 차원의 위원회에서 관리·감독하고 있으며, 이사회 안건으로 상정하고 있음 |  (예 : 기후/지속가능성/ESG 위원회, 리스크 관리 위원회 등) |  5단계 |  4단계 + 조직 구성원에게 기후변화 대응 목표 KPIs 달성도에 따라 인센티브를 제공하고 있음</t>
        </is>
      </c>
      <c r="P20" s="10" t="inlineStr">
        <is>
          <t>완전대응</t>
        </is>
      </c>
      <c r="Q20" s="6" t="inlineStr">
        <is>
          <t>KSSB 제2호 문단 6(1),(2) — 기후 거버넌스</t>
        </is>
      </c>
      <c r="R20" s="6" t="inlineStr">
        <is>
          <t>TCFD, GRI 2-9</t>
        </is>
      </c>
      <c r="S20" s="6" t="inlineStr">
        <is>
          <t>1_2_0_업종별 K-ESG 가이드라인(v2.0) 진단항목</t>
        </is>
      </c>
      <c r="T20" s="11" t="n"/>
      <c r="U20" s="12" t="n"/>
      <c r="V20" s="12" t="n"/>
      <c r="W20" s="12" t="n"/>
      <c r="X20" s="13" t="n"/>
      <c r="Y20" s="6" t="inlineStr">
        <is>
          <t> TCFD(Task Force on Climate-related Financial Disclosures)는 조직이 자사가 직면한 기후변화 관련 위험과 기회를 평가해야 하며 이로 인해 발생할 수 있는 기업의 재무적 영향과 비용, 미래의 기회 등을 평가하는 것을 권고하고 있다.  조직은 기후변화에 대응할 수 있도록 명확한 목표를 설정하고, 이에 대한 중장기적 계획을 수립하며 이를 지속적으로 책임질 수 있는 담당자(혹은 기구)를 지정해야 한다. 기후변화 위기 대응 거버넌스를 구축하여 보다 체계적이고 효과적으로 관련 활동 및 성과를 관리해야 한다.  기후변화 대응을 위한 조직 활동으로는 온실가스 감축, 재생에너지 확대, 산림보호, 폐기물 관리, 관련 교육 등이 있으며, 위…</t>
        </is>
      </c>
      <c r="Z20" s="7" t="n"/>
      <c r="AA20" s="14" t="inlineStr">
        <is>
          <t>기후변화 대응을 위한 이사회 감독 및 구성원 KPI 연계 체계가 있습니까?</t>
        </is>
      </c>
      <c r="AB20" s="14" t="inlineStr">
        <is>
          <t>단계(1~5)</t>
        </is>
      </c>
    </row>
    <row r="21">
      <c r="A21" s="5" t="n">
        <v>24</v>
      </c>
      <c r="B21" s="6" t="inlineStr">
        <is>
          <t>E-10-2</t>
        </is>
      </c>
      <c r="C21" s="7" t="inlineStr">
        <is>
          <t>기본진단항목(v2.0)</t>
        </is>
      </c>
      <c r="D21" s="8" t="inlineStr">
        <is>
          <t>환경</t>
        </is>
      </c>
      <c r="E21" s="7" t="inlineStr">
        <is>
          <t>기후변화대응</t>
        </is>
      </c>
      <c r="F21" s="6" t="inlineStr">
        <is>
          <t>기후변화 중장기 리스크 식별</t>
        </is>
      </c>
      <c r="G21" s="7" t="inlineStr">
        <is>
          <t> 조직이 기후변화 이슈에 대응하기 위해 경영전략에 시나리오 분석을 도입해 활용하고 있는지 확인  조직의 리스크 분석 및 경영전략의 회복탄력성을 설명하기 위해 활용된 기후변화 시나리오가 ‘전환 시나리오’와 ‘물리적 시나리오’를 포함하고 있는지 확인</t>
        </is>
      </c>
      <c r="H21" s="7" t="inlineStr">
        <is>
          <t>‘조직별 홈페이지’ 上 지속가능경영보고서, TCFD 보고서, CDP 보고서 등</t>
        </is>
      </c>
      <c r="I21" s="7" t="inlineStr">
        <is>
          <t>직전 회계연도 기준</t>
        </is>
      </c>
      <c r="J21" s="6" t="inlineStr">
        <is>
          <t>국내외 사업장 및 기타 연결실체</t>
        </is>
      </c>
      <c r="K21" s="6" t="inlineStr">
        <is>
          <t>N/A</t>
        </is>
      </c>
      <c r="L21" s="9" t="inlineStr">
        <is>
          <t>복합가중형</t>
        </is>
      </c>
      <c r="M21" s="5" t="n"/>
      <c r="N21" s="7" t="inlineStr">
        <is>
          <t>복합가중형: 2~3개 세부요소를 균등가중평균(예: 1/2+1/2, 1/3×3) — 세부 배점은 점검기준 상세 참조, 자사취득점수는 수동 산정</t>
        </is>
      </c>
      <c r="O21" s="6" t="inlineStr">
        <is>
          <t>구분1(1/2) 구분2(1/2) |  전환 시나리오 물리 시나리오 |  요건1 (50점) 전환 시나리오 1개만 적용한 경우 물리 시나리오 1개만 적용한 경우 |  요건2 (100점) 2개 이상의 전환 시나리오를 적용한 경우 2개 이상의 물리 시나리오를 적용한 경우 |  ※ 기후변화 시나리오별 분석을 수행하지 않는 경우 0점 처리</t>
        </is>
      </c>
      <c r="P21" s="10" t="inlineStr">
        <is>
          <t>완전대응</t>
        </is>
      </c>
      <c r="Q21" s="6" t="inlineStr">
        <is>
          <t>KSSB 제2호 문단 10 — 단기·중기·장기 위험/기회 식별</t>
        </is>
      </c>
      <c r="R21" s="6" t="inlineStr">
        <is>
          <t>TCFD</t>
        </is>
      </c>
      <c r="S21" s="6" t="inlineStr">
        <is>
          <t>1_2_0_업종별 K-ESG 가이드라인(v2.0) 진단항목</t>
        </is>
      </c>
      <c r="T21" s="11" t="inlineStr">
        <is>
          <t>해당없음(복합가중형)</t>
        </is>
      </c>
      <c r="U21" s="12" t="n"/>
      <c r="V21" s="12" t="n"/>
      <c r="W21" s="12" t="n"/>
      <c r="X21" s="13" t="n"/>
      <c r="Y21" s="6" t="inlineStr">
        <is>
          <t> 조직은 기후변화 시나리오를 통해 지구온난화에 따른 불확실한 미래 상황을 예측하고, 각 시나리오별 상황이 조직의 사업에 미치는 잠재적인 영향을 분석할 수 있다.  조직은 기후변화가 비즈니스, 전략 및 재무성과에 미치는 잠재적 영향력을 사전에 파악하기 위해 기후 시나리오 분석 방법을 적용해야 하며, CDP(Conference of the Parties) 권고에 따라 1.5℃ 이하 시나리오를 포함하는 다양한 기후 관련 시나리오를 고려해야 한다.  조직은 1.5℃ 이하 시나리오, 1.5℃ 초과 시나리오를 모두 적용하여 분석한 후 각 시나리오를 비교 분석해야 한다.  ‘녹색금융협의체(NGFS)’는 기후 시나리오를 기후변화 자체에 의한 물리적 손해인 ‘물리적…</t>
        </is>
      </c>
      <c r="Z21" s="7" t="n"/>
      <c r="AA21" s="14" t="inlineStr">
        <is>
          <t>기후변화 중장기 리스크 식별을 정기적으로 실시하고 있습니까?</t>
        </is>
      </c>
      <c r="AB21" s="14" t="inlineStr">
        <is>
          <t>단계(1~5)</t>
        </is>
      </c>
    </row>
    <row r="22">
      <c r="A22" s="5" t="n">
        <v>25</v>
      </c>
      <c r="B22" s="6" t="inlineStr">
        <is>
          <t>E-10-3</t>
        </is>
      </c>
      <c r="C22" s="7" t="inlineStr">
        <is>
          <t>기본진단항목(v2.0)</t>
        </is>
      </c>
      <c r="D22" s="8" t="inlineStr">
        <is>
          <t>환경</t>
        </is>
      </c>
      <c r="E22" s="7" t="inlineStr">
        <is>
          <t>기후변화대응</t>
        </is>
      </c>
      <c r="F22" s="6" t="inlineStr">
        <is>
          <t>기후변화 물리 리스크 및 대응 방안</t>
        </is>
      </c>
      <c r="G22" s="7" t="inlineStr">
        <is>
          <t> 조직이 기후변화에 따라 비즈니스 운영, 전략, 수익 또는 지출에 실질적인 변화가 발생할 가능성이 있는 리스크를 식별하고 있는지 확인  물리적 기후변화(물 부족, 홍수 등)로 인한 정량적인 재무 리스크를 추정하고 소요 비용, 대응 전략, 관련 사업기회를 모색하고 있는지 점검  조직의 상황 및 수준에 따라 본 지표의 선택적 적용을 권고</t>
        </is>
      </c>
      <c r="H22" s="7" t="inlineStr">
        <is>
          <t>‘조직별 홈페이지’ 上 지속가능경영보고서, TCFD 보고서, CDP 보고서 등</t>
        </is>
      </c>
      <c r="I22" s="7" t="inlineStr">
        <is>
          <t>직전 회계연도 기준</t>
        </is>
      </c>
      <c r="J22" s="6" t="inlineStr">
        <is>
          <t>국내외 사업장 및 기타 연결실체</t>
        </is>
      </c>
      <c r="K22" s="6" t="inlineStr">
        <is>
          <t>N/A</t>
        </is>
      </c>
      <c r="L22" s="9" t="inlineStr">
        <is>
          <t>단계형</t>
        </is>
      </c>
      <c r="M22" s="5" t="n">
        <v>5</v>
      </c>
      <c r="N22" s="7" t="inlineStr">
        <is>
          <t>단계형: 1단계=0점 / 2단계=25점 / 3단계=50점 / 4단계=75점 / 5단계=100점</t>
        </is>
      </c>
      <c r="O22" s="6" t="inlineStr">
        <is>
          <t>1단계 |  조직이 기후변화로 인한 물리 리스크를 분석하지 않는 경우 |  2단계 |  조직이 기후변화로 인한 조직 전체 차원의 물리 리스크를 식별하고 정의하는 경우 |  3단계 |  2단계 + 물리 리스크로 인한 사업 영향력을 정성적으로 측정하는 경우 |  4단계 |  3단계 +물리 리스크로 인한 사업 영향력을 정량적으로 측정하여 리스크 해소한 경우 |  5단계 |  4단계 + 물리 리스크로 인해 발생할 수 있는 리스크에 대한 새로운 사업기회를 모색하는 등 기업의 회복탄력성을 수립한 경우 |  * 4단계에서 리스크에 따른 사업 영향력을 정량적으로 측정할 경우, 재해보험의 위험 전가율(%) 등도 고려할 수 있음</t>
        </is>
      </c>
      <c r="P22" s="10" t="inlineStr">
        <is>
          <t>부분대응</t>
        </is>
      </c>
      <c r="Q22" s="6" t="inlineStr">
        <is>
          <t>KSSB 제2호 문단 22, B1~B18 — 시나리오분석·회복력(1.5℃ 등 특정 시나리오 요건은 K-ESG에 미명시)</t>
        </is>
      </c>
      <c r="R22" s="6" t="inlineStr">
        <is>
          <t>TCFD</t>
        </is>
      </c>
      <c r="S22" s="6" t="inlineStr">
        <is>
          <t>1_2_0_업종별 K-ESG 가이드라인(v2.0) 진단항목</t>
        </is>
      </c>
      <c r="T22" s="11" t="n"/>
      <c r="U22" s="12" t="n"/>
      <c r="V22" s="12" t="n"/>
      <c r="W22" s="12" t="n"/>
      <c r="X22" s="13" t="n"/>
      <c r="Y22" s="6" t="inlineStr">
        <is>
          <t> 해당 지표는 기후변화 관련 리스크 중 특히 물리 리스크를 식별하고 이를 조치하는 프로세스가 마련되어 있는지를 확인하는 항목이다.  기후변화로 인해 발생 가능한 물리적인 리스크의 비용뿐만 아니라 이를 통해 새롭게 발생할 수 있는 신기술 개발 또는 시설 구축 등과 같은 비즈니스 기회까지 포함한다.  해당 지표에서 의미하는 물리적 기후변화 리스크는 태풍, 홍수, 물 부족 등 극한의 기상 현상으로 인해 발생 가능한 사업장 및 생산시설의 손해와 같은 재무적 손실, 이를 예방하기 위한 조치 비용, 풍수해 보험 비용 등의 추정치를 포함한다.  물리 리스크는 태풍, 집중호우 등 비교적 짧은 시간에 발생하는 단기적 리스크(급성)와 해수면 상승, 평균기온 상승 등 장기적으로…</t>
        </is>
      </c>
      <c r="Z22" s="7" t="n"/>
      <c r="AA22" s="14" t="inlineStr">
        <is>
          <t>기후변화 물리 리스크 및 대응 방안을 파악하고 대응 방안을 마련하고 있습니까?</t>
        </is>
      </c>
      <c r="AB22" s="14" t="inlineStr">
        <is>
          <t>단계(1~5)</t>
        </is>
      </c>
    </row>
    <row r="23">
      <c r="A23" s="5" t="n">
        <v>26</v>
      </c>
      <c r="B23" s="6" t="inlineStr">
        <is>
          <t>E-10-4</t>
        </is>
      </c>
      <c r="C23" s="7" t="inlineStr">
        <is>
          <t>기본진단항목(v2.0)</t>
        </is>
      </c>
      <c r="D23" s="8" t="inlineStr">
        <is>
          <t>환경</t>
        </is>
      </c>
      <c r="E23" s="7" t="inlineStr">
        <is>
          <t>기후변화대응</t>
        </is>
      </c>
      <c r="F23" s="6" t="inlineStr">
        <is>
          <t>기후변화 전환 리스크 및 대응 방안</t>
        </is>
      </c>
      <c r="G23" s="7" t="inlineStr">
        <is>
          <t> 조직이 기후변화에 따라 비즈니스 운영, 전략, 수익 또는 지출에 실질적인 변화가 발생할 가능성이 있는 리스크를 식별하고 있는지 확인  기후변화 대응을 위해 규제에 따른 리스크(온실가스 배출권거래제, NDC 등) 발생 시 나타날 수 있는 정량적인 재무 리스크를 추정하고 소요 비용, 대응 전략, 관련 사업기회를 모색하고 있는지 점검  조직의 상황 및 수준에 따라 본 지표의 선택적 적용을 권고</t>
        </is>
      </c>
      <c r="H23" s="7" t="inlineStr">
        <is>
          <t>‘조직별 홈페이지’ 上 지속가능경영보고서, TCFD 보고서, CDP 보고서 등</t>
        </is>
      </c>
      <c r="I23" s="7" t="inlineStr">
        <is>
          <t>직전 회계연도 기준</t>
        </is>
      </c>
      <c r="J23" s="6" t="inlineStr">
        <is>
          <t>국내외 사업장 및 기타 연결실체</t>
        </is>
      </c>
      <c r="K23" s="6" t="inlineStr">
        <is>
          <t>N/A</t>
        </is>
      </c>
      <c r="L23" s="9" t="inlineStr">
        <is>
          <t>단계형</t>
        </is>
      </c>
      <c r="M23" s="5" t="n">
        <v>5</v>
      </c>
      <c r="N23" s="7" t="inlineStr">
        <is>
          <t>단계형: 1단계=0점 / 2단계=25점 / 3단계=50점 / 4단계=75점 / 5단계=100점</t>
        </is>
      </c>
      <c r="O23" s="6" t="inlineStr">
        <is>
          <t>1단계 |  조직이 기후변화로 인한 전환 리스크를 분석하지 않는 경우 |  2단계 |  조직이 기후변화로 인한 조직 전체 차원의 전환 리스크를 식별하고 정의하는 경우 |  3단계 |  2단계 + 전환 리스크로 인한 사업 영향력을 정량적으로 측정하는 경우 |  4단계 |  3단계+ 전환리스크로인한사업영향력을사업장별로측정해리스크해소에드는예상비용, 예상평균소요기간 등을분석하는경우 |  5단계 |  4단계 + 전환 리스크로 인해 발생할 수 있는 새로운 사업 기회를 모색하고 수립한 경우</t>
        </is>
      </c>
      <c r="P23" s="10" t="inlineStr">
        <is>
          <t>부분대응</t>
        </is>
      </c>
      <c r="Q23" s="6" t="inlineStr">
        <is>
          <t>KSSB 제2호 문단 22, B1~B18 — 전환위험 시나리오분석(정량 재무영향 산정은 K-ESG에 미요구)</t>
        </is>
      </c>
      <c r="R23" s="6" t="inlineStr">
        <is>
          <t>TCFD</t>
        </is>
      </c>
      <c r="S23" s="6" t="inlineStr">
        <is>
          <t>1_2_0_업종별 K-ESG 가이드라인(v2.0) 진단항목</t>
        </is>
      </c>
      <c r="T23" s="11" t="n"/>
      <c r="U23" s="12" t="n"/>
      <c r="V23" s="12" t="n"/>
      <c r="W23" s="12" t="n"/>
      <c r="X23" s="13" t="n"/>
      <c r="Y23" s="6" t="inlineStr">
        <is>
          <t> 해당 지표는 기후변화 관련 리스크 중 특히 기후변화를 해결하기 위한 규제 등을 이행 시 발생할 수 있는 전환적 리스크를 식별하고 이를 조치하는 프로세스가 마련되어 있는지를 확인하는 항목이다.  기후변화로 인해 발생 가능한 전환 리스크는 기후변화와 관련된 정책, 법률, 기술 및 시장 변화 등 광범위한 분야에 걸쳐 존재하며 이는 변화의 특성, 속도에 따라 조직의 재무 및 조직에 대한 소비자 평판 등에 영향을 줄 수 있다.  파리협정 장기 온도목표 달성을 위해 각 국가가 자발적으로 제출한 온실가스 감축 목표제(NDC) 이행에 필요한 배출권거래제, 연비규제, 에너지 관련 법안 등 정책적 리스크가 이에 포함된다.  TCFD는 조직에 잠재적인 영향을 미칠 수 있는 전환…</t>
        </is>
      </c>
      <c r="Z23" s="7" t="n"/>
      <c r="AA23" s="14" t="inlineStr">
        <is>
          <t>기후변화 전환 리스크 및 대응 방안을 파악하고 대응 방안을 마련하고 있습니까?</t>
        </is>
      </c>
      <c r="AB23" s="14" t="inlineStr">
        <is>
          <t>단계(1~5)</t>
        </is>
      </c>
    </row>
    <row r="24">
      <c r="A24" s="5" t="n">
        <v>27</v>
      </c>
      <c r="B24" s="6" t="inlineStr">
        <is>
          <t>E-10-5</t>
        </is>
      </c>
      <c r="C24" s="7" t="inlineStr">
        <is>
          <t>기본진단항목(v2.0)</t>
        </is>
      </c>
      <c r="D24" s="8" t="inlineStr">
        <is>
          <t>환경</t>
        </is>
      </c>
      <c r="E24" s="7" t="inlineStr">
        <is>
          <t>기후변화대응</t>
        </is>
      </c>
      <c r="F24" s="6" t="inlineStr">
        <is>
          <t>온실가스 배출량 감축 선언</t>
        </is>
      </c>
      <c r="G24" s="7" t="inlineStr">
        <is>
          <t> 국가온실가스감축목표(NDC)에 따른 국내 2030년 온실가스 감축 목표(2018년 수준 대비 40% 감축)를 고려하여, 조직이 온실가스 배출량 감축 목표를 설정하고 있는지 여부 확인</t>
        </is>
      </c>
      <c r="H24" s="7" t="inlineStr">
        <is>
          <t>‘조직별 홈페이지’ 上 지속가능경영보고서, TCFD 보고서, CDP 보고서, Net-zero선언문, 기타 기후관련 이니셔티브 가입 선언 등</t>
        </is>
      </c>
      <c r="I24" s="7" t="inlineStr">
        <is>
          <t>직전 회계연도 기준</t>
        </is>
      </c>
      <c r="J24" s="6" t="inlineStr">
        <is>
          <t>국내외 사업장 및 기타 연결실체</t>
        </is>
      </c>
      <c r="K24" s="6" t="inlineStr">
        <is>
          <t>(구분1 + 구분2) * 1/2</t>
        </is>
      </c>
      <c r="L24" s="9" t="inlineStr">
        <is>
          <t>복합가중형</t>
        </is>
      </c>
      <c r="M24" s="5" t="n"/>
      <c r="N24" s="7" t="inlineStr">
        <is>
          <t>복합가중형: 2~3개 세부요소를 균등가중평균(예: 1/2+1/2, 1/3×3) — 세부 배점은 점검기준 상세 참조, 자사취득점수는 수동 산정</t>
        </is>
      </c>
      <c r="O24" s="6" t="inlineStr">
        <is>
          <t>구분1(1/2) 구분2(1/2) |  조직이 온실가스 배출 감축 선언(Commitment)을 조직이 사업장 내에서 배출하는 온실가스 배출량에 |  요건1 |  하고 이를 공개하는 경우 대해 파악하고 있는 경우 |  조직이 온실가스 배출량 감축을 위한 기준연도와 조직이 공급망에서 배출하는 온실가스 배출량을 |  요건2 |  목표연도, 감축 범위를 설정한 경우 관리하고 있는 경우 |  조직이 온실가스 배출량 감축을 위해 중간목표를 Scope1, 2 영역의 구체적인 온실가스 감축 |  요건3 |  포함한 중장기 로드맵을 가지고 있는 경우 프로그램을 이행하는 경우 |  조직이 온실가스 배출량 감축을 위한 구체적인 감축 Scope3 영역을 포함한 구체적인 온실가스 감축 |  요건4 |  계획을 수립한 경우 프로그램을 이행하는 경우 |  조직의 온실가스 감축 목표를 SBTi 등 과학적 기반으로 탄소제거 인증 프레임워크에 따라 인증된 탄소배출 |  요건5 |  검증받고 있는 경우 상쇄(Carbon offset) 계획을 수립한 경우 |  ※ 온실가스 배출 감축선언을 하지 않은 경우, 사업장 내 온실가스 배출량을 관리하지 않는 경우 0점 처리</t>
        </is>
      </c>
      <c r="P24" s="10" t="inlineStr">
        <is>
          <t>완전대응</t>
        </is>
      </c>
      <c r="Q24" s="6" t="inlineStr">
        <is>
          <t>KSSB 제2호 문단 33~36 — 감축목표·SBTi 정합</t>
        </is>
      </c>
      <c r="R24" s="6" t="inlineStr">
        <is>
          <t>GRI 305-5, SBTi</t>
        </is>
      </c>
      <c r="S24" s="6" t="inlineStr">
        <is>
          <t>1_2_0_업종별 K-ESG 가이드라인(v2.0) 진단항목</t>
        </is>
      </c>
      <c r="T24" s="11" t="inlineStr">
        <is>
          <t>해당없음(복합가중형)</t>
        </is>
      </c>
      <c r="U24" s="12" t="n"/>
      <c r="V24" s="12" t="n"/>
      <c r="W24" s="12" t="n"/>
      <c r="X24" s="13" t="n"/>
      <c r="Y24" s="6" t="inlineStr">
        <is>
          <t> 본 항목은 조직이 온실가스 배출량 감축 목표 설정 및 이를 공약하는지 여부와 이를 달성하기 위해 어떤 활동을 하고 있는지를 점검한다.  파리 협약에 따라 조직은 산업화 이전 수준보다 지구 온도 상승을 1.5°C로 제한한다는 목표에 맞게 비즈니스 활동 조정 등 온실가스 배출 감축을 위한 노력을 다해야 한다.  조직의 온실가스 배출 감소 전략은 사업장 내, 혹은 공급망에 이르기까지, Scope1,2 및 Scope3를 관리 할 수 있으며, 탄소 배출량 ‘0’ 또는 1.5°C 조정 경로에서 순배출량 ‘0’에 도달하는 것과 일치하는 수준으로 달성 목표를 설정하여야 한다.  조직의 온실가스 배출량 감축 목표연도는 파리협약에 따른 2050년 혹은 그 이전으로 설정해야 하며,…</t>
        </is>
      </c>
      <c r="Z24" s="7" t="n"/>
      <c r="AA24" s="14" t="inlineStr">
        <is>
          <t>온실가스 배출량 감축 선언을 대내외에 공식적으로 선언·발표하였습니까?</t>
        </is>
      </c>
      <c r="AB24" s="14" t="inlineStr">
        <is>
          <t>단계(1~5)</t>
        </is>
      </c>
    </row>
    <row r="25">
      <c r="A25" s="5" t="n">
        <v>28</v>
      </c>
      <c r="B25" s="6" t="inlineStr">
        <is>
          <t>E-11-1</t>
        </is>
      </c>
      <c r="C25" s="7" t="inlineStr">
        <is>
          <t>기본진단항목(v2.0)</t>
        </is>
      </c>
      <c r="D25" s="8" t="inlineStr">
        <is>
          <t>환경</t>
        </is>
      </c>
      <c r="E25" s="7" t="inlineStr">
        <is>
          <t>생물다양성</t>
        </is>
      </c>
      <c r="F25" s="6" t="inlineStr">
        <is>
          <t>자연자본 식별</t>
        </is>
      </c>
      <c r="G25" s="7" t="inlineStr">
        <is>
          <t> 조직이 자체적으로 사업이 환경에 미치는 부정적 영향을 제거하거나 최소화하기 위해 사전에 자연자본을 분석 및 검토하고 있는지 확인  자연자본을 식별하는 활동을 바탕으로 특정 생물종 및 개체수에 미치는 영향을 파악하고 있는지 점검  조직의 평가 및 이행점검 체계 구축 수준에 따라 본 지표의 선택적 적용을 권고</t>
        </is>
      </c>
      <c r="H25" s="7" t="inlineStr">
        <is>
          <t>‘조직별 홈페이지’ 上 지속가능경영보고서, TNFD 보고서 등</t>
        </is>
      </c>
      <c r="I25" s="7" t="inlineStr">
        <is>
          <t>직전 회계연도 기준</t>
        </is>
      </c>
      <c r="J25" s="6" t="inlineStr">
        <is>
          <t>N/A</t>
        </is>
      </c>
      <c r="K25" s="6" t="inlineStr">
        <is>
          <t>N/A</t>
        </is>
      </c>
      <c r="L25" s="9" t="inlineStr">
        <is>
          <t>단계형</t>
        </is>
      </c>
      <c r="M25" s="5" t="n">
        <v>5</v>
      </c>
      <c r="N25" s="7" t="inlineStr">
        <is>
          <t>단계형: 1단계=0점 / 2단계=25점 / 3단계=50점 / 4단계=75점 / 5단계=100점</t>
        </is>
      </c>
      <c r="O25" s="6" t="inlineStr">
        <is>
          <t>1단계 |  조직이 위치한 사업장의 자연자본을 식별하고 있지 않은 경우 |  2단계 |  조직이 위치한 사업장의 자연자본을 식별할 계획을 수립한 경우 |  3단계 |  조직이 위치한 일부 사업장의 자연자본을 식별하고 있는 경우 |  4단계 |  조직이 위치한 전체 사업장의 자연자본을 식별하고 있는 경우 |  5단계 |  대외적으로 식별된 자연자본을 공개하고 있는 경우</t>
        </is>
      </c>
      <c r="P25" s="10" t="inlineStr">
        <is>
          <t>부분대응</t>
        </is>
      </c>
      <c r="Q25" s="6" t="inlineStr">
        <is>
          <t>KSSB 제1호 문단 IG26~IG27(예시지침, 생물다양성은 별도 기준서 미제정)</t>
        </is>
      </c>
      <c r="R25" s="6" t="inlineStr">
        <is>
          <t>TNFD 권고안, GRI 304</t>
        </is>
      </c>
      <c r="S25" s="6" t="inlineStr">
        <is>
          <t>1_2_0_업종별 K-ESG 가이드라인(v2.0) 진단항목</t>
        </is>
      </c>
      <c r="T25" s="11" t="n"/>
      <c r="U25" s="12" t="n"/>
      <c r="V25" s="12" t="n"/>
      <c r="W25" s="12" t="n"/>
      <c r="X25" s="13" t="n"/>
      <c r="Y25" s="6" t="inlineStr">
        <is>
          <t> 자연자본은 인류에게 상품 및 서비스를 제공하는 식물, 동물, 대기, 물, 토양, 광물 등의 모든 유형자원을 포괄하는 개념으로 자연환경 요소로 구성된 자본 또는 자산(Stock)을 의미한다. 이는 사회와 기업이 기능하기 위해 자연자본에 어떻게 의존하는지를 경제적 관점으로 바라보는 것을 의미한다.  자연자본의 필수 구성 요소 중 하나인 생물다양성은 유전적, 종적 그리고 생태계 수준에서 살아있는 모든 유기체들의 다양성을 의미한다. 특히, 세계자연기금(WWF)은 2022년 지구생명 보고서(Living Planet Report)에서 전세계 포유류, 조류, 어류 등의 변화를 추적하는 지표인 지구생명지수(LPI)를 통해 지난 50년간 야생동물 개체군 규모가 69% 감소했다고…</t>
        </is>
      </c>
      <c r="Z25" s="7" t="n"/>
      <c r="AA25" s="14" t="inlineStr">
        <is>
          <t>자연환경 자산, 멸종위기종 노출 리스크 등을 식별/공개합니까?</t>
        </is>
      </c>
      <c r="AB25" s="14" t="inlineStr">
        <is>
          <t>단계(1~5)</t>
        </is>
      </c>
    </row>
    <row r="26">
      <c r="A26" s="5" t="n">
        <v>29</v>
      </c>
      <c r="B26" s="6" t="inlineStr">
        <is>
          <t>E-11-2</t>
        </is>
      </c>
      <c r="C26" s="7" t="inlineStr">
        <is>
          <t>기본진단항목(v2.0)</t>
        </is>
      </c>
      <c r="D26" s="8" t="inlineStr">
        <is>
          <t>환경</t>
        </is>
      </c>
      <c r="E26" s="7" t="inlineStr">
        <is>
          <t>생물다양성</t>
        </is>
      </c>
      <c r="F26" s="6" t="inlineStr">
        <is>
          <t>생물다양성 보존 전략</t>
        </is>
      </c>
      <c r="G26" s="7" t="inlineStr">
        <is>
          <t> 조직의 사업 운영 전반에서 발생 가능한 생물다양성 관련 리스크를 점검하고, 지역사회의 생물다양성을 보전, 복원, 확대하기 위한 조직의 접근 방식 확인  조직의 생물다양성 분야 단기/중장기 목표 및 생물다양성 보전, 복원, 확대를 위한 계획의 구체성과 내재화 수준 점검</t>
        </is>
      </c>
      <c r="H26" s="7" t="inlineStr">
        <is>
          <t>생물다양성 보호 접근 방식</t>
        </is>
      </c>
      <c r="I26" s="7" t="inlineStr">
        <is>
          <t>직전 회계연도 기준</t>
        </is>
      </c>
      <c r="J26" s="6" t="inlineStr">
        <is>
          <t>N/A</t>
        </is>
      </c>
      <c r="K26" s="6" t="inlineStr">
        <is>
          <t>N/A</t>
        </is>
      </c>
      <c r="L26" s="9" t="inlineStr">
        <is>
          <t>선택형</t>
        </is>
      </c>
      <c r="M26" s="5" t="n">
        <v>5</v>
      </c>
      <c r="N26" s="7" t="inlineStr">
        <is>
          <t>선택형: 요건1=0점 / 요건2=25점 / 요건3=50점 / 요건4=75점 / 요건5=100점</t>
        </is>
      </c>
      <c r="O26" s="6" t="inlineStr">
        <is>
          <t>분류 접근방식 |  - 생물다양성 영향이 높은 지역 내 사업장 신축, 증설 제한 또는 보류 |  요건1 회피(Avoid) |  - 부정적 영향이 확인된 경우, 이를 상쇄하기까지 제한적 운영 |  - 대기, 수질, 토양 오염물질 배출을 제거 및 최소화하도록 설비 투자 |  요건2 저감(Reduce) |  - 환경오염물질 저감 기술 개발 |  - 사업장 주변 또는 인근 지역의 감소 또는 멸종된 생물종, 개체수 증진 |  요건3 복원(Restore) |  - 생물종 및 개체수 유지·복원을 위한 (대체)서식지 조성 노력 |  - 사업장 주변 이외 자연·생물 자본 증진 및 생산성 향상에 기여 |  요건4 재생(Regenerate) |  - 산림, 해양, 토양 환경 개선을 통한 생물종 및 개체수 증대 유도 |  - 생물다양성에 영향이 없도록 사업장 또는 주변 지형 구조적 개선 |  요건5 변경(Transform) |  - 부정적 환경영향 개선을 위한 정책 입안 참여 및 산업계 협력</t>
        </is>
      </c>
      <c r="P26" s="10" t="inlineStr">
        <is>
          <t>부분대응</t>
        </is>
      </c>
      <c r="Q26" s="6" t="inlineStr">
        <is>
          <t>KSSB 생물다양성 별도 기준서 미제정</t>
        </is>
      </c>
      <c r="R26" s="6" t="inlineStr">
        <is>
          <t>TNFD, GRI 304</t>
        </is>
      </c>
      <c r="S26" s="6" t="inlineStr">
        <is>
          <t>1_2_0_업종별 K-ESG 가이드라인(v2.0) 진단항목</t>
        </is>
      </c>
      <c r="T26" s="11" t="n"/>
      <c r="U26" s="12" t="n"/>
      <c r="V26" s="12" t="n"/>
      <c r="W26" s="12" t="n"/>
      <c r="X26" s="13" t="n"/>
      <c r="Y26" s="6" t="inlineStr">
        <is>
          <t> TNFD(Task force on Nature-related Financial Disclosures)는 조직이 생물다양성 감소, 자연파괴, 자연재해 등 자연의 변화로 인해 겪을 수 있는 금융적 리스크를 점검 및 평가하고, 이를 고객, 투자자 등 이해관계자들에게 투명하게 보고하도록 요구하고 있다.  조직은 사업 운영 전반에서 발생할 수 있는 생물다양성 저해 및 손실 리스크를 점검하고, 지역사회의 생물다양성 보전, 복원, 확대를 위해 노력해야 한다.  조직은 사업장 및 인근 지역의 생물다양성 보전, 복원, 확대를 위해 다음과 같은 접근방식을 취할 수 있으며 해당 접근방식에 기초해 생물다양성 분야에서 단기/중장기 목표를 구체적으로 수립해야 한다. ; 1)…</t>
        </is>
      </c>
      <c r="Z26" s="7" t="n"/>
      <c r="AA26" s="14" t="inlineStr">
        <is>
          <t>회피/저감/복원/재생/변경의 생물다양성 보호 전략을 실천합니까?</t>
        </is>
      </c>
      <c r="AB26" s="14" t="inlineStr">
        <is>
          <t>단계(1~5)</t>
        </is>
      </c>
    </row>
    <row r="27">
      <c r="A27" s="5" t="n">
        <v>30</v>
      </c>
      <c r="B27" s="6" t="inlineStr">
        <is>
          <t>E-11-3</t>
        </is>
      </c>
      <c r="C27" s="7" t="inlineStr">
        <is>
          <t>기본진단항목(v2.0)</t>
        </is>
      </c>
      <c r="D27" s="8" t="inlineStr">
        <is>
          <t>환경</t>
        </is>
      </c>
      <c r="E27" s="7" t="inlineStr">
        <is>
          <t>생물다양성</t>
        </is>
      </c>
      <c r="F27" s="6" t="inlineStr">
        <is>
          <t>산림보호 활동</t>
        </is>
      </c>
      <c r="G27" s="7" t="inlineStr">
        <is>
          <t> 조직의 사업 운영 전반에서 발생 가능한 산림파괴를 예방하고 지역사회의 산림을 보호하기 위한 조직의 접근 방식 확인  조직이 이행하고 있는 산림보호 단기/중장기 목표와 산림보호 및 복원을 위한 계획에 대한 구체성 및 내재화 수준 점검  조직별 사업 연관성에 따라 본 지표의 선택적 적용을 권고</t>
        </is>
      </c>
      <c r="H27" s="7" t="inlineStr">
        <is>
          <t>산림보호 활동 관련 자료</t>
        </is>
      </c>
      <c r="I27" s="7" t="inlineStr">
        <is>
          <t>직전 회계연도 기준</t>
        </is>
      </c>
      <c r="J27" s="6" t="inlineStr">
        <is>
          <t>N/A</t>
        </is>
      </c>
      <c r="K27" s="6" t="inlineStr">
        <is>
          <t>N/A</t>
        </is>
      </c>
      <c r="L27" s="9" t="inlineStr">
        <is>
          <t>선택형</t>
        </is>
      </c>
      <c r="M27" s="5" t="n">
        <v>5</v>
      </c>
      <c r="N27" s="7" t="inlineStr">
        <is>
          <t>선택형: 요건1=0점 / 요건2=25점 / 요건3=50점 / 요건4=75점 / 요건5=100점</t>
        </is>
      </c>
      <c r="O27" s="6" t="inlineStr">
        <is>
          <t>요건1 |  산림보호 혹은 산림파괴 예방 정책을 수립한 경우 |  (사업 운영 전반에서 발생하는 산림파괴 리스크 관리 및 산림파괴 예방 등) |  요건2 |  사업 활동으로 인해 영향을 받는 지역을 조사하고 주요 보호지역을 정의한 경우 |  (산림이 제공하는 경관 및 지형학/지질학적 특성, 산림에 서식하는 생물다양성 등) |  요건3 |  산림보호를 위해 전사 차원의 목표를 수립한 경우 |  (산림파괴 없는 사업 운영 구조 완성, 탄소상쇄 활동(REDD+ 등)에 대한 성과개선 목표 설정 등) |  요건4 |  산림보호를 위한 단기/중장기 목표 수립 및 연도별 이행 현황을 파악하고 있는 경우 |  (중장기 산림 보호-복원-확대 목표 이행 현황 및 목표 대비 이행률 점검 등) |  요건5 |  산림보호를 위해 이해관계자로부터 의견을 수렴하고 관련 성과를 공유하는 경우 |  (산림 보호 활동 및 성과 공유, 외부 전문기관 및 비영리기관 등과 협력체계 구축 등)</t>
        </is>
      </c>
      <c r="P27" s="10" t="inlineStr">
        <is>
          <t>GAP(대응지표 없음)</t>
        </is>
      </c>
      <c r="Q27" s="6" t="inlineStr">
        <is>
          <t>KSSB 생물다양성 별도 기준서 미제정</t>
        </is>
      </c>
      <c r="R27" s="6" t="inlineStr">
        <is>
          <t>GRI 304</t>
        </is>
      </c>
      <c r="S27" s="6" t="inlineStr">
        <is>
          <t>1_2_0_업종별 K-ESG 가이드라인(v2.0) 진단항목</t>
        </is>
      </c>
      <c r="T27" s="11" t="n"/>
      <c r="U27" s="12" t="n"/>
      <c r="V27" s="12" t="n"/>
      <c r="W27" s="12" t="n"/>
      <c r="X27" s="13" t="n"/>
      <c r="Y27" s="6" t="inlineStr">
        <is>
          <t> 조직은 산림보호 활동을 통해 사업장 및 인근 지역의 녹지면적을 유지/보호할 뿐만 아니라 지역사회 산림 전용 및 황폐화 방지, 산림 보전, 산림 탄소 흡수량 증진에 기여해야 한다.  조직은 산림보호 및 산림파괴 예방을 위해 아래와 같은 활동을 추진할 수 있다. ; 1) 산림보호 또는 산림파괴 예방정책을 수립해 사업 운영 전반에서 발생 가능한 산림파괴를 예방하고, 공급업체 및 협력사 등 거래관계에 있는 이해관계자에게 해당 정책을 따를 것을 권장한다. 2) 산림이 제공하는 경관 및 지형학/지질학적 특성, 산림에 서식하는 생물다양성의 구성/역할/잠재력, 기타 산림의 역사적/문화적/과학적/교육적 중요성을 종합적으로 고려해 주요 보호지역을 정의한다. 이때, 보호지역은…</t>
        </is>
      </c>
      <c r="Z27" s="7" t="n"/>
      <c r="AA27" s="14" t="inlineStr">
        <is>
          <t>산림파괴 리스크 관리 및 탄소상쇄(REDD+) 목표/실적이 있습니까?</t>
        </is>
      </c>
      <c r="AB27" s="14" t="inlineStr">
        <is>
          <t>단계(1~5)</t>
        </is>
      </c>
    </row>
    <row r="28">
      <c r="A28" s="5" t="n">
        <v>70</v>
      </c>
      <c r="B28" s="6" t="inlineStr">
        <is>
          <t>E-기후변화 대응-추가1</t>
        </is>
      </c>
      <c r="C28" s="7" t="inlineStr">
        <is>
          <t>추가진단항목(v2.0)</t>
        </is>
      </c>
      <c r="D28" s="8" t="inlineStr">
        <is>
          <t>환경</t>
        </is>
      </c>
      <c r="E28" s="7" t="inlineStr">
        <is>
          <t>기후변화대응</t>
        </is>
      </c>
      <c r="F28" s="6" t="inlineStr">
        <is>
          <t>산림탄소흡수량</t>
        </is>
      </c>
      <c r="G28" s="7" t="inlineStr">
        <is>
          <t> 조직의 탄소배출을 상쇄하기 위한 목적으로 신규조림, 재조림, 산림경영, 식생복구, 목제품 이용, 산림 바이오매스 이용, 산림 전용 및 산림황폐화 방지 활동(REDD+ 등) 등 산림을 통해 탄소 흡수량을 획득하는 수준을 확인</t>
        </is>
      </c>
      <c r="H28" s="7" t="inlineStr">
        <is>
          <t>산림탄소흡수량 공시 여부, 연도별 산림탄소흡수량 산출 현황 (사업보고서, 홈페이지, 산림탄소흡수량 모니터링 및 검증 보고서)</t>
        </is>
      </c>
      <c r="I28" s="7" t="inlineStr">
        <is>
          <t>최근 4개년 (회계연도 기준)</t>
        </is>
      </c>
      <c r="J28" s="6" t="inlineStr">
        <is>
          <t>국내, 해외 지점 포함</t>
        </is>
      </c>
      <c r="K28" s="6" t="inlineStr">
        <is>
          <t>N/A</t>
        </is>
      </c>
      <c r="L28" s="9" t="inlineStr">
        <is>
          <t>단계형</t>
        </is>
      </c>
      <c r="M28" s="5" t="n">
        <v>5</v>
      </c>
      <c r="N28" s="7" t="inlineStr">
        <is>
          <t>단계형: 1단계=0점 / 2단계=25점 / 3단계=50점 / 4단계=75점 / 5단계=100점</t>
        </is>
      </c>
      <c r="O28" s="6" t="inlineStr">
        <is>
          <t>&lt;산림탄소흡수량 산출 기준&gt; |  (a) 산림바이오매스 탄소흡수량 tC |  (b) 고사유기물 및 산림토양의 탄소저장변화량 (선택) tC |  (c) 총 탄소흡수량 (c=a+b) tC |  (d) 베이스라인 흡수량 tC |  (e) 사업활동에 따른 배출량 tCO2 |  (f) 누출량 tCO2 |  (g) t 기간 년 |  (h) 이산화탄소 순흡수량 (h=g/100*(c-d)*44/12-e-f) tCO2 |  1단계 |  과거 4년간 산림탄소흡수량 정보 없음 |  2단계 |  과거 4년간 산림탄소흡수량 공시 |  3단계 |  과거 4년간 자사 배출량 대비 산림탄소흡수 상쇄량 하락 추세 |  4단계 |  과거 4년간 자사 배출량 대비 산림탄소흡수 상쇄량 상승 추세 |  5단계 |  과거 4년간 자사 배출량 대비 산림탄소흡수 상쇄량 매년 상승 추세 |  * 3개년 이하 데이터 보유 시 해당 데이터로 추세 산정</t>
        </is>
      </c>
      <c r="P28" s="10" t="inlineStr">
        <is>
          <t>GAP(대응지표 없음)</t>
        </is>
      </c>
      <c r="Q28" s="6" t="inlineStr">
        <is>
          <t>KSSB 산림탄소흡수 별도 규정 없음</t>
        </is>
      </c>
      <c r="R28" s="6" t="inlineStr">
        <is>
          <t>GRI 304, TNFD</t>
        </is>
      </c>
      <c r="S28" s="6" t="inlineStr">
        <is>
          <t>K-ESG 가이드라인 v2.0 (추가 진단항목, 3장)</t>
        </is>
      </c>
      <c r="T28" s="11" t="n"/>
      <c r="U28" s="12" t="n"/>
      <c r="V28" s="12" t="n"/>
      <c r="W28" s="12" t="n"/>
      <c r="X28" s="13" t="n"/>
      <c r="Y28" s="6" t="inlineStr">
        <is>
          <t>&lt;산림탄소흡수량 산출 기준&gt;
 (a) 산림바이오매스 탄소흡수량 tC
 (b) 고사유기물 및 산림토양의 탄소저장변화량 (선택) tC
 (c) 총 탄소흡수량 (c=a+b) tC
 (d) 베이스라인 흡수량 tC
 (e) 사업활동에 따른 배출량 tCO2
 (f) 누출량 tCO2
 (g) t 기간 년
 (h) 이산화탄소 순흡수량 (h=g/100*(c-d)*44/12-e-f) tCO2
 1단계
 과거 4년간 산림탄소흡수량 정보 없음
 2단계
 과거 4년간 산림탄소흡수량 공시
 3단계
 과거 4년간 자사 배출량 대비 산림탄소흡수 상쇄량 하락…</t>
        </is>
      </c>
      <c r="Z28" s="7" t="n"/>
      <c r="AA28" s="14" t="inlineStr">
        <is>
          <t>산림탄소흡수량에 대한 현황을 관리·공시하고 있습니까?</t>
        </is>
      </c>
      <c r="AB28" s="14" t="inlineStr">
        <is>
          <t>단계(1~5)</t>
        </is>
      </c>
    </row>
    <row r="29">
      <c r="A29" s="5" t="n">
        <v>71</v>
      </c>
      <c r="B29" s="6" t="inlineStr">
        <is>
          <t>E-기후변화 대응-추가2</t>
        </is>
      </c>
      <c r="C29" s="7" t="inlineStr">
        <is>
          <t>추가진단항목(v2.0)</t>
        </is>
      </c>
      <c r="D29" s="8" t="inlineStr">
        <is>
          <t>환경</t>
        </is>
      </c>
      <c r="E29" s="7" t="inlineStr">
        <is>
          <t>기후변화대응</t>
        </is>
      </c>
      <c r="F29" s="6" t="inlineStr">
        <is>
          <t>친환경 차량 보유 비율</t>
        </is>
      </c>
      <c r="G29" s="7" t="inlineStr">
        <is>
          <t> 조직이 국가온실가스감축목표(NDC) 등 온실가스 배출량 감축 목표에 따라, 운송 부문에서 실질적인 감축 활동을 추진하고 있는지 확인  온실가스배출량감축을위해, 조직소유의기존내연기관운송차량을온실가스배출량이낮은친환경운송차량으로전환하는지의 노력을 측정</t>
        </is>
      </c>
      <c r="H29" s="7" t="inlineStr">
        <is>
          <t>‘조직별 홈페이지’ 上 지속가능경영보고서 내 ‘친환경 차량 보유 비율’</t>
        </is>
      </c>
      <c r="I29" s="7" t="inlineStr">
        <is>
          <t>최근 회계연도</t>
        </is>
      </c>
      <c r="J29" s="6" t="inlineStr">
        <is>
          <t>N/A</t>
        </is>
      </c>
      <c r="K29" s="6" t="inlineStr">
        <is>
          <t>친환경 차량 보유 비율 = 직전 회계년도 기준 조직 내 보유한 친환경 차량 수 / 직전 회계연도 기준 조직 내 보유한 전체 차량 수</t>
        </is>
      </c>
      <c r="L29" s="9" t="inlineStr">
        <is>
          <t>단계형</t>
        </is>
      </c>
      <c r="M29" s="5" t="n">
        <v>5</v>
      </c>
      <c r="N29" s="7" t="inlineStr">
        <is>
          <t>단계형: 1단계=0점 / 2단계=25점 / 3단계=50점 / 4단계=75점 / 5단계=100점</t>
        </is>
      </c>
      <c r="O29" s="6" t="inlineStr">
        <is>
          <t>1단계 |  조직 내 친환경 차량의 보유 비율 0% ~ 20% |  2단계 |  조직 내 친환경 차량의 보유 비율 21% ~ 40% 이내 |  3단계 |  조직 내 친환경 차량의 보유 비율 41% ~ 60% 이내 |  4단계 |  조직 내 친환경 차량의 보유 비율 61% ~ 80% 이내 |  5단계 |  조직 내 친환경 차량의 보유 비율 81% ~ 100% 이내</t>
        </is>
      </c>
      <c r="P29" s="10" t="inlineStr">
        <is>
          <t>부분대응</t>
        </is>
      </c>
      <c r="Q29" s="6" t="inlineStr">
        <is>
          <t>KSSB 제2호 문단 29(5) 자본배치 취지 준용</t>
        </is>
      </c>
      <c r="R29" s="6" t="inlineStr">
        <is>
          <t>GRI 305-5</t>
        </is>
      </c>
      <c r="S29" s="6" t="inlineStr">
        <is>
          <t>K-ESG 가이드라인 v2.0 (추가 진단항목, 3장)</t>
        </is>
      </c>
      <c r="T29" s="11" t="n"/>
      <c r="U29" s="12" t="n"/>
      <c r="V29" s="12" t="n"/>
      <c r="W29" s="12" t="n"/>
      <c r="X29" s="13" t="n"/>
      <c r="Y29" s="6" t="inlineStr">
        <is>
          <t>1단계
 조직 내 친환경 차량의 보유 비율 0% ~ 20%
 2단계
 조직 내 친환경 차량의 보유 비율 21% ~ 40% 이내
 3단계
 조직 내 친환경 차량의 보유 비율 41% ~ 60% 이내
 4단계
 조직 내 친환경 차량의 보유 비율 61% ~ 80% 이내
 5단계
 조직 내 친환경 차량의 보유 비율 81% ~ 100% 이내</t>
        </is>
      </c>
      <c r="Z29" s="7" t="n"/>
      <c r="AA29" s="14" t="inlineStr">
        <is>
          <t>친환경 차량 보유 비율을 정량적으로 산정하여 관리·공시하고 있습니까?</t>
        </is>
      </c>
      <c r="AB29" s="14" t="inlineStr">
        <is>
          <t>단계(1~5)</t>
        </is>
      </c>
    </row>
  </sheetData>
  <mergeCells count="1">
    <mergeCell ref="A1:A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3"/>
  <sheetViews>
    <sheetView workbookViewId="0">
      <pane ySplit="267" topLeftCell="A268" activePane="bottomLeft" state="frozen"/>
      <selection pane="bottomLeft" activeCell="A1" sqref="A1"/>
    </sheetView>
  </sheetViews>
  <sheetFormatPr baseColWidth="8" defaultRowHeight="15"/>
  <cols>
    <col width="16" customWidth="1" min="1" max="1"/>
    <col width="28" customWidth="1" min="2" max="2"/>
    <col width="9" customWidth="1" min="3" max="3"/>
    <col width="10" customWidth="1" min="4" max="4"/>
    <col width="8" customWidth="1" min="5" max="5"/>
    <col width="80" customWidth="1" min="6" max="6"/>
  </cols>
  <sheetData>
    <row r="1">
      <c r="A1" s="1" t="inlineStr">
        <is>
          <t>[분리본: E(환경)] 원본 02시트를 분류코드 기준으로 재분류한 파일입니다.</t>
        </is>
      </c>
    </row>
    <row r="2" ht="21.75" customHeight="1">
      <c r="A2" s="3" t="inlineStr">
        <is>
          <t>분류코드</t>
        </is>
      </c>
      <c r="B2" s="3" t="inlineStr">
        <is>
          <t>진단항목명</t>
        </is>
      </c>
      <c r="C2" s="3" t="inlineStr">
        <is>
          <t>단계번호</t>
        </is>
      </c>
      <c r="D2" s="3" t="inlineStr">
        <is>
          <t>단계라벨</t>
        </is>
      </c>
      <c r="E2" s="3" t="inlineStr">
        <is>
          <t>배점</t>
        </is>
      </c>
      <c r="F2" s="3" t="inlineStr">
        <is>
          <t>단계별 판단기준(K-ESG v2.0 원문)</t>
        </is>
      </c>
    </row>
    <row r="3">
      <c r="A3" s="6" t="inlineStr">
        <is>
          <t>E-1-1</t>
        </is>
      </c>
      <c r="B3" s="6" t="inlineStr">
        <is>
          <t>환경경영 목표 수립</t>
        </is>
      </c>
      <c r="C3" s="5" t="n">
        <v>1</v>
      </c>
      <c r="D3" s="6" t="inlineStr">
        <is>
          <t>1단계</t>
        </is>
      </c>
      <c r="E3" s="5" t="n">
        <v>0</v>
      </c>
      <c r="F3" s="7" t="inlineStr">
        <is>
          <t>단기/중장기 성과목표, 또는 조직의 환경경영 방향성을 나타내는 환경경영 미션/비전/지향점이 없는 경우</t>
        </is>
      </c>
    </row>
    <row r="4">
      <c r="A4" s="6" t="inlineStr">
        <is>
          <t>E-1-1</t>
        </is>
      </c>
      <c r="B4" s="6" t="inlineStr">
        <is>
          <t>환경경영 목표 수립</t>
        </is>
      </c>
      <c r="C4" s="5" t="n">
        <v>2</v>
      </c>
      <c r="D4" s="6" t="inlineStr">
        <is>
          <t>2단계</t>
        </is>
      </c>
      <c r="E4" s="5" t="n">
        <v>25</v>
      </c>
      <c r="F4" s="7" t="inlineStr">
        <is>
          <t>환경경영 미션/비전/지향점만 제시하고 있는 경우</t>
        </is>
      </c>
    </row>
    <row r="5">
      <c r="A5" s="6" t="inlineStr">
        <is>
          <t>E-1-1</t>
        </is>
      </c>
      <c r="B5" s="6" t="inlineStr">
        <is>
          <t>환경경영 목표 수립</t>
        </is>
      </c>
      <c r="C5" s="5" t="n">
        <v>3</v>
      </c>
      <c r="D5" s="6" t="inlineStr">
        <is>
          <t>3단계</t>
        </is>
      </c>
      <c r="E5" s="5" t="n">
        <v>50</v>
      </c>
      <c r="F5" s="7" t="inlineStr">
        <is>
          <t>2단계 + 조직의 환경 분야 핵심이슈에 대한 단기 목표만 설정하고 있는 경우</t>
        </is>
      </c>
    </row>
    <row r="6">
      <c r="A6" s="6" t="inlineStr">
        <is>
          <t>E-1-1</t>
        </is>
      </c>
      <c r="B6" s="6" t="inlineStr">
        <is>
          <t>환경경영 목표 수립</t>
        </is>
      </c>
      <c r="C6" s="5" t="n">
        <v>4</v>
      </c>
      <c r="D6" s="6" t="inlineStr">
        <is>
          <t>4단계</t>
        </is>
      </c>
      <c r="E6" s="5" t="n">
        <v>75</v>
      </c>
      <c r="F6" s="7" t="inlineStr">
        <is>
          <t>3단계 + 중장기 목표까지 수립하고 있는 경우</t>
        </is>
      </c>
    </row>
    <row r="7">
      <c r="A7" s="6" t="inlineStr">
        <is>
          <t>E-1-1</t>
        </is>
      </c>
      <c r="B7" s="6" t="inlineStr">
        <is>
          <t>환경경영 목표 수립</t>
        </is>
      </c>
      <c r="C7" s="5" t="n">
        <v>5</v>
      </c>
      <c r="D7" s="6" t="inlineStr">
        <is>
          <t>5단계</t>
        </is>
      </c>
      <c r="E7" s="5" t="n">
        <v>100</v>
      </c>
      <c r="F7" s="7" t="inlineStr">
        <is>
          <t>4단계 + 중장기 목표 달성을 위한 과제와, 이행점검 지표를 마련한 경우</t>
        </is>
      </c>
    </row>
    <row r="8">
      <c r="A8" s="6" t="inlineStr">
        <is>
          <t>E-1-2</t>
        </is>
      </c>
      <c r="B8" s="6" t="inlineStr">
        <is>
          <t>환경경영 추진체계</t>
        </is>
      </c>
      <c r="C8" s="5" t="n">
        <v>1</v>
      </c>
      <c r="D8" s="6" t="inlineStr">
        <is>
          <t>요건1</t>
        </is>
      </c>
      <c r="E8" s="5" t="n">
        <v>0</v>
      </c>
      <c r="F8" s="7" t="inlineStr">
        <is>
          <t>환경경영 추진을 위한 전사 거버넌스 체계를 구축하고 있는 경우 (전담조직, 실무협의회, 경영회의 및 내부점검체계 등)</t>
        </is>
      </c>
    </row>
    <row r="9">
      <c r="A9" s="6" t="inlineStr">
        <is>
          <t>E-1-2</t>
        </is>
      </c>
      <c r="B9" s="6" t="inlineStr">
        <is>
          <t>환경경영 추진체계</t>
        </is>
      </c>
      <c r="C9" s="5" t="n">
        <v>2</v>
      </c>
      <c r="D9" s="6" t="inlineStr">
        <is>
          <t>요건2</t>
        </is>
      </c>
      <c r="E9" s="5" t="n">
        <v>25</v>
      </c>
      <c r="F9" s="7" t="inlineStr">
        <is>
          <t>환경경영 추진을 위한 전사 전담조직을 운영하고 있는 경우 (전사 환경경영 기획, 점검, 성과관리 등 실행업무 담당)</t>
        </is>
      </c>
    </row>
    <row r="10">
      <c r="A10" s="6" t="inlineStr">
        <is>
          <t>E-1-2</t>
        </is>
      </c>
      <c r="B10" s="6" t="inlineStr">
        <is>
          <t>환경경영 추진체계</t>
        </is>
      </c>
      <c r="C10" s="5" t="n">
        <v>3</v>
      </c>
      <c r="D10" s="6" t="inlineStr">
        <is>
          <t>요건3</t>
        </is>
      </c>
      <c r="E10" s="5" t="n">
        <v>50</v>
      </c>
      <c r="F10" s="7" t="inlineStr">
        <is>
          <t>환경경영 과제 실행에 필요한 자원을 투입하고 있는 경우 (환경투자 예산, 역량강화 교육, 내외부 전문인력 등)</t>
        </is>
      </c>
    </row>
    <row r="11">
      <c r="A11" s="6" t="inlineStr">
        <is>
          <t>E-1-2</t>
        </is>
      </c>
      <c r="B11" s="6" t="inlineStr">
        <is>
          <t>환경경영 추진체계</t>
        </is>
      </c>
      <c r="C11" s="5" t="n">
        <v>4</v>
      </c>
      <c r="D11" s="6" t="inlineStr">
        <is>
          <t>요건4</t>
        </is>
      </c>
      <c r="E11" s="5" t="n">
        <v>75</v>
      </c>
      <c r="F11" s="7" t="inlineStr">
        <is>
          <t>환경경영 추진 현황을 점검/분석/평가하는 시스템이 있는 경우 (IT기반 모니터링 시스템, 과제점검 회의, 제3자 의견수렴 등)</t>
        </is>
      </c>
    </row>
    <row r="12">
      <c r="A12" s="6" t="inlineStr">
        <is>
          <t>E-1-2</t>
        </is>
      </c>
      <c r="B12" s="6" t="inlineStr">
        <is>
          <t>환경경영 추진체계</t>
        </is>
      </c>
      <c r="C12" s="5" t="n">
        <v>5</v>
      </c>
      <c r="D12" s="6" t="inlineStr">
        <is>
          <t>요건5</t>
        </is>
      </c>
      <c r="E12" s="5" t="n">
        <v>100</v>
      </c>
      <c r="F12" s="7" t="inlineStr">
        <is>
          <t>환경경영 과제 이행현황이 경영진 포함 관련 구성원의 성과평가지표(KPIs)에 반영되어 있는 경우 * 선택 항목의 합산값으로 평가</t>
        </is>
      </c>
    </row>
    <row r="13">
      <c r="A13" s="6" t="inlineStr">
        <is>
          <t>E-2-1</t>
        </is>
      </c>
      <c r="B13" s="6" t="inlineStr">
        <is>
          <t>원부자재 사용량</t>
        </is>
      </c>
      <c r="C13" s="5" t="n">
        <v>1</v>
      </c>
      <c r="D13" s="6" t="inlineStr">
        <is>
          <t>1단계</t>
        </is>
      </c>
      <c r="E13" s="5" t="n">
        <v>0</v>
      </c>
      <c r="F13" s="7" t="inlineStr">
        <is>
          <t>지난 4개년 원단위 원부자재 사용량 증가 추세</t>
        </is>
      </c>
    </row>
    <row r="14">
      <c r="A14" s="6" t="inlineStr">
        <is>
          <t>E-2-1</t>
        </is>
      </c>
      <c r="B14" s="6" t="inlineStr">
        <is>
          <t>원부자재 사용량</t>
        </is>
      </c>
      <c r="C14" s="5" t="n">
        <v>2</v>
      </c>
      <c r="D14" s="6" t="inlineStr">
        <is>
          <t>2단계</t>
        </is>
      </c>
      <c r="E14" s="5" t="n">
        <v>50</v>
      </c>
      <c r="F14" s="7" t="inlineStr">
        <is>
          <t>지난 4개년 원단위 원부자재 사용량 변동 없음</t>
        </is>
      </c>
    </row>
    <row r="15">
      <c r="A15" s="6" t="inlineStr">
        <is>
          <t>E-2-1</t>
        </is>
      </c>
      <c r="B15" s="6" t="inlineStr">
        <is>
          <t>원부자재 사용량</t>
        </is>
      </c>
      <c r="C15" s="5" t="n">
        <v>3</v>
      </c>
      <c r="D15" s="6" t="inlineStr">
        <is>
          <t>3단계</t>
        </is>
      </c>
      <c r="E15" s="5" t="n">
        <v>100</v>
      </c>
      <c r="F15" s="7" t="inlineStr">
        <is>
          <t>지난 4개년 원단위 원부자재 사용량 감소 추세 * 원단위 원부자재 사용량을 관리하지 않는 경우 0점 적용 * 3개년 이하 데이터 보유 시 해당 데이터로 추세 산정 * '유지 추세'로 판단할 경우 2단계로 적용하여 평가</t>
        </is>
      </c>
    </row>
    <row r="16">
      <c r="A16" s="6" t="inlineStr">
        <is>
          <t>E-2-2</t>
        </is>
      </c>
      <c r="B16" s="6" t="inlineStr">
        <is>
          <t>재생 원부자재 비율</t>
        </is>
      </c>
      <c r="C16" s="5" t="n">
        <v>1</v>
      </c>
      <c r="D16" s="6" t="inlineStr">
        <is>
          <t>1단계</t>
        </is>
      </c>
      <c r="E16" s="5" t="n">
        <v>0</v>
      </c>
      <c r="F16" s="7" t="inlineStr">
        <is>
          <t>지난 4개년 재생 원부자재 사용 비율 감소 추세</t>
        </is>
      </c>
    </row>
    <row r="17">
      <c r="A17" s="6" t="inlineStr">
        <is>
          <t>E-2-2</t>
        </is>
      </c>
      <c r="B17" s="6" t="inlineStr">
        <is>
          <t>재생 원부자재 비율</t>
        </is>
      </c>
      <c r="C17" s="5" t="n">
        <v>2</v>
      </c>
      <c r="D17" s="6" t="inlineStr">
        <is>
          <t>2단계</t>
        </is>
      </c>
      <c r="E17" s="5" t="n">
        <v>50</v>
      </c>
      <c r="F17" s="7" t="inlineStr">
        <is>
          <t>지난 4개년 재생 원부자재 사용 비율 변동 없음</t>
        </is>
      </c>
    </row>
    <row r="18">
      <c r="A18" s="6" t="inlineStr">
        <is>
          <t>E-2-2</t>
        </is>
      </c>
      <c r="B18" s="6" t="inlineStr">
        <is>
          <t>재생 원부자재 비율</t>
        </is>
      </c>
      <c r="C18" s="5" t="n">
        <v>3</v>
      </c>
      <c r="D18" s="6" t="inlineStr">
        <is>
          <t>3단계</t>
        </is>
      </c>
      <c r="E18" s="5" t="n">
        <v>100</v>
      </c>
      <c r="F18" s="7" t="inlineStr">
        <is>
          <t>지난 4개년 재생 원부자재 사용 비율 증가 추세 * 재생 원부자재를 사용하지 않는 경우 0점 적용 * 국내 및 해외 모든 사업장에서 재생 원부자재를 100% 사용하는 경우 100점 적용 * 3개년 이하 데이터 보유 시 해당 데이터로 추세 산정 * '유지 추세'로 판단할 경우 2단계로 적용하여 평가</t>
        </is>
      </c>
    </row>
    <row r="19">
      <c r="A19" s="6" t="inlineStr">
        <is>
          <t>E-3-1</t>
        </is>
      </c>
      <c r="B19" s="6" t="inlineStr">
        <is>
          <t>온실가스 배출량 (Scope1 &amp; Scope2)</t>
        </is>
      </c>
      <c r="C19" s="5" t="n">
        <v>1</v>
      </c>
      <c r="D19" s="6" t="inlineStr">
        <is>
          <t>1단계</t>
        </is>
      </c>
      <c r="E19" s="5" t="n">
        <v>0</v>
      </c>
      <c r="F19" s="7" t="inlineStr">
        <is>
          <t>지난 4개년 원단위 온실가스 배출량 증가 추세</t>
        </is>
      </c>
    </row>
    <row r="20">
      <c r="A20" s="6" t="inlineStr">
        <is>
          <t>E-3-1</t>
        </is>
      </c>
      <c r="B20" s="6" t="inlineStr">
        <is>
          <t>온실가스 배출량 (Scope1 &amp; Scope2)</t>
        </is>
      </c>
      <c r="C20" s="5" t="n">
        <v>2</v>
      </c>
      <c r="D20" s="6" t="inlineStr">
        <is>
          <t>2단계</t>
        </is>
      </c>
      <c r="E20" s="5" t="n">
        <v>50</v>
      </c>
      <c r="F20" s="7" t="inlineStr">
        <is>
          <t>지난 4개년 원단위 온실가스 배출량 변동 없음</t>
        </is>
      </c>
    </row>
    <row r="21">
      <c r="A21" s="6" t="inlineStr">
        <is>
          <t>E-3-1</t>
        </is>
      </c>
      <c r="B21" s="6" t="inlineStr">
        <is>
          <t>온실가스 배출량 (Scope1 &amp; Scope2)</t>
        </is>
      </c>
      <c r="C21" s="5" t="n">
        <v>3</v>
      </c>
      <c r="D21" s="6" t="inlineStr">
        <is>
          <t>3단계</t>
        </is>
      </c>
      <c r="E21" s="5" t="n">
        <v>100</v>
      </c>
      <c r="F21" s="7" t="inlineStr">
        <is>
          <t>지난 4개년 원단위 온실가스 배출량 감소 추세 * 원단위 온실가스 배출량을 관리하고 있지 않은 경우 0점 적용 * 국내 및 해외 모든 사업장이 ‘탄소중립’ 또는 ‘탄소제로’를 달성한 경우 100점 적용 * 3개년 이하 데이터 보유 시 해당 데이터로 추세 산정 * '유지 추세'로 판단할 경우 2단계로 적용하여 평가</t>
        </is>
      </c>
    </row>
    <row r="22">
      <c r="A22" s="6" t="inlineStr">
        <is>
          <t>E-3-3</t>
        </is>
      </c>
      <c r="B22" s="6" t="inlineStr">
        <is>
          <t>온실가스 배출량 검증</t>
        </is>
      </c>
      <c r="C22" s="5" t="n">
        <v>1</v>
      </c>
      <c r="D22" s="6" t="inlineStr">
        <is>
          <t>요건1</t>
        </is>
      </c>
      <c r="E22" s="5" t="n">
        <v>0</v>
      </c>
      <c r="F22" s="7" t="inlineStr">
        <is>
          <t>검증의견서에 검증기관(또는 검증인)이 명시되어 있는 경우 (또는, 검증기관이 License Number를 갖추고 있는 경우)</t>
        </is>
      </c>
    </row>
    <row r="23">
      <c r="A23" s="6" t="inlineStr">
        <is>
          <t>E-3-3</t>
        </is>
      </c>
      <c r="B23" s="6" t="inlineStr">
        <is>
          <t>온실가스 배출량 검증</t>
        </is>
      </c>
      <c r="C23" s="5" t="n">
        <v>2</v>
      </c>
      <c r="D23" s="6" t="inlineStr">
        <is>
          <t>요건2</t>
        </is>
      </c>
      <c r="E23" s="5" t="n">
        <v>25</v>
      </c>
      <c r="F23" s="7" t="inlineStr">
        <is>
          <t>검증의견서에 검증표준(방법론)이 제시되어 있는 경우 (온실가스 배출권거래제의 배출량 보고 및 인증에 관한 지침, GHG Protocol, ISO14064-1 등)</t>
        </is>
      </c>
    </row>
    <row r="24">
      <c r="A24" s="6" t="inlineStr">
        <is>
          <t>E-3-3</t>
        </is>
      </c>
      <c r="B24" s="6" t="inlineStr">
        <is>
          <t>온실가스 배출량 검증</t>
        </is>
      </c>
      <c r="C24" s="5" t="n">
        <v>3</v>
      </c>
      <c r="D24" s="6" t="inlineStr">
        <is>
          <t>요건3</t>
        </is>
      </c>
      <c r="E24" s="5" t="n">
        <v>50</v>
      </c>
      <c r="F24" s="7" t="inlineStr">
        <is>
          <t>검증의견서에 ESG 정보 검증수준을 공개하고 있는 경우 (전체/일부 데이터 검증, 제한적/합리적 보증 등)</t>
        </is>
      </c>
    </row>
    <row r="25">
      <c r="A25" s="6" t="inlineStr">
        <is>
          <t>E-3-3</t>
        </is>
      </c>
      <c r="B25" s="6" t="inlineStr">
        <is>
          <t>온실가스 배출량 검증</t>
        </is>
      </c>
      <c r="C25" s="5" t="n">
        <v>4</v>
      </c>
      <c r="D25" s="6" t="inlineStr">
        <is>
          <t>요건4</t>
        </is>
      </c>
      <c r="E25" s="5" t="n">
        <v>75</v>
      </c>
      <c r="F25" s="7" t="inlineStr">
        <is>
          <t>제3자 검증기관이 검증한 온실가스 배출량 검증 범위가 적시되어 있는 경우 (즉, 조직의 사업장 중 온실가스 배출량을 검증받은 사업장 및 지역 등)</t>
        </is>
      </c>
    </row>
    <row r="26">
      <c r="A26" s="6" t="inlineStr">
        <is>
          <t>E-3-3</t>
        </is>
      </c>
      <c r="B26" s="6" t="inlineStr">
        <is>
          <t>온실가스 배출량 검증</t>
        </is>
      </c>
      <c r="C26" s="5" t="n">
        <v>5</v>
      </c>
      <c r="D26" s="6" t="inlineStr">
        <is>
          <t>요건5</t>
        </is>
      </c>
      <c r="E26" s="5" t="n">
        <v>100</v>
      </c>
      <c r="F26" s="7" t="inlineStr">
        <is>
          <t>조직의 온실가스 관리에 관한 제3자 검증기관 의견이 명시되어 있는 경우 (온실가스 관리 시스템 개선, 향후 검증값의 변동가능성 등)</t>
        </is>
      </c>
    </row>
    <row r="27">
      <c r="A27" s="6" t="inlineStr">
        <is>
          <t>E-4-1</t>
        </is>
      </c>
      <c r="B27" s="6" t="inlineStr">
        <is>
          <t>에너지 사용량</t>
        </is>
      </c>
      <c r="C27" s="5" t="n">
        <v>1</v>
      </c>
      <c r="D27" s="6" t="inlineStr">
        <is>
          <t>1단계</t>
        </is>
      </c>
      <c r="E27" s="5" t="n">
        <v>0</v>
      </c>
      <c r="F27" s="7" t="inlineStr">
        <is>
          <t>지난 4개년 원단위 에너지 사용량이 증가 추세</t>
        </is>
      </c>
    </row>
    <row r="28">
      <c r="A28" s="6" t="inlineStr">
        <is>
          <t>E-4-1</t>
        </is>
      </c>
      <c r="B28" s="6" t="inlineStr">
        <is>
          <t>에너지 사용량</t>
        </is>
      </c>
      <c r="C28" s="5" t="n">
        <v>2</v>
      </c>
      <c r="D28" s="6" t="inlineStr">
        <is>
          <t>2단계</t>
        </is>
      </c>
      <c r="E28" s="5" t="n">
        <v>50</v>
      </c>
      <c r="F28" s="7" t="inlineStr">
        <is>
          <t>지난 4개년 원단위 에너지 사용량이 변동 없음</t>
        </is>
      </c>
    </row>
    <row r="29">
      <c r="A29" s="6" t="inlineStr">
        <is>
          <t>E-4-1</t>
        </is>
      </c>
      <c r="B29" s="6" t="inlineStr">
        <is>
          <t>에너지 사용량</t>
        </is>
      </c>
      <c r="C29" s="5" t="n">
        <v>3</v>
      </c>
      <c r="D29" s="6" t="inlineStr">
        <is>
          <t>3단계</t>
        </is>
      </c>
      <c r="E29" s="5" t="n">
        <v>100</v>
      </c>
      <c r="F29" s="7" t="inlineStr">
        <is>
          <t>지난 4개년 원단위 에너지 사용량이 감소 추세 * 원단위 에너지 사용량을 관리하지 않고 있는 경우 0점 적용 * 3개년 이하 데이터 보유 시 해당 데이터로 추세 산정 * '유지 추세'로 판단할 경우 2단계로 적용하여 평가</t>
        </is>
      </c>
    </row>
    <row r="30">
      <c r="A30" s="6" t="inlineStr">
        <is>
          <t>E-4-2</t>
        </is>
      </c>
      <c r="B30" s="6" t="inlineStr">
        <is>
          <t>재생에너지 사용 비율</t>
        </is>
      </c>
      <c r="C30" s="5" t="n">
        <v>1</v>
      </c>
      <c r="D30" s="6" t="inlineStr">
        <is>
          <t>1단계</t>
        </is>
      </c>
      <c r="E30" s="5" t="n">
        <v>0</v>
      </c>
      <c r="F30" s="7" t="inlineStr">
        <is>
          <t>지난 4개년 재생에너지 사용비율이 감소 추세</t>
        </is>
      </c>
    </row>
    <row r="31">
      <c r="A31" s="6" t="inlineStr">
        <is>
          <t>E-4-2</t>
        </is>
      </c>
      <c r="B31" s="6" t="inlineStr">
        <is>
          <t>재생에너지 사용 비율</t>
        </is>
      </c>
      <c r="C31" s="5" t="n">
        <v>2</v>
      </c>
      <c r="D31" s="6" t="inlineStr">
        <is>
          <t>2단계</t>
        </is>
      </c>
      <c r="E31" s="5" t="n">
        <v>50</v>
      </c>
      <c r="F31" s="7" t="inlineStr">
        <is>
          <t>지난 4개년 재생에너지 사용비율이 변동 없음</t>
        </is>
      </c>
    </row>
    <row r="32">
      <c r="A32" s="6" t="inlineStr">
        <is>
          <t>E-4-2</t>
        </is>
      </c>
      <c r="B32" s="6" t="inlineStr">
        <is>
          <t>재생에너지 사용 비율</t>
        </is>
      </c>
      <c r="C32" s="5" t="n">
        <v>3</v>
      </c>
      <c r="D32" s="6" t="inlineStr">
        <is>
          <t>3단계</t>
        </is>
      </c>
      <c r="E32" s="5" t="n">
        <v>100</v>
      </c>
      <c r="F32" s="7" t="inlineStr">
        <is>
          <t>지난 4개년 재생에너지 사용비율이 증가 추세 * 재생에너지를 사용하고 있지 않은 경우 0점 적용 * 국내 및 해외 모든 사업장에서 재생에너지를 100% 사용하는 경우 100점 적용 * 3개년 이하 데이터 보유 시 해당 데이터로 추세 산정 * '유지 추세'로 판단할 경우 2단계로 적용하여 평가</t>
        </is>
      </c>
    </row>
    <row r="33">
      <c r="A33" s="6" t="inlineStr">
        <is>
          <t>E-5-1</t>
        </is>
      </c>
      <c r="B33" s="6" t="inlineStr">
        <is>
          <t>용수 사용량</t>
        </is>
      </c>
      <c r="C33" s="5" t="n">
        <v>1</v>
      </c>
      <c r="D33" s="6" t="inlineStr">
        <is>
          <t>1단계</t>
        </is>
      </c>
      <c r="E33" s="5" t="n">
        <v>0</v>
      </c>
      <c r="F33" s="7" t="inlineStr">
        <is>
          <t>지난 4개년 원단위 용수 사용량이 증가 추세</t>
        </is>
      </c>
    </row>
    <row r="34">
      <c r="A34" s="6" t="inlineStr">
        <is>
          <t>E-5-1</t>
        </is>
      </c>
      <c r="B34" s="6" t="inlineStr">
        <is>
          <t>용수 사용량</t>
        </is>
      </c>
      <c r="C34" s="5" t="n">
        <v>2</v>
      </c>
      <c r="D34" s="6" t="inlineStr">
        <is>
          <t>2단계</t>
        </is>
      </c>
      <c r="E34" s="5" t="n">
        <v>50</v>
      </c>
      <c r="F34" s="7" t="inlineStr">
        <is>
          <t>지난 4개년 원단위 용수 사용량이 변동 없음</t>
        </is>
      </c>
    </row>
    <row r="35">
      <c r="A35" s="6" t="inlineStr">
        <is>
          <t>E-5-1</t>
        </is>
      </c>
      <c r="B35" s="6" t="inlineStr">
        <is>
          <t>용수 사용량</t>
        </is>
      </c>
      <c r="C35" s="5" t="n">
        <v>3</v>
      </c>
      <c r="D35" s="6" t="inlineStr">
        <is>
          <t>3단계</t>
        </is>
      </c>
      <c r="E35" s="5" t="n">
        <v>100</v>
      </c>
      <c r="F35" s="7" t="inlineStr">
        <is>
          <t>지난 4개년 원단위 용수 사용량이 감소 추세 * 원단위 용수 사용량을 관리하고 있지 않은 경우 0점 적용 * 3개년 이하 데이터 보유 시 해당 데이터로 추세 산정 * '유지 추세'로 판단할 경우 2단계로 적용하여 평가</t>
        </is>
      </c>
    </row>
    <row r="36">
      <c r="A36" s="6" t="inlineStr">
        <is>
          <t>E-5-2</t>
        </is>
      </c>
      <c r="B36" s="6" t="inlineStr">
        <is>
          <t>재사용 용수 비율</t>
        </is>
      </c>
      <c r="C36" s="5" t="n">
        <v>1</v>
      </c>
      <c r="D36" s="6" t="inlineStr">
        <is>
          <t>1단계</t>
        </is>
      </c>
      <c r="E36" s="5" t="n">
        <v>0</v>
      </c>
      <c r="F36" s="7" t="inlineStr">
        <is>
          <t>지난 4개년 재사용 용수 비율이 감소 추세</t>
        </is>
      </c>
    </row>
    <row r="37">
      <c r="A37" s="6" t="inlineStr">
        <is>
          <t>E-5-2</t>
        </is>
      </c>
      <c r="B37" s="6" t="inlineStr">
        <is>
          <t>재사용 용수 비율</t>
        </is>
      </c>
      <c r="C37" s="5" t="n">
        <v>2</v>
      </c>
      <c r="D37" s="6" t="inlineStr">
        <is>
          <t>2단계</t>
        </is>
      </c>
      <c r="E37" s="5" t="n">
        <v>50</v>
      </c>
      <c r="F37" s="7" t="inlineStr">
        <is>
          <t>지난 4개년 재사용 용수 비율이 변동 없음</t>
        </is>
      </c>
    </row>
    <row r="38">
      <c r="A38" s="6" t="inlineStr">
        <is>
          <t>E-5-2</t>
        </is>
      </c>
      <c r="B38" s="6" t="inlineStr">
        <is>
          <t>재사용 용수 비율</t>
        </is>
      </c>
      <c r="C38" s="5" t="n">
        <v>3</v>
      </c>
      <c r="D38" s="6" t="inlineStr">
        <is>
          <t>3단계</t>
        </is>
      </c>
      <c r="E38" s="5" t="n">
        <v>100</v>
      </c>
      <c r="F38" s="7" t="inlineStr">
        <is>
          <t>지난 4개년 재사용 용수 비율이 증가 추세 * 용수를 재사용하지 않고 있는 경우 0점 적용 * 국내 및 해외 모든 사업장이 폐수 무방류 시스템을 구축한 경우 100점 적용 * 3개년 이하 데이터 보유 시 해당 데이터로 추세 산정 * '유지 추세'로 판단할 경우 2단계로 적용하여 평가</t>
        </is>
      </c>
    </row>
    <row r="39">
      <c r="A39" s="6" t="inlineStr">
        <is>
          <t>E-6-1</t>
        </is>
      </c>
      <c r="B39" s="6" t="inlineStr">
        <is>
          <t>폐기물 배출량</t>
        </is>
      </c>
      <c r="C39" s="5" t="n">
        <v>1</v>
      </c>
      <c r="D39" s="6" t="inlineStr">
        <is>
          <t>1단계</t>
        </is>
      </c>
      <c r="E39" s="5" t="n">
        <v>0</v>
      </c>
      <c r="F39" s="7" t="inlineStr">
        <is>
          <t>지난 4개년 원단위 폐기물 배출량이 증가 추세</t>
        </is>
      </c>
    </row>
    <row r="40">
      <c r="A40" s="6" t="inlineStr">
        <is>
          <t>E-6-1</t>
        </is>
      </c>
      <c r="B40" s="6" t="inlineStr">
        <is>
          <t>폐기물 배출량</t>
        </is>
      </c>
      <c r="C40" s="5" t="n">
        <v>2</v>
      </c>
      <c r="D40" s="6" t="inlineStr">
        <is>
          <t>2단계</t>
        </is>
      </c>
      <c r="E40" s="5" t="n">
        <v>50</v>
      </c>
      <c r="F40" s="7" t="inlineStr">
        <is>
          <t>지난 4개년 원단위 폐기물 배출량이 변동 없음</t>
        </is>
      </c>
    </row>
    <row r="41">
      <c r="A41" s="6" t="inlineStr">
        <is>
          <t>E-6-1</t>
        </is>
      </c>
      <c r="B41" s="6" t="inlineStr">
        <is>
          <t>폐기물 배출량</t>
        </is>
      </c>
      <c r="C41" s="5" t="n">
        <v>3</v>
      </c>
      <c r="D41" s="6" t="inlineStr">
        <is>
          <t>3단계</t>
        </is>
      </c>
      <c r="E41" s="5" t="n">
        <v>100</v>
      </c>
      <c r="F41" s="7" t="inlineStr">
        <is>
          <t>지난 4개년 원단위 폐기물 배출량이 감소 추세 * 원단위 폐기물 배출량을 관리하지 않고 있는 경우 0점 적용 * 3개년 이하 데이터 보유 시 해당 데이터로 추세 산정 * '유지 추세'로 판단할 경우 2단계로 적용하여 평가</t>
        </is>
      </c>
    </row>
    <row r="42">
      <c r="A42" s="6" t="inlineStr">
        <is>
          <t>E-6-2</t>
        </is>
      </c>
      <c r="B42" s="6" t="inlineStr">
        <is>
          <t>폐기물 재활용 비율</t>
        </is>
      </c>
      <c r="C42" s="5" t="n">
        <v>1</v>
      </c>
      <c r="D42" s="6" t="inlineStr">
        <is>
          <t>1단계</t>
        </is>
      </c>
      <c r="E42" s="5" t="n">
        <v>0</v>
      </c>
      <c r="F42" s="7" t="inlineStr">
        <is>
          <t>지난 4개년 폐기물 재활용 비율이 감소 추세</t>
        </is>
      </c>
    </row>
    <row r="43">
      <c r="A43" s="6" t="inlineStr">
        <is>
          <t>E-6-2</t>
        </is>
      </c>
      <c r="B43" s="6" t="inlineStr">
        <is>
          <t>폐기물 재활용 비율</t>
        </is>
      </c>
      <c r="C43" s="5" t="n">
        <v>2</v>
      </c>
      <c r="D43" s="6" t="inlineStr">
        <is>
          <t>2단계</t>
        </is>
      </c>
      <c r="E43" s="5" t="n">
        <v>50</v>
      </c>
      <c r="F43" s="7" t="inlineStr">
        <is>
          <t>지난 4개년 폐기물 재활용 비율이 변동 없음</t>
        </is>
      </c>
    </row>
    <row r="44">
      <c r="A44" s="6" t="inlineStr">
        <is>
          <t>E-6-2</t>
        </is>
      </c>
      <c r="B44" s="6" t="inlineStr">
        <is>
          <t>폐기물 재활용 비율</t>
        </is>
      </c>
      <c r="C44" s="5" t="n">
        <v>3</v>
      </c>
      <c r="D44" s="6" t="inlineStr">
        <is>
          <t>3단계</t>
        </is>
      </c>
      <c r="E44" s="5" t="n">
        <v>100</v>
      </c>
      <c r="F44" s="7" t="inlineStr">
        <is>
          <t>지난 4개년 폐기물 재활용 비율이 증가 추세 * 폐기물 재활용 비율을 관리하지 않고 있는 경우 0점 적용 * 국내 및 해외 모든 사업장이 재활용 및 재사용 가능한 폐기물 전부를 재활용 및 재사용하고 있는 경우 100점 적용 * 3개년 이하 데이터 보유 시 해당 데이터로 추세 산정 * '유지 추세'로 판단할 경우 2단계로 적용하여 평가</t>
        </is>
      </c>
    </row>
    <row r="45">
      <c r="A45" s="6" t="inlineStr">
        <is>
          <t>E-7-1</t>
        </is>
      </c>
      <c r="B45" s="6" t="inlineStr">
        <is>
          <t>대기오염물질 배출량</t>
        </is>
      </c>
      <c r="C45" s="5" t="n">
        <v>1</v>
      </c>
      <c r="D45" s="6" t="inlineStr">
        <is>
          <t>1단계</t>
        </is>
      </c>
      <c r="E45" s="5" t="n">
        <v>0</v>
      </c>
      <c r="F45" s="7" t="inlineStr">
        <is>
          <t>지난 4개년 대기오염물질 평균 배출농도가 증가 추세</t>
        </is>
      </c>
    </row>
    <row r="46">
      <c r="A46" s="6" t="inlineStr">
        <is>
          <t>E-7-1</t>
        </is>
      </c>
      <c r="B46" s="6" t="inlineStr">
        <is>
          <t>대기오염물질 배출량</t>
        </is>
      </c>
      <c r="C46" s="5" t="n">
        <v>2</v>
      </c>
      <c r="D46" s="6" t="inlineStr">
        <is>
          <t>2단계</t>
        </is>
      </c>
      <c r="E46" s="5" t="n">
        <v>50</v>
      </c>
      <c r="F46" s="7" t="inlineStr">
        <is>
          <t>지난 4개년 대기오염물질 평균 배출농도가 변동 없음</t>
        </is>
      </c>
    </row>
    <row r="47">
      <c r="A47" s="6" t="inlineStr">
        <is>
          <t>E-7-1</t>
        </is>
      </c>
      <c r="B47" s="6" t="inlineStr">
        <is>
          <t>대기오염물질 배출량</t>
        </is>
      </c>
      <c r="C47" s="5" t="n">
        <v>3</v>
      </c>
      <c r="D47" s="6" t="inlineStr">
        <is>
          <t>3단계</t>
        </is>
      </c>
      <c r="E47" s="5" t="n">
        <v>100</v>
      </c>
      <c r="F47" s="7" t="inlineStr">
        <is>
          <t>지난 4개년 대기오염물질 평균 배출농도가 감소 추세 * 대기오염물질 평균 배출농도를 관리하지 않고 있는 경우 0점 적용 * 국내 및 해외 모든 사업장의 대기오염물질 배출농도가 ‘0’인 경우 100점 적용 * 3개년 이하 데이터 보유 시 해당 데이터로 추세 산정 * '유지 추세'로 판단할 경우 2단계로 적용하여 평가</t>
        </is>
      </c>
    </row>
    <row r="48">
      <c r="A48" s="6" t="inlineStr">
        <is>
          <t>E-7-2</t>
        </is>
      </c>
      <c r="B48" s="6" t="inlineStr">
        <is>
          <t>수질오염물질 배출량</t>
        </is>
      </c>
      <c r="C48" s="5" t="n">
        <v>1</v>
      </c>
      <c r="D48" s="6" t="inlineStr">
        <is>
          <t>1단계</t>
        </is>
      </c>
      <c r="E48" s="5" t="n">
        <v>0</v>
      </c>
      <c r="F48" s="7" t="inlineStr">
        <is>
          <t>지난 4개년 수질오염물질 평균 배출농도가 증가 추세</t>
        </is>
      </c>
    </row>
    <row r="49">
      <c r="A49" s="6" t="inlineStr">
        <is>
          <t>E-7-2</t>
        </is>
      </c>
      <c r="B49" s="6" t="inlineStr">
        <is>
          <t>수질오염물질 배출량</t>
        </is>
      </c>
      <c r="C49" s="5" t="n">
        <v>2</v>
      </c>
      <c r="D49" s="6" t="inlineStr">
        <is>
          <t>2단계</t>
        </is>
      </c>
      <c r="E49" s="5" t="n">
        <v>50</v>
      </c>
      <c r="F49" s="7" t="inlineStr">
        <is>
          <t>지난 4개년 수질오염물질 평균 배출농도가 변동 없음</t>
        </is>
      </c>
    </row>
    <row r="50">
      <c r="A50" s="6" t="inlineStr">
        <is>
          <t>E-7-2</t>
        </is>
      </c>
      <c r="B50" s="6" t="inlineStr">
        <is>
          <t>수질오염물질 배출량</t>
        </is>
      </c>
      <c r="C50" s="5" t="n">
        <v>3</v>
      </c>
      <c r="D50" s="6" t="inlineStr">
        <is>
          <t>3단계</t>
        </is>
      </c>
      <c r="E50" s="5" t="n">
        <v>100</v>
      </c>
      <c r="F50" s="7" t="inlineStr">
        <is>
          <t>지난 4개년 수질오염물질 평균 배출농도가 감소 추세 * 수질오염물질 평균 배출농도를 관리하지 않고 있는 경우 0점 적용 * 국내 및 해외 모든 사업장의 수질오염물질 배출농도가 ‘0’인 경우 100점 적용 * 3개년 이하 데이터 보유 시 해당 데이터로 추세 산정 * '유지 추세'로 판단할 경우 2단계로 적용하여 평가</t>
        </is>
      </c>
    </row>
    <row r="51">
      <c r="A51" s="6" t="inlineStr">
        <is>
          <t>E-9-1</t>
        </is>
      </c>
      <c r="B51" s="6" t="inlineStr">
        <is>
          <t>친환경 인증 제품 및 서비스 비율</t>
        </is>
      </c>
      <c r="C51" s="5" t="n">
        <v>1</v>
      </c>
      <c r="D51" s="6" t="inlineStr">
        <is>
          <t>1단계</t>
        </is>
      </c>
      <c r="E51" s="5" t="n">
        <v>100</v>
      </c>
      <c r="F51" s="7" t="inlineStr">
        <is>
          <t>친환경 인증을 획득한 제품 및 서비스, 또는 친환경 인증 원부자재 등이 포함된 제품군의 매출비율이 증가 추세</t>
        </is>
      </c>
    </row>
    <row r="52">
      <c r="A52" s="6" t="inlineStr">
        <is>
          <t>E-9-1</t>
        </is>
      </c>
      <c r="B52" s="6" t="inlineStr">
        <is>
          <t>친환경 인증 제품 및 서비스 비율</t>
        </is>
      </c>
      <c r="C52" s="5" t="n">
        <v>2</v>
      </c>
      <c r="D52" s="6" t="inlineStr">
        <is>
          <t>2단계</t>
        </is>
      </c>
      <c r="E52" s="5" t="n">
        <v>50</v>
      </c>
      <c r="F52" s="7" t="inlineStr">
        <is>
          <t>친환경 인증을 획득한 제품 및 서비스, 또는 친환경 인증 원부자재 등이 포함된 제품군의 매출비율이 변동 없음</t>
        </is>
      </c>
    </row>
    <row r="53">
      <c r="A53" s="6" t="inlineStr">
        <is>
          <t>E-9-1</t>
        </is>
      </c>
      <c r="B53" s="6" t="inlineStr">
        <is>
          <t>친환경 인증 제품 및 서비스 비율</t>
        </is>
      </c>
      <c r="C53" s="5" t="n">
        <v>3</v>
      </c>
      <c r="D53" s="6" t="inlineStr">
        <is>
          <t>3단계</t>
        </is>
      </c>
      <c r="E53" s="5" t="n">
        <v>0</v>
      </c>
      <c r="F53" s="7" t="inlineStr">
        <is>
          <t>친환경 인증을 획득한 제품 및 서비스, 또는 친환경 인증 원부자재 등이 포함된 제품군의 매출비율이 감소 추세 * 완성품이 아닌 원부자재 생산 업종의 경우 원부자재에 대한 친환경 인증을 기준으로 점검 * 3개년 이하 데이터 보유 시 해당 데이터로 추세 산정 * '유지 추세'로 판단할 경우 2단계로 적용하여 평가</t>
        </is>
      </c>
    </row>
    <row r="54">
      <c r="A54" s="6" t="inlineStr">
        <is>
          <t>E-10-1</t>
        </is>
      </c>
      <c r="B54" s="6" t="inlineStr">
        <is>
          <t>기후변화 거버넌스</t>
        </is>
      </c>
      <c r="C54" s="5" t="n">
        <v>1</v>
      </c>
      <c r="D54" s="6" t="inlineStr">
        <is>
          <t>1단계</t>
        </is>
      </c>
      <c r="E54" s="5" t="n">
        <v>0</v>
      </c>
      <c r="F54" s="7" t="inlineStr">
        <is>
          <t>기후변화 문제에 대응할 수 있는 담당자(혹은 기구)가 없음</t>
        </is>
      </c>
    </row>
    <row r="55">
      <c r="A55" s="6" t="inlineStr">
        <is>
          <t>E-10-1</t>
        </is>
      </c>
      <c r="B55" s="6" t="inlineStr">
        <is>
          <t>기후변화 거버넌스</t>
        </is>
      </c>
      <c r="C55" s="5" t="n">
        <v>2</v>
      </c>
      <c r="D55" s="6" t="inlineStr">
        <is>
          <t>2단계</t>
        </is>
      </c>
      <c r="E55" s="5" t="n">
        <v>25</v>
      </c>
      <c r="F55" s="7" t="inlineStr">
        <is>
          <t>기후변화 문제에 대응하기 위한 관리자(혹은 담당부서)가 있으며, 담당부서의 KPIs에 조직의 기후변화 대응 목표가 반영되어 있음</t>
        </is>
      </c>
    </row>
    <row r="56">
      <c r="A56" s="6" t="inlineStr">
        <is>
          <t>E-10-1</t>
        </is>
      </c>
      <c r="B56" s="6" t="inlineStr">
        <is>
          <t>기후변화 거버넌스</t>
        </is>
      </c>
      <c r="C56" s="5" t="n">
        <v>3</v>
      </c>
      <c r="D56" s="6" t="inlineStr">
        <is>
          <t>3단계</t>
        </is>
      </c>
      <c r="E56" s="5" t="n">
        <v>50</v>
      </c>
      <c r="F56" s="7" t="inlineStr">
        <is>
          <t>기후변화 문제에 대응하기 위한 관리직(C-level) 혹은 위원회가 있으며, 관리직의 KPIs에 조직의 기후변화 대응 목표가 반영되어 있음 (예 : 기후/지속가능성/ESG 최고 책임자, 리스크 관리 최고 책임자(CEO 제외) 등)</t>
        </is>
      </c>
    </row>
    <row r="57">
      <c r="A57" s="6" t="inlineStr">
        <is>
          <t>E-10-1</t>
        </is>
      </c>
      <c r="B57" s="6" t="inlineStr">
        <is>
          <t>기후변화 거버넌스</t>
        </is>
      </c>
      <c r="C57" s="5" t="n">
        <v>4</v>
      </c>
      <c r="D57" s="6" t="inlineStr">
        <is>
          <t>4단계</t>
        </is>
      </c>
      <c r="E57" s="5" t="n">
        <v>75</v>
      </c>
      <c r="F57" s="7" t="inlineStr">
        <is>
          <t>3단계 + 기후 관련 문제를 이사회 차원의 위원회에서 관리·감독하고 있으며, 이사회 안건으로 상정하고 있음 (예 : 기후/지속가능성/ESG 위원회, 리스크 관리 위원회 등)</t>
        </is>
      </c>
    </row>
    <row r="58">
      <c r="A58" s="6" t="inlineStr">
        <is>
          <t>E-10-1</t>
        </is>
      </c>
      <c r="B58" s="6" t="inlineStr">
        <is>
          <t>기후변화 거버넌스</t>
        </is>
      </c>
      <c r="C58" s="5" t="n">
        <v>5</v>
      </c>
      <c r="D58" s="6" t="inlineStr">
        <is>
          <t>5단계</t>
        </is>
      </c>
      <c r="E58" s="5" t="n">
        <v>100</v>
      </c>
      <c r="F58" s="7" t="inlineStr">
        <is>
          <t>4단계 + 조직 구성원에게 기후변화 대응 목표 KPIs 달성도에 따라 인센티브를 제공하고 있음</t>
        </is>
      </c>
    </row>
    <row r="59">
      <c r="A59" s="6" t="inlineStr">
        <is>
          <t>E-10-3</t>
        </is>
      </c>
      <c r="B59" s="6" t="inlineStr">
        <is>
          <t>기후변화 물리 리스크 및 대응 방안</t>
        </is>
      </c>
      <c r="C59" s="5" t="n">
        <v>1</v>
      </c>
      <c r="D59" s="6" t="inlineStr">
        <is>
          <t>1단계</t>
        </is>
      </c>
      <c r="E59" s="5" t="n">
        <v>0</v>
      </c>
      <c r="F59" s="7" t="inlineStr">
        <is>
          <t>조직이 기후변화로 인한 물리 리스크를 분석하지 않는 경우</t>
        </is>
      </c>
    </row>
    <row r="60">
      <c r="A60" s="6" t="inlineStr">
        <is>
          <t>E-10-3</t>
        </is>
      </c>
      <c r="B60" s="6" t="inlineStr">
        <is>
          <t>기후변화 물리 리스크 및 대응 방안</t>
        </is>
      </c>
      <c r="C60" s="5" t="n">
        <v>2</v>
      </c>
      <c r="D60" s="6" t="inlineStr">
        <is>
          <t>2단계</t>
        </is>
      </c>
      <c r="E60" s="5" t="n">
        <v>25</v>
      </c>
      <c r="F60" s="7" t="inlineStr">
        <is>
          <t>조직이 기후변화로 인한 조직 전체 차원의 물리 리스크를 식별하고 정의하는 경우</t>
        </is>
      </c>
    </row>
    <row r="61">
      <c r="A61" s="6" t="inlineStr">
        <is>
          <t>E-10-3</t>
        </is>
      </c>
      <c r="B61" s="6" t="inlineStr">
        <is>
          <t>기후변화 물리 리스크 및 대응 방안</t>
        </is>
      </c>
      <c r="C61" s="5" t="n">
        <v>3</v>
      </c>
      <c r="D61" s="6" t="inlineStr">
        <is>
          <t>3단계</t>
        </is>
      </c>
      <c r="E61" s="5" t="n">
        <v>50</v>
      </c>
      <c r="F61" s="7" t="inlineStr">
        <is>
          <t>2단계 + 물리 리스크로 인한 사업 영향력을 정성적으로 측정하는 경우</t>
        </is>
      </c>
    </row>
    <row r="62">
      <c r="A62" s="6" t="inlineStr">
        <is>
          <t>E-10-3</t>
        </is>
      </c>
      <c r="B62" s="6" t="inlineStr">
        <is>
          <t>기후변화 물리 리스크 및 대응 방안</t>
        </is>
      </c>
      <c r="C62" s="5" t="n">
        <v>4</v>
      </c>
      <c r="D62" s="6" t="inlineStr">
        <is>
          <t>4단계</t>
        </is>
      </c>
      <c r="E62" s="5" t="n">
        <v>75</v>
      </c>
      <c r="F62" s="7" t="inlineStr">
        <is>
          <t>3단계 +물리 리스크로 인한 사업 영향력을 정량적으로 측정하여 리스크 해소한 경우</t>
        </is>
      </c>
    </row>
    <row r="63">
      <c r="A63" s="6" t="inlineStr">
        <is>
          <t>E-10-3</t>
        </is>
      </c>
      <c r="B63" s="6" t="inlineStr">
        <is>
          <t>기후변화 물리 리스크 및 대응 방안</t>
        </is>
      </c>
      <c r="C63" s="5" t="n">
        <v>5</v>
      </c>
      <c r="D63" s="6" t="inlineStr">
        <is>
          <t>5단계</t>
        </is>
      </c>
      <c r="E63" s="5" t="n">
        <v>100</v>
      </c>
      <c r="F63" s="7" t="inlineStr">
        <is>
          <t>4단계 + 물리 리스크로 인해 발생할 수 있는 리스크에 대한 새로운 사업기회를 모색하는 등 기업의 회복탄력성을 수립한 경우 * 4단계에서 리스크에 따른 사업 영향력을 정량적으로 측정할 경우, 재해보험의 위험 전가율(%) 등도 고려할 수 있음</t>
        </is>
      </c>
    </row>
    <row r="64">
      <c r="A64" s="6" t="inlineStr">
        <is>
          <t>E-10-4</t>
        </is>
      </c>
      <c r="B64" s="6" t="inlineStr">
        <is>
          <t>기후변화 전환 리스크 및 대응 방안</t>
        </is>
      </c>
      <c r="C64" s="5" t="n">
        <v>1</v>
      </c>
      <c r="D64" s="6" t="inlineStr">
        <is>
          <t>1단계</t>
        </is>
      </c>
      <c r="E64" s="5" t="n">
        <v>0</v>
      </c>
      <c r="F64" s="7" t="inlineStr">
        <is>
          <t>조직이 기후변화로 인한 전환 리스크를 분석하지 않는 경우</t>
        </is>
      </c>
    </row>
    <row r="65">
      <c r="A65" s="6" t="inlineStr">
        <is>
          <t>E-10-4</t>
        </is>
      </c>
      <c r="B65" s="6" t="inlineStr">
        <is>
          <t>기후변화 전환 리스크 및 대응 방안</t>
        </is>
      </c>
      <c r="C65" s="5" t="n">
        <v>2</v>
      </c>
      <c r="D65" s="6" t="inlineStr">
        <is>
          <t>2단계</t>
        </is>
      </c>
      <c r="E65" s="5" t="n">
        <v>25</v>
      </c>
      <c r="F65" s="7" t="inlineStr">
        <is>
          <t>조직이 기후변화로 인한 조직 전체 차원의 전환 리스크를 식별하고 정의하는 경우</t>
        </is>
      </c>
    </row>
    <row r="66">
      <c r="A66" s="6" t="inlineStr">
        <is>
          <t>E-10-4</t>
        </is>
      </c>
      <c r="B66" s="6" t="inlineStr">
        <is>
          <t>기후변화 전환 리스크 및 대응 방안</t>
        </is>
      </c>
      <c r="C66" s="5" t="n">
        <v>3</v>
      </c>
      <c r="D66" s="6" t="inlineStr">
        <is>
          <t>3단계</t>
        </is>
      </c>
      <c r="E66" s="5" t="n">
        <v>50</v>
      </c>
      <c r="F66" s="7" t="inlineStr">
        <is>
          <t>2단계 + 전환 리스크로 인한 사업 영향력을 정량적으로 측정하는 경우</t>
        </is>
      </c>
    </row>
    <row r="67">
      <c r="A67" s="6" t="inlineStr">
        <is>
          <t>E-10-4</t>
        </is>
      </c>
      <c r="B67" s="6" t="inlineStr">
        <is>
          <t>기후변화 전환 리스크 및 대응 방안</t>
        </is>
      </c>
      <c r="C67" s="5" t="n">
        <v>4</v>
      </c>
      <c r="D67" s="6" t="inlineStr">
        <is>
          <t>4단계</t>
        </is>
      </c>
      <c r="E67" s="5" t="n">
        <v>75</v>
      </c>
      <c r="F67" s="7" t="inlineStr">
        <is>
          <t>3단계+ 전환리스크로인한사업영향력을사업장별로측정해리스크해소에드는예상비용, 예상평균소요기간 등을분석하는경우</t>
        </is>
      </c>
    </row>
    <row r="68">
      <c r="A68" s="6" t="inlineStr">
        <is>
          <t>E-10-4</t>
        </is>
      </c>
      <c r="B68" s="6" t="inlineStr">
        <is>
          <t>기후변화 전환 리스크 및 대응 방안</t>
        </is>
      </c>
      <c r="C68" s="5" t="n">
        <v>5</v>
      </c>
      <c r="D68" s="6" t="inlineStr">
        <is>
          <t>5단계</t>
        </is>
      </c>
      <c r="E68" s="5" t="n">
        <v>100</v>
      </c>
      <c r="F68" s="7" t="inlineStr">
        <is>
          <t>4단계 + 전환 리스크로 인해 발생할 수 있는 새로운 사업 기회를 모색하고 수립한 경우</t>
        </is>
      </c>
    </row>
    <row r="69">
      <c r="A69" s="6" t="inlineStr">
        <is>
          <t>E-11-1</t>
        </is>
      </c>
      <c r="B69" s="6" t="inlineStr">
        <is>
          <t>자연자본 식별</t>
        </is>
      </c>
      <c r="C69" s="5" t="n">
        <v>1</v>
      </c>
      <c r="D69" s="6" t="inlineStr">
        <is>
          <t>1단계</t>
        </is>
      </c>
      <c r="E69" s="5" t="n">
        <v>0</v>
      </c>
      <c r="F69" s="7" t="inlineStr">
        <is>
          <t>조직이 위치한 사업장의 자연자본을 식별하고 있지 않은 경우</t>
        </is>
      </c>
    </row>
    <row r="70">
      <c r="A70" s="6" t="inlineStr">
        <is>
          <t>E-11-1</t>
        </is>
      </c>
      <c r="B70" s="6" t="inlineStr">
        <is>
          <t>자연자본 식별</t>
        </is>
      </c>
      <c r="C70" s="5" t="n">
        <v>2</v>
      </c>
      <c r="D70" s="6" t="inlineStr">
        <is>
          <t>2단계</t>
        </is>
      </c>
      <c r="E70" s="5" t="n">
        <v>25</v>
      </c>
      <c r="F70" s="7" t="inlineStr">
        <is>
          <t>조직이 위치한 사업장의 자연자본을 식별할 계획을 수립한 경우</t>
        </is>
      </c>
    </row>
    <row r="71">
      <c r="A71" s="6" t="inlineStr">
        <is>
          <t>E-11-1</t>
        </is>
      </c>
      <c r="B71" s="6" t="inlineStr">
        <is>
          <t>자연자본 식별</t>
        </is>
      </c>
      <c r="C71" s="5" t="n">
        <v>3</v>
      </c>
      <c r="D71" s="6" t="inlineStr">
        <is>
          <t>3단계</t>
        </is>
      </c>
      <c r="E71" s="5" t="n">
        <v>50</v>
      </c>
      <c r="F71" s="7" t="inlineStr">
        <is>
          <t>조직이 위치한 일부 사업장의 자연자본을 식별하고 있는 경우</t>
        </is>
      </c>
    </row>
    <row r="72">
      <c r="A72" s="6" t="inlineStr">
        <is>
          <t>E-11-1</t>
        </is>
      </c>
      <c r="B72" s="6" t="inlineStr">
        <is>
          <t>자연자본 식별</t>
        </is>
      </c>
      <c r="C72" s="5" t="n">
        <v>4</v>
      </c>
      <c r="D72" s="6" t="inlineStr">
        <is>
          <t>4단계</t>
        </is>
      </c>
      <c r="E72" s="5" t="n">
        <v>75</v>
      </c>
      <c r="F72" s="7" t="inlineStr">
        <is>
          <t>조직이 위치한 전체 사업장의 자연자본을 식별하고 있는 경우</t>
        </is>
      </c>
    </row>
    <row r="73">
      <c r="A73" s="6" t="inlineStr">
        <is>
          <t>E-11-1</t>
        </is>
      </c>
      <c r="B73" s="6" t="inlineStr">
        <is>
          <t>자연자본 식별</t>
        </is>
      </c>
      <c r="C73" s="5" t="n">
        <v>5</v>
      </c>
      <c r="D73" s="6" t="inlineStr">
        <is>
          <t>5단계</t>
        </is>
      </c>
      <c r="E73" s="5" t="n">
        <v>100</v>
      </c>
      <c r="F73" s="7" t="inlineStr">
        <is>
          <t>대외적으로 식별된 자연자본을 공개하고 있는 경우</t>
        </is>
      </c>
    </row>
    <row r="74">
      <c r="A74" s="6" t="inlineStr">
        <is>
          <t>E-11-2</t>
        </is>
      </c>
      <c r="B74" s="6" t="inlineStr">
        <is>
          <t>생물다양성 보존 전략</t>
        </is>
      </c>
      <c r="C74" s="5" t="n">
        <v>1</v>
      </c>
      <c r="D74" s="6" t="inlineStr">
        <is>
          <t>요건1</t>
        </is>
      </c>
      <c r="E74" s="5" t="n">
        <v>0</v>
      </c>
      <c r="F74" s="7" t="inlineStr">
        <is>
          <t>회피(Avoid)</t>
        </is>
      </c>
    </row>
    <row r="75">
      <c r="A75" s="6" t="inlineStr">
        <is>
          <t>E-11-2</t>
        </is>
      </c>
      <c r="B75" s="6" t="inlineStr">
        <is>
          <t>생물다양성 보존 전략</t>
        </is>
      </c>
      <c r="C75" s="5" t="n">
        <v>2</v>
      </c>
      <c r="D75" s="6" t="inlineStr">
        <is>
          <t>요건2</t>
        </is>
      </c>
      <c r="E75" s="5" t="n">
        <v>25</v>
      </c>
      <c r="F75" s="7" t="inlineStr">
        <is>
          <t>저감(Reduce)</t>
        </is>
      </c>
    </row>
    <row r="76">
      <c r="A76" s="6" t="inlineStr">
        <is>
          <t>E-11-2</t>
        </is>
      </c>
      <c r="B76" s="6" t="inlineStr">
        <is>
          <t>생물다양성 보존 전략</t>
        </is>
      </c>
      <c r="C76" s="5" t="n">
        <v>3</v>
      </c>
      <c r="D76" s="6" t="inlineStr">
        <is>
          <t>요건3</t>
        </is>
      </c>
      <c r="E76" s="5" t="n">
        <v>50</v>
      </c>
      <c r="F76" s="7" t="inlineStr">
        <is>
          <t>복원(Restore)</t>
        </is>
      </c>
    </row>
    <row r="77">
      <c r="A77" s="6" t="inlineStr">
        <is>
          <t>E-11-2</t>
        </is>
      </c>
      <c r="B77" s="6" t="inlineStr">
        <is>
          <t>생물다양성 보존 전략</t>
        </is>
      </c>
      <c r="C77" s="5" t="n">
        <v>4</v>
      </c>
      <c r="D77" s="6" t="inlineStr">
        <is>
          <t>요건4</t>
        </is>
      </c>
      <c r="E77" s="5" t="n">
        <v>75</v>
      </c>
      <c r="F77" s="7" t="inlineStr">
        <is>
          <t>재생(Regenerate)</t>
        </is>
      </c>
    </row>
    <row r="78">
      <c r="A78" s="6" t="inlineStr">
        <is>
          <t>E-11-2</t>
        </is>
      </c>
      <c r="B78" s="6" t="inlineStr">
        <is>
          <t>생물다양성 보존 전략</t>
        </is>
      </c>
      <c r="C78" s="5" t="n">
        <v>5</v>
      </c>
      <c r="D78" s="6" t="inlineStr">
        <is>
          <t>요건5</t>
        </is>
      </c>
      <c r="E78" s="5" t="n">
        <v>100</v>
      </c>
      <c r="F78" s="7" t="inlineStr">
        <is>
          <t>변경(Transform)</t>
        </is>
      </c>
    </row>
    <row r="79">
      <c r="A79" s="6" t="inlineStr">
        <is>
          <t>E-11-3</t>
        </is>
      </c>
      <c r="B79" s="6" t="inlineStr">
        <is>
          <t>산림보호 활동</t>
        </is>
      </c>
      <c r="C79" s="5" t="n">
        <v>1</v>
      </c>
      <c r="D79" s="6" t="inlineStr">
        <is>
          <t>요건1</t>
        </is>
      </c>
      <c r="E79" s="5" t="n">
        <v>0</v>
      </c>
      <c r="F79" s="7" t="inlineStr">
        <is>
          <t>산림보호 혹은 산림파괴 예방 정책을 수립한 경우 (사업 운영 전반에서 발생하는 산림파괴 리스크 관리 및 산림파괴 예방 등)</t>
        </is>
      </c>
    </row>
    <row r="80">
      <c r="A80" s="6" t="inlineStr">
        <is>
          <t>E-11-3</t>
        </is>
      </c>
      <c r="B80" s="6" t="inlineStr">
        <is>
          <t>산림보호 활동</t>
        </is>
      </c>
      <c r="C80" s="5" t="n">
        <v>2</v>
      </c>
      <c r="D80" s="6" t="inlineStr">
        <is>
          <t>요건2</t>
        </is>
      </c>
      <c r="E80" s="5" t="n">
        <v>25</v>
      </c>
      <c r="F80" s="7" t="inlineStr">
        <is>
          <t>사업 활동으로 인해 영향을 받는 지역을 조사하고 주요 보호지역을 정의한 경우 (산림이 제공하는 경관 및 지형학/지질학적 특성, 산림에 서식하는 생물다양성 등)</t>
        </is>
      </c>
    </row>
    <row r="81">
      <c r="A81" s="6" t="inlineStr">
        <is>
          <t>E-11-3</t>
        </is>
      </c>
      <c r="B81" s="6" t="inlineStr">
        <is>
          <t>산림보호 활동</t>
        </is>
      </c>
      <c r="C81" s="5" t="n">
        <v>3</v>
      </c>
      <c r="D81" s="6" t="inlineStr">
        <is>
          <t>요건3</t>
        </is>
      </c>
      <c r="E81" s="5" t="n">
        <v>50</v>
      </c>
      <c r="F81" s="7" t="inlineStr">
        <is>
          <t>산림보호를 위해 전사 차원의 목표를 수립한 경우 (산림파괴 없는 사업 운영 구조 완성, 탄소상쇄 활동(REDD+ 등)에 대한 성과개선 목표 설정 등)</t>
        </is>
      </c>
    </row>
    <row r="82">
      <c r="A82" s="6" t="inlineStr">
        <is>
          <t>E-11-3</t>
        </is>
      </c>
      <c r="B82" s="6" t="inlineStr">
        <is>
          <t>산림보호 활동</t>
        </is>
      </c>
      <c r="C82" s="5" t="n">
        <v>4</v>
      </c>
      <c r="D82" s="6" t="inlineStr">
        <is>
          <t>요건4</t>
        </is>
      </c>
      <c r="E82" s="5" t="n">
        <v>75</v>
      </c>
      <c r="F82" s="7" t="inlineStr">
        <is>
          <t>산림보호를 위한 단기/중장기 목표 수립 및 연도별 이행 현황을 파악하고 있는 경우 (중장기 산림 보호-복원-확대 목표 이행 현황 및 목표 대비 이행률 점검 등)</t>
        </is>
      </c>
    </row>
    <row r="83">
      <c r="A83" s="6" t="inlineStr">
        <is>
          <t>E-11-3</t>
        </is>
      </c>
      <c r="B83" s="6" t="inlineStr">
        <is>
          <t>산림보호 활동</t>
        </is>
      </c>
      <c r="C83" s="5" t="n">
        <v>5</v>
      </c>
      <c r="D83" s="6" t="inlineStr">
        <is>
          <t>요건5</t>
        </is>
      </c>
      <c r="E83" s="5" t="n">
        <v>100</v>
      </c>
      <c r="F83" s="7" t="inlineStr">
        <is>
          <t>산림보호를 위해 이해관계자로부터 의견을 수렴하고 관련 성과를 공유하는 경우 (산림 보호 활동 및 성과 공유, 외부 전문기관 및 비영리기관 등과 협력체계 구축 등)</t>
        </is>
      </c>
    </row>
    <row r="84">
      <c r="A84" s="6" t="inlineStr">
        <is>
          <t>E-기후변화 대응-추가1</t>
        </is>
      </c>
      <c r="B84" s="6" t="inlineStr">
        <is>
          <t>산림탄소흡수량</t>
        </is>
      </c>
      <c r="C84" s="5" t="n">
        <v>1</v>
      </c>
      <c r="D84" s="6" t="inlineStr">
        <is>
          <t>1단계</t>
        </is>
      </c>
      <c r="E84" s="5" t="n">
        <v>0</v>
      </c>
      <c r="F84" s="7" t="inlineStr">
        <is>
          <t>과거 4년간 산림탄소흡수량 정보 없음</t>
        </is>
      </c>
    </row>
    <row r="85">
      <c r="A85" s="6" t="inlineStr">
        <is>
          <t>E-기후변화 대응-추가1</t>
        </is>
      </c>
      <c r="B85" s="6" t="inlineStr">
        <is>
          <t>산림탄소흡수량</t>
        </is>
      </c>
      <c r="C85" s="5" t="n">
        <v>2</v>
      </c>
      <c r="D85" s="6" t="inlineStr">
        <is>
          <t>2단계</t>
        </is>
      </c>
      <c r="E85" s="5" t="n">
        <v>25</v>
      </c>
      <c r="F85" s="7" t="inlineStr">
        <is>
          <t>과거 4년간 산림탄소흡수량 공시</t>
        </is>
      </c>
    </row>
    <row r="86">
      <c r="A86" s="6" t="inlineStr">
        <is>
          <t>E-기후변화 대응-추가1</t>
        </is>
      </c>
      <c r="B86" s="6" t="inlineStr">
        <is>
          <t>산림탄소흡수량</t>
        </is>
      </c>
      <c r="C86" s="5" t="n">
        <v>3</v>
      </c>
      <c r="D86" s="6" t="inlineStr">
        <is>
          <t>3단계</t>
        </is>
      </c>
      <c r="E86" s="5" t="n">
        <v>50</v>
      </c>
      <c r="F86" s="7" t="inlineStr">
        <is>
          <t>과거 4년간 자사 배출량 대비 산림탄소흡수 상쇄량 하락 추세</t>
        </is>
      </c>
    </row>
    <row r="87">
      <c r="A87" s="6" t="inlineStr">
        <is>
          <t>E-기후변화 대응-추가1</t>
        </is>
      </c>
      <c r="B87" s="6" t="inlineStr">
        <is>
          <t>산림탄소흡수량</t>
        </is>
      </c>
      <c r="C87" s="5" t="n">
        <v>4</v>
      </c>
      <c r="D87" s="6" t="inlineStr">
        <is>
          <t>4단계</t>
        </is>
      </c>
      <c r="E87" s="5" t="n">
        <v>75</v>
      </c>
      <c r="F87" s="7" t="inlineStr">
        <is>
          <t>과거 4년간 자사 배출량 대비 산림탄소흡수 상쇄량 상승 추세</t>
        </is>
      </c>
    </row>
    <row r="88">
      <c r="A88" s="6" t="inlineStr">
        <is>
          <t>E-기후변화 대응-추가1</t>
        </is>
      </c>
      <c r="B88" s="6" t="inlineStr">
        <is>
          <t>산림탄소흡수량</t>
        </is>
      </c>
      <c r="C88" s="5" t="n">
        <v>5</v>
      </c>
      <c r="D88" s="6" t="inlineStr">
        <is>
          <t>5단계</t>
        </is>
      </c>
      <c r="E88" s="5" t="n">
        <v>100</v>
      </c>
      <c r="F88" s="7" t="inlineStr">
        <is>
          <t>과거 4년간 자사 배출량 대비 산림탄소흡수 상쇄량 매년 상승 추세 * 3개년 이하 데이터 보유 시 해당 데이터로 추세 산정</t>
        </is>
      </c>
    </row>
    <row r="89">
      <c r="A89" s="6" t="inlineStr">
        <is>
          <t>E-기후변화 대응-추가2</t>
        </is>
      </c>
      <c r="B89" s="6" t="inlineStr">
        <is>
          <t>친환경 차량 보유 비율</t>
        </is>
      </c>
      <c r="C89" s="5" t="n">
        <v>1</v>
      </c>
      <c r="D89" s="6" t="inlineStr">
        <is>
          <t>1단계</t>
        </is>
      </c>
      <c r="E89" s="5" t="n">
        <v>0</v>
      </c>
      <c r="F89" s="7" t="inlineStr">
        <is>
          <t>조직 내 친환경 차량의 보유 비율 0% ~ 20%</t>
        </is>
      </c>
    </row>
    <row r="90">
      <c r="A90" s="6" t="inlineStr">
        <is>
          <t>E-기후변화 대응-추가2</t>
        </is>
      </c>
      <c r="B90" s="6" t="inlineStr">
        <is>
          <t>친환경 차량 보유 비율</t>
        </is>
      </c>
      <c r="C90" s="5" t="n">
        <v>2</v>
      </c>
      <c r="D90" s="6" t="inlineStr">
        <is>
          <t>2단계</t>
        </is>
      </c>
      <c r="E90" s="5" t="n">
        <v>25</v>
      </c>
      <c r="F90" s="7" t="inlineStr">
        <is>
          <t>조직 내 친환경 차량의 보유 비율 21% ~ 40% 이내</t>
        </is>
      </c>
    </row>
    <row r="91">
      <c r="A91" s="6" t="inlineStr">
        <is>
          <t>E-기후변화 대응-추가2</t>
        </is>
      </c>
      <c r="B91" s="6" t="inlineStr">
        <is>
          <t>친환경 차량 보유 비율</t>
        </is>
      </c>
      <c r="C91" s="5" t="n">
        <v>3</v>
      </c>
      <c r="D91" s="6" t="inlineStr">
        <is>
          <t>3단계</t>
        </is>
      </c>
      <c r="E91" s="5" t="n">
        <v>50</v>
      </c>
      <c r="F91" s="7" t="inlineStr">
        <is>
          <t>조직 내 친환경 차량의 보유 비율 41% ~ 60% 이내</t>
        </is>
      </c>
    </row>
    <row r="92">
      <c r="A92" s="6" t="inlineStr">
        <is>
          <t>E-기후변화 대응-추가2</t>
        </is>
      </c>
      <c r="B92" s="6" t="inlineStr">
        <is>
          <t>친환경 차량 보유 비율</t>
        </is>
      </c>
      <c r="C92" s="5" t="n">
        <v>4</v>
      </c>
      <c r="D92" s="6" t="inlineStr">
        <is>
          <t>4단계</t>
        </is>
      </c>
      <c r="E92" s="5" t="n">
        <v>75</v>
      </c>
      <c r="F92" s="7" t="inlineStr">
        <is>
          <t>조직 내 친환경 차량의 보유 비율 61% ~ 80% 이내</t>
        </is>
      </c>
    </row>
    <row r="93">
      <c r="A93" s="6" t="inlineStr">
        <is>
          <t>E-기후변화 대응-추가2</t>
        </is>
      </c>
      <c r="B93" s="6" t="inlineStr">
        <is>
          <t>친환경 차량 보유 비율</t>
        </is>
      </c>
      <c r="C93" s="5" t="n">
        <v>5</v>
      </c>
      <c r="D93" s="6" t="inlineStr">
        <is>
          <t>5단계</t>
        </is>
      </c>
      <c r="E93" s="5" t="n">
        <v>100</v>
      </c>
      <c r="F93" s="7" t="inlineStr">
        <is>
          <t>조직 내 친환경 차량의 보유 비율 81% ~ 100% 이내</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G8"/>
  <sheetViews>
    <sheetView workbookViewId="0">
      <selection activeCell="A1" sqref="A1"/>
    </sheetView>
  </sheetViews>
  <sheetFormatPr baseColWidth="8" defaultRowHeight="15"/>
  <cols>
    <col width="3" customWidth="1" min="1" max="1"/>
    <col width="30" customWidth="1" min="2" max="2"/>
    <col width="12" customWidth="1" min="3" max="3"/>
    <col width="12" customWidth="1" min="4" max="4"/>
    <col width="18" customWidth="1" min="5" max="5"/>
    <col width="12" customWidth="1" min="6" max="6"/>
    <col width="12" customWidth="1" min="7" max="7"/>
  </cols>
  <sheetData>
    <row r="2">
      <c r="B2" s="15" t="inlineStr">
        <is>
          <t>KSSB 대비 GAP 분석 (분리본: E(환경))</t>
        </is>
      </c>
    </row>
    <row r="3">
      <c r="B3" t="inlineStr">
        <is>
          <t>KSSB(한국지속가능성기준위원회) 지속가능성 공시기준서 제1호(일반요구사항)·제2호(기후) 대비 K-ESG 가이드라인 v2.0의 대응 현황</t>
        </is>
      </c>
    </row>
    <row r="4">
      <c r="B4" s="1" t="inlineStr">
        <is>
          <t>※ 「ESG_핵심지표_채점기준표_전체」 01시트를 E(환경) 기준으로 재분류한 파일입니다. 아래 표는 01시트 입력값에 실시간 연동되는 수식입니다 (반도체특화문항은 영역과 무관하게 G 파일에 포함).</t>
        </is>
      </c>
    </row>
    <row r="6">
      <c r="A6" s="16" t="n"/>
      <c r="B6" s="17" t="inlineStr">
        <is>
          <t>영역</t>
        </is>
      </c>
      <c r="C6" s="17" t="inlineStr">
        <is>
          <t>완전대응</t>
        </is>
      </c>
      <c r="D6" s="17" t="inlineStr">
        <is>
          <t>부분대응</t>
        </is>
      </c>
      <c r="E6" s="17" t="inlineStr">
        <is>
          <t>GAP(대응지표 없음)</t>
        </is>
      </c>
      <c r="F6" s="17" t="inlineStr">
        <is>
          <t>항목수 합계</t>
        </is>
      </c>
      <c r="G6" s="17" t="inlineStr">
        <is>
          <t>완전대응율</t>
        </is>
      </c>
    </row>
    <row r="7">
      <c r="A7" s="18" t="n"/>
      <c r="B7" s="18" t="inlineStr">
        <is>
          <t>환경(E)</t>
        </is>
      </c>
      <c r="C7" s="18">
        <f>COUNTIFS('01_ESG통합진단마스터'!$P$3:$P$29,"완전대응")</f>
        <v/>
      </c>
      <c r="D7" s="18">
        <f>COUNTIFS('01_ESG통합진단마스터'!$P$3:$P$29,"부분대응")</f>
        <v/>
      </c>
      <c r="E7" s="18">
        <f>COUNTIFS('01_ESG통합진단마스터'!$P$3:$P$29,"GAP(대응지표 없음)")</f>
        <v/>
      </c>
      <c r="F7" s="18">
        <f>C7+D7+E7</f>
        <v/>
      </c>
      <c r="G7" s="19">
        <f>IFERROR(C7/F7,0)</f>
        <v/>
      </c>
    </row>
    <row r="8">
      <c r="A8" s="18" t="n"/>
      <c r="B8" s="20" t="inlineStr">
        <is>
          <t>전체(E(환경))</t>
        </is>
      </c>
      <c r="C8" s="20">
        <f>SUM(C7:C7)</f>
        <v/>
      </c>
      <c r="D8" s="20">
        <f>SUM(D7:D7)</f>
        <v/>
      </c>
      <c r="E8" s="20">
        <f>SUM(E7:E7)</f>
        <v/>
      </c>
      <c r="F8" s="20">
        <f>SUM(F7:F7)</f>
        <v/>
      </c>
      <c r="G8" s="21">
        <f>IFERROR(C8/F8,0)</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2:G25"/>
  <sheetViews>
    <sheetView workbookViewId="0">
      <selection activeCell="A1" sqref="A1"/>
    </sheetView>
  </sheetViews>
  <sheetFormatPr baseColWidth="8" defaultRowHeight="15"/>
  <cols>
    <col width="3" customWidth="1" min="1" max="1"/>
    <col width="30" customWidth="1" min="2" max="2"/>
    <col width="12" customWidth="1" min="3" max="3"/>
    <col width="14" customWidth="1" min="4" max="4"/>
    <col width="16" customWidth="1" min="5" max="5"/>
    <col width="14" customWidth="1" min="6" max="6"/>
    <col width="14" customWidth="1" min="7" max="7"/>
  </cols>
  <sheetData>
    <row r="2">
      <c r="B2" s="15" t="inlineStr">
        <is>
          <t>ESG 통합진단 요약 대시보드 (분리본: E(환경))</t>
        </is>
      </c>
    </row>
    <row r="3">
      <c r="B3" s="1" t="inlineStr">
        <is>
          <t>01_ESG통합진단마스터 시트의 입력값에 실시간 연동되는 수식입니다 (해당 시트에 점수를 입력하면 아래 표가 자동 갱신됩니다)</t>
        </is>
      </c>
    </row>
    <row r="5">
      <c r="B5" s="22" t="inlineStr">
        <is>
          <t>1. 진단 완료 현황</t>
        </is>
      </c>
    </row>
    <row r="6">
      <c r="B6" t="inlineStr">
        <is>
          <t>전체 진단항목 수</t>
        </is>
      </c>
      <c r="C6">
        <f>COUNTA('01_ESG통합진단마스터'!$B$3:$B$29)</f>
        <v/>
      </c>
    </row>
    <row r="7">
      <c r="B7" t="inlineStr">
        <is>
          <t>점수 입력 완료 항목 수</t>
        </is>
      </c>
      <c r="C7">
        <f>COUNT('01_ESG통합진단마스터'!$X$3:$X$29)</f>
        <v/>
      </c>
    </row>
    <row r="8">
      <c r="B8" t="inlineStr">
        <is>
          <t>입력 완료율</t>
        </is>
      </c>
      <c r="C8" s="23">
        <f>IFERROR(C7/C6,0)</f>
        <v/>
      </c>
    </row>
    <row r="10">
      <c r="B10" s="22" t="inlineStr">
        <is>
          <t>2. 영역별 평균 점수 (E(환경) 기준, 동일가중 단순평균 — 각 항목 100점 기준)</t>
        </is>
      </c>
    </row>
    <row r="11">
      <c r="A11" s="16" t="n"/>
      <c r="B11" s="17" t="inlineStr">
        <is>
          <t>영역</t>
        </is>
      </c>
      <c r="C11" s="17" t="inlineStr">
        <is>
          <t>항목 수</t>
        </is>
      </c>
      <c r="D11" s="17" t="inlineStr">
        <is>
          <t>점수입력 완료수</t>
        </is>
      </c>
      <c r="E11" s="17" t="inlineStr">
        <is>
          <t>평균점수(100점 환산)</t>
        </is>
      </c>
      <c r="F11" s="17" t="inlineStr">
        <is>
          <t>완전대응(KSSB)</t>
        </is>
      </c>
      <c r="G11" s="17" t="inlineStr">
        <is>
          <t>GAP(KSSB)</t>
        </is>
      </c>
    </row>
    <row r="12">
      <c r="A12" s="18" t="n"/>
      <c r="B12" s="18" t="inlineStr">
        <is>
          <t>환경(E)</t>
        </is>
      </c>
      <c r="C12" s="18">
        <f>COUNTIFS('01_ESG통합진단마스터'!$D$3:$D$29,"환경")</f>
        <v/>
      </c>
      <c r="D12" s="18">
        <f>SUMPRODUCT(('01_ESG통합진단마스터'!$D$3:$D$29="환경")*ISNUMBER('01_ESG통합진단마스터'!$X$3:$X$29))</f>
        <v/>
      </c>
      <c r="E12" s="18">
        <f>IFERROR(AVERAGEIFS('01_ESG통합진단마스터'!$X$3:$X$29,'01_ESG통합진단마스터'!$D$3:$D$29,"환경"),"미입력")</f>
        <v/>
      </c>
      <c r="F12" s="18">
        <f>COUNTIFS('01_ESG통합진단마스터'!$D$3:$D$29,"환경",'01_ESG통합진단마스터'!$P$3:$P$29,"완전대응")</f>
        <v/>
      </c>
      <c r="G12" s="18">
        <f>COUNTIFS('01_ESG통합진단마스터'!$D$3:$D$29,"환경",'01_ESG통합진단마스터'!$P$3:$P$29,"GAP(대응지표 없음)")</f>
        <v/>
      </c>
    </row>
    <row r="13">
      <c r="A13" s="18" t="n"/>
      <c r="B13" s="20" t="inlineStr">
        <is>
          <t>전체(종합)</t>
        </is>
      </c>
      <c r="C13" s="20">
        <f>SUM(C12:C12)</f>
        <v/>
      </c>
      <c r="D13" s="20">
        <f>SUM(D12:D12)</f>
        <v/>
      </c>
      <c r="E13" s="20">
        <f>IFERROR(AVERAGE('01_ESG통합진단마스터'!$X$3:$X$29),"미입력")</f>
        <v/>
      </c>
      <c r="F13" s="20">
        <f>SUM(F12:F12)</f>
        <v/>
      </c>
      <c r="G13" s="20">
        <f>SUM(G12:G12)</f>
        <v/>
      </c>
    </row>
    <row r="16">
      <c r="B16" s="22" t="inlineStr">
        <is>
          <t>3. 적용구분별 항목 수 (기본/추가/업종특화)</t>
        </is>
      </c>
    </row>
    <row r="17">
      <c r="A17" s="16" t="n"/>
      <c r="B17" s="17" t="inlineStr">
        <is>
          <t>적용구분</t>
        </is>
      </c>
      <c r="C17" s="17" t="inlineStr">
        <is>
          <t>항목 수</t>
        </is>
      </c>
      <c r="D17" s="17" t="inlineStr">
        <is>
          <t>점수입력 완료수</t>
        </is>
      </c>
      <c r="E17" s="17" t="inlineStr">
        <is>
          <t>평균점수</t>
        </is>
      </c>
    </row>
    <row r="18">
      <c r="A18" s="18" t="n"/>
      <c r="B18" s="18" t="inlineStr">
        <is>
          <t>기본진단항목(v2.0)</t>
        </is>
      </c>
      <c r="C18" s="18">
        <f>COUNTIF('01_ESG통합진단마스터'!$C$3:$C$29,"기본진단항목(v2.0)")</f>
        <v/>
      </c>
      <c r="D18" s="18">
        <f>SUMPRODUCT(('01_ESG통합진단마스터'!$C$3:$C$29="기본진단항목(v2.0)")*ISNUMBER('01_ESG통합진단마스터'!$X$3:$X$29))</f>
        <v/>
      </c>
      <c r="E18" s="18">
        <f>IFERROR(AVERAGEIFS('01_ESG통합진단마스터'!$X$3:$X$29,'01_ESG통합진단마스터'!$C$3:$C$29,"기본진단항목(v2.0)"),"미입력")</f>
        <v/>
      </c>
    </row>
    <row r="19">
      <c r="A19" s="18" t="n"/>
      <c r="B19" s="18" t="inlineStr">
        <is>
          <t>추가진단항목(v2.0)</t>
        </is>
      </c>
      <c r="C19" s="18">
        <f>COUNTIF('01_ESG통합진단마스터'!$C$3:$C$29,"추가진단항목(v2.0)")</f>
        <v/>
      </c>
      <c r="D19" s="18">
        <f>SUMPRODUCT(('01_ESG통합진단마스터'!$C$3:$C$29="추가진단항목(v2.0)")*ISNUMBER('01_ESG통합진단마스터'!$X$3:$X$29))</f>
        <v/>
      </c>
      <c r="E19" s="18">
        <f>IFERROR(AVERAGEIFS('01_ESG통합진단마스터'!$X$3:$X$29,'01_ESG통합진단마스터'!$C$3:$C$29,"추가진단항목(v2.0)"),"미입력")</f>
        <v/>
      </c>
    </row>
    <row r="20">
      <c r="A20" s="18" t="n"/>
      <c r="B20" s="18" t="inlineStr">
        <is>
          <t>업종특화(반도체 v1.0)</t>
        </is>
      </c>
      <c r="C20" s="18">
        <f>COUNTIF('01_ESG통합진단마스터'!$C$3:$C$29,"업종특화(반도체 v1.0)")</f>
        <v/>
      </c>
      <c r="D20" s="18">
        <f>SUMPRODUCT(('01_ESG통합진단마스터'!$C$3:$C$29="업종특화(반도체 v1.0)")*ISNUMBER('01_ESG통합진단마스터'!$X$3:$X$29))</f>
        <v/>
      </c>
      <c r="E20" s="18">
        <f>IFERROR(AVERAGEIFS('01_ESG통합진단마스터'!$X$3:$X$29,'01_ESG통합진단마스터'!$C$3:$C$29,"업종특화(반도체 v1.0)"),"미입력")</f>
        <v/>
      </c>
    </row>
    <row r="23">
      <c r="B23" s="22" t="inlineStr">
        <is>
          <t>4. 참고</t>
        </is>
      </c>
    </row>
    <row r="24">
      <c r="B24" t="inlineStr">
        <is>
          <t>평균점수는 각 영역 내 모든 항목에 동일 가중치(1/N)를 부여한 단순평균이며, 점수 미입력 항목은 제외하고 계산합니다.</t>
        </is>
      </c>
    </row>
    <row r="25">
      <c r="B25" t="inlineStr">
        <is>
          <t>본 파일은 「ESG_핵심지표_채점기준표_전체」에서 E(환경) 기준으로 분리된 작업본입니다.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2026-08-31T12:06:20Z</dcterms:created>
  <dcterms:modified xsi:type="dcterms:W3CDTF">2026-09-03T08:01:55Z</dcterms:modified>
</cp:coreProperties>
</file>