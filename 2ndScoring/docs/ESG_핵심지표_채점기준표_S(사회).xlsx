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ESG통합진단마스터" sheetId="1" state="visible" r:id="rId1"/>
    <sheet name="02_점수산정참고표" sheetId="2" state="visible" r:id="rId2"/>
    <sheet name="04_KSSB갭분석" sheetId="3" state="visible" r:id="rId3"/>
    <sheet name="05_요약대시보드"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i val="1"/>
      <color rgb="FF666666"/>
      <sz val="9"/>
    </font>
    <font>
      <name val="Arial"/>
      <family val="2"/>
      <b val="1"/>
      <color rgb="FFFFFFFF"/>
      <sz val="9.5"/>
    </font>
    <font>
      <name val="Noto Sans CJK SC"/>
      <charset val="1"/>
      <family val="2"/>
      <b val="1"/>
      <color rgb="FFFFFFFF"/>
      <sz val="9.5"/>
    </font>
    <font>
      <name val="Arial"/>
      <family val="2"/>
      <sz val="9.5"/>
    </font>
    <font>
      <name val="Noto Sans CJK SC"/>
      <charset val="1"/>
      <family val="2"/>
      <sz val="9.5"/>
    </font>
    <font>
      <name val="Noto Sans CJK SC"/>
      <charset val="1"/>
      <family val="2"/>
      <b val="1"/>
      <sz val="9.5"/>
    </font>
    <font>
      <name val="Arial"/>
      <family val="2"/>
      <b val="1"/>
      <color rgb="FF0000FF"/>
      <sz val="9.5"/>
    </font>
    <font>
      <name val="Arial"/>
      <family val="2"/>
      <b val="1"/>
      <color rgb="FF1F4E78"/>
      <sz val="10"/>
    </font>
    <font>
      <b val="1"/>
      <sz val="13"/>
    </font>
    <font>
      <b val="1"/>
      <color rgb="FFFFFFFF"/>
    </font>
    <font>
      <b val="1"/>
    </font>
  </fonts>
  <fills count="8">
    <fill>
      <patternFill/>
    </fill>
    <fill>
      <patternFill patternType="gray125"/>
    </fill>
    <fill>
      <patternFill patternType="solid">
        <fgColor rgb="FF1F4E78"/>
        <bgColor rgb="FF003366"/>
      </patternFill>
    </fill>
    <fill>
      <patternFill patternType="solid">
        <fgColor rgb="FFF5F8FC"/>
        <bgColor rgb="FFFFFFFF"/>
      </patternFill>
    </fill>
    <fill>
      <patternFill patternType="solid">
        <fgColor rgb="FFFFF2CC"/>
        <bgColor rgb="FFFCE4D6"/>
      </patternFill>
    </fill>
    <fill>
      <patternFill patternType="solid">
        <fgColor rgb="FFFFEB9C"/>
        <bgColor rgb="FFFFF2CC"/>
      </patternFill>
    </fill>
    <fill>
      <patternFill patternType="solid">
        <fgColor rgb="FFFFFDE7"/>
        <bgColor rgb="FFFFFFFF"/>
      </patternFill>
    </fill>
    <fill>
      <patternFill patternType="solid">
        <fgColor rgb="FF1F4E78"/>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2" borderId="1" applyAlignment="1" pivotButton="0" quotePrefix="0" xfId="0">
      <alignment horizontal="center" vertical="top" wrapText="1"/>
    </xf>
    <xf numFmtId="0" fontId="3" fillId="2" borderId="1" applyAlignment="1" pivotButton="0" quotePrefix="0" xfId="0">
      <alignment horizontal="center" vertical="top" wrapText="1"/>
    </xf>
    <xf numFmtId="0" fontId="3" fillId="2" borderId="0" applyAlignment="1" pivotButton="0" quotePrefix="0" xfId="0">
      <alignment horizontal="center" vertical="top" wrapText="1"/>
    </xf>
    <xf numFmtId="0" fontId="4" fillId="3" borderId="1" applyAlignment="1" pivotButton="0" quotePrefix="0" xfId="0">
      <alignment horizontal="center" vertical="center"/>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6" fillId="4" borderId="1" applyAlignment="1" pivotButton="0" quotePrefix="0" xfId="0">
      <alignment horizontal="center" vertical="top" wrapText="1"/>
    </xf>
    <xf numFmtId="0" fontId="5" fillId="3" borderId="1" applyAlignment="1" pivotButton="0" quotePrefix="0" xfId="0">
      <alignment horizontal="center" vertical="top" wrapText="1"/>
    </xf>
    <xf numFmtId="0" fontId="5" fillId="5" borderId="1" applyAlignment="1" pivotButton="0" quotePrefix="0" xfId="0">
      <alignment horizontal="center" vertical="top" wrapText="1"/>
    </xf>
    <xf numFmtId="0" fontId="7" fillId="6" borderId="1" applyAlignment="1" pivotButton="0" quotePrefix="0" xfId="0">
      <alignment horizontal="center" vertical="center"/>
    </xf>
    <xf numFmtId="0" fontId="7" fillId="3" borderId="1" applyAlignment="1" pivotButton="0" quotePrefix="0" xfId="0">
      <alignment horizontal="center" vertical="center"/>
    </xf>
    <xf numFmtId="1" fontId="8" fillId="3" borderId="1" applyAlignment="1" pivotButton="0" quotePrefix="0" xfId="0">
      <alignment horizontal="center" vertical="center"/>
    </xf>
    <xf numFmtId="0" fontId="5" fillId="0" borderId="0" applyAlignment="1" pivotButton="0" quotePrefix="0" xfId="0">
      <alignment horizontal="left" vertical="top" wrapText="1"/>
    </xf>
    <xf numFmtId="0" fontId="9" fillId="0" borderId="0" pivotButton="0" quotePrefix="0" xfId="0"/>
    <xf numFmtId="0" fontId="10" fillId="0" borderId="2" applyAlignment="1" pivotButton="0" quotePrefix="0" xfId="0">
      <alignment horizontal="center" vertical="center" wrapText="1"/>
    </xf>
    <xf numFmtId="0" fontId="10" fillId="7" borderId="2" applyAlignment="1" pivotButton="0" quotePrefix="0" xfId="0">
      <alignment horizontal="center" vertical="center" wrapText="1"/>
    </xf>
    <xf numFmtId="0" fontId="0" fillId="0" borderId="2" applyAlignment="1" pivotButton="0" quotePrefix="0" xfId="0">
      <alignment horizontal="center" vertical="center" wrapText="1"/>
    </xf>
    <xf numFmtId="10" fontId="0" fillId="0" borderId="2" applyAlignment="1" pivotButton="0" quotePrefix="0" xfId="0">
      <alignment horizontal="center" vertical="center" wrapText="1"/>
    </xf>
    <xf numFmtId="0" fontId="11" fillId="0" borderId="2" applyAlignment="1" pivotButton="0" quotePrefix="0" xfId="0">
      <alignment horizontal="center" vertical="center" wrapText="1"/>
    </xf>
    <xf numFmtId="10" fontId="11" fillId="0" borderId="2" applyAlignment="1" pivotButton="0" quotePrefix="0" xfId="0">
      <alignment horizontal="center" vertical="center" wrapText="1"/>
    </xf>
    <xf numFmtId="0" fontId="11"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6"/>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2" customWidth="1" min="2" max="2"/>
    <col width="16" customWidth="1" min="3" max="3"/>
    <col width="8" customWidth="1" min="4" max="4"/>
    <col width="16" customWidth="1" min="5" max="5"/>
    <col width="22" customWidth="1" min="6" max="6"/>
    <col width="34" customWidth="1" min="7" max="7"/>
    <col width="26" customWidth="1" min="8" max="8"/>
    <col width="12" customWidth="1" min="9" max="9"/>
    <col width="16" customWidth="1" min="10" max="10"/>
    <col width="26" customWidth="1" min="11" max="11"/>
    <col width="10" customWidth="1" min="12" max="12"/>
    <col width="8" customWidth="1" min="13" max="13"/>
    <col width="26" customWidth="1" min="14" max="14"/>
    <col width="46" customWidth="1" min="15" max="15"/>
    <col width="12" customWidth="1" min="16" max="16"/>
    <col width="30" customWidth="1" min="17" max="17"/>
    <col width="24" customWidth="1" min="18" max="18"/>
    <col width="20" customWidth="1" min="19" max="19"/>
    <col width="12" customWidth="1" min="20" max="20"/>
    <col width="10" customWidth="1" min="21" max="21"/>
    <col width="12" customWidth="1" min="24" max="24"/>
    <col width="34" customWidth="1" min="25" max="25"/>
    <col width="14" customWidth="1" min="26" max="26"/>
    <col width="42" customWidth="1" min="27" max="27"/>
    <col width="18" customWidth="1" min="28" max="28"/>
    <col width="30" customWidth="1" min="29" max="29"/>
  </cols>
  <sheetData>
    <row r="1">
      <c r="A1" s="1" t="inlineStr">
        <is>
          <t>[분리본: S(사회)] 원본 「ESG_핵심지표_채점기준표_전체」 01시트를 분류코드 기준으로 재분류한 파일입니다.</t>
        </is>
      </c>
    </row>
    <row r="2" ht="45.75" customHeight="1">
      <c r="A2" s="2" t="inlineStr">
        <is>
          <t>No</t>
        </is>
      </c>
      <c r="B2" s="3" t="inlineStr">
        <is>
          <t>분류코드</t>
        </is>
      </c>
      <c r="C2" s="3" t="inlineStr">
        <is>
          <t>적용구분</t>
        </is>
      </c>
      <c r="D2" s="3" t="inlineStr">
        <is>
          <t>영역</t>
        </is>
      </c>
      <c r="E2" s="3" t="inlineStr">
        <is>
          <t>범주</t>
        </is>
      </c>
      <c r="F2" s="3" t="inlineStr">
        <is>
          <t>진단항목명</t>
        </is>
      </c>
      <c r="G2" s="3" t="inlineStr">
        <is>
          <t>항목설명</t>
        </is>
      </c>
      <c r="H2" s="3" t="inlineStr">
        <is>
          <t>데이터원천(수집처)</t>
        </is>
      </c>
      <c r="I2" s="3" t="inlineStr">
        <is>
          <t>데이터기간</t>
        </is>
      </c>
      <c r="J2" s="3" t="inlineStr">
        <is>
          <t>데이터범위</t>
        </is>
      </c>
      <c r="K2" s="3" t="inlineStr">
        <is>
          <t>데이터산식(정량화공식)</t>
        </is>
      </c>
      <c r="L2" s="3" t="inlineStr">
        <is>
          <t>채점유형</t>
        </is>
      </c>
      <c r="M2" s="3" t="inlineStr">
        <is>
          <t>최대단계수</t>
        </is>
      </c>
      <c r="N2" s="3" t="inlineStr">
        <is>
          <t>배점구조 요약</t>
        </is>
      </c>
      <c r="O2" s="3" t="inlineStr">
        <is>
          <t>점검기준 상세(K-ESG v2.0 원문)</t>
        </is>
      </c>
      <c r="P2" s="2" t="inlineStr">
        <is>
          <t>KSSB 대응현황</t>
        </is>
      </c>
      <c r="Q2" s="2" t="inlineStr">
        <is>
          <t>KSSB 참고근거</t>
        </is>
      </c>
      <c r="R2" s="3" t="inlineStr">
        <is>
          <t>기타 참고기준(GRI/SASB/TCFD/KCGS 등)</t>
        </is>
      </c>
      <c r="S2" s="3" t="inlineStr">
        <is>
          <t>원본 출처파일</t>
        </is>
      </c>
      <c r="T2" s="2" t="inlineStr">
        <is>
          <t>[입력]충족단계/요건수</t>
        </is>
      </c>
      <c r="U2" s="2" t="inlineStr">
        <is>
          <t>[입력]위반유형1</t>
        </is>
      </c>
      <c r="V2" s="2" t="inlineStr">
        <is>
          <t>[입력]위반유형2</t>
        </is>
      </c>
      <c r="W2" s="2" t="inlineStr">
        <is>
          <t>[입력]위반유형3</t>
        </is>
      </c>
      <c r="X2" s="3" t="inlineStr">
        <is>
          <t>자사취득점수(0~100)</t>
        </is>
      </c>
      <c r="Y2" s="3" t="inlineStr">
        <is>
          <t>개선 가이드</t>
        </is>
      </c>
      <c r="Z2" s="3" t="inlineStr">
        <is>
          <t>비고</t>
        </is>
      </c>
      <c r="AA2" s="4" t="inlineStr">
        <is>
          <t>실사 진단 질문</t>
        </is>
      </c>
      <c r="AB2" s="4" t="inlineStr">
        <is>
          <t>답변형식</t>
        </is>
      </c>
    </row>
    <row r="3">
      <c r="A3" s="5" t="n">
        <v>31</v>
      </c>
      <c r="B3" s="6" t="inlineStr">
        <is>
          <t>S-1-1</t>
        </is>
      </c>
      <c r="C3" s="7" t="inlineStr">
        <is>
          <t>기본진단항목(v2.0)</t>
        </is>
      </c>
      <c r="D3" s="8" t="inlineStr">
        <is>
          <t>사회</t>
        </is>
      </c>
      <c r="E3" s="7" t="inlineStr">
        <is>
          <t>목표</t>
        </is>
      </c>
      <c r="F3" s="6" t="inlineStr">
        <is>
          <t>목표 수립 및 공시</t>
        </is>
      </c>
      <c r="G3" s="7" t="inlineStr">
        <is>
          <t> 조직이 중요하게 생각하는 사회분야의 이슈에 대하여, 재무적 가치와 사회적 가치의 균형점을 찾는 구체적인 목표를 설정하고, 이를 달성하기 위한 노력을 하는지 확인  ESG(지속가능경영)보고서를 통해 도출된 중요한 사회분야 이슈에 대해서 정성/정량적인 목표를 투자자, 고객 등 이해관계자 에게 공개하고 있는지 점검</t>
        </is>
      </c>
      <c r="H3" s="7" t="inlineStr">
        <is>
          <t>ESG(지속가능경영)보고서 내 핵심토픽 리스트 핵심토픽 단기/중장기 성과목표 공시데이터(정성/정량) 핵심토픽 단기/중장기 이행현황 공시데이터(정성/정량)</t>
        </is>
      </c>
      <c r="I3" s="7" t="inlineStr">
        <is>
          <t>직전 회계연도</t>
        </is>
      </c>
      <c r="J3" s="6" t="inlineStr">
        <is>
          <t>국내 및 해외 사업장</t>
        </is>
      </c>
      <c r="K3" s="6" t="inlineStr">
        <is>
          <t>N/A</t>
        </is>
      </c>
      <c r="L3" s="9" t="inlineStr">
        <is>
          <t>단계형</t>
        </is>
      </c>
      <c r="M3" s="5" t="n">
        <v>5</v>
      </c>
      <c r="N3" s="7" t="inlineStr">
        <is>
          <t>단계형: 1단계=0점 / 2단계=25점 / 3단계=50점 / 4단계=75점 / 5단계=100점</t>
        </is>
      </c>
      <c r="O3" s="6" t="inlineStr">
        <is>
          <t>1단계 |  단기/중장기 성과목표 또는 조직의 사회 분야 추진 방향성을 나타내는 사회분야 경영 미션/비전/지향점이 없는 경우 |  2단계 |  단기/중장기 성과목표는 수립되지 않았으나, 조직의 사회 분야 추진 방향성을 나타내는 사회분야 미션/비전/지향점을 제시하고 |  있는 경우 |  3단계 |  조직의 사회분야 핵심이슈에 대한 단기 목표를 설정하고 있는 경우 |  4단계 |  조직의 사회분야 핵심이슈에 대한 중장기 목표를 설정하고 있으나, 모든 중장기 목표가 정성적 형태로 되어 있는 경우 |  5단계 |  조직의 사회분야 핵심이슈에 대한 중장기 목표를 설정하고 있으며, 중장기 목표에는 정성 外 정량적 목표를 포함하고 있는 경우</t>
        </is>
      </c>
      <c r="P3" s="10" t="inlineStr">
        <is>
          <t>부분대응</t>
        </is>
      </c>
      <c r="Q3" s="6" t="inlineStr">
        <is>
          <t>KSSB 제1호 문단 51(지표 및 목표)</t>
        </is>
      </c>
      <c r="R3" s="6" t="inlineStr">
        <is>
          <t>GRI 3</t>
        </is>
      </c>
      <c r="S3" s="6" t="inlineStr">
        <is>
          <t>1_2_0_업종별 K-ESG 가이드라인(v2.0) 진단항목</t>
        </is>
      </c>
      <c r="T3" s="11" t="n"/>
      <c r="U3" s="12" t="n"/>
      <c r="V3" s="12" t="n"/>
      <c r="W3" s="12" t="n"/>
      <c r="X3" s="13" t="n"/>
      <c r="Y3" s="6" t="inlineStr">
        <is>
          <t> 조직은 중대성 평가(Materiality Test)를 통해 조직의 사업운영 및 외부환경에 중요한 영향력을 행사하는 핵심이슈를 도출할 수 있다. 조직은 사업운영에 해당하는 모든 직/간접 사회 분야 규제를 관리해야 함과 동시에 사업성과와 연계된 핵심이슈에 대해서는 목표에 의한 성과관리(MBO)가 필요하다. 조직이 수립할 수 있는 사회 분야 목표와 관련된 핵심이슈는 아래와 같다. 인권 리스크 저감 구성원 다양성 증진 차별 및 괴롭힘 방지 산업재해율 저감 협력사 ESG 지원 동반성장 및 상생협력 지역사회 투자 확대 개인정보 유출 최소화 소비자 정보 제공 제품 품질 및 안전 증진  목표는 조직이 의도적으로 달성하고자 하는 상태를 말하며, 조직의 성과와 관련된 작업행동의…</t>
        </is>
      </c>
      <c r="Z3" s="7" t="n"/>
      <c r="AA3" s="14" t="inlineStr">
        <is>
          <t>사회 분야 핵심이슈에 대해 중장기 정성/정량 목표를 설정/공시합니까?</t>
        </is>
      </c>
      <c r="AB3" s="14" t="inlineStr">
        <is>
          <t>단계(1~5)</t>
        </is>
      </c>
    </row>
    <row r="4">
      <c r="A4" s="5" t="n">
        <v>32</v>
      </c>
      <c r="B4" s="6" t="inlineStr">
        <is>
          <t>S-2-1</t>
        </is>
      </c>
      <c r="C4" s="7" t="inlineStr">
        <is>
          <t>기본진단항목(v2.0)</t>
        </is>
      </c>
      <c r="D4" s="8" t="inlineStr">
        <is>
          <t>사회</t>
        </is>
      </c>
      <c r="E4" s="7" t="inlineStr">
        <is>
          <t>노동</t>
        </is>
      </c>
      <c r="F4" s="6" t="inlineStr">
        <is>
          <t>신규 채용 및 고용 유지</t>
        </is>
      </c>
      <c r="G4" s="7" t="inlineStr">
        <is>
          <t> 조직이 신규 채용을 통해 지속적 성장에 필요한 인적자본을 축적함과 동시에, 지역사회의 일자리 창출, 고용안정성 증대에 기여하고 있는지 확인  조직이 창출한 부가가치를 채용에 투자하고 있는지, 조직의 고용 규모가 안정적인지 점검</t>
        </is>
      </c>
      <c r="H4" s="7" t="inlineStr">
        <is>
          <t>‘전자공시시스템’ 上 사업보고서, ‘조직별 홈페이지’ 上 지속가능경영보고서</t>
        </is>
      </c>
      <c r="I4" s="7" t="inlineStr">
        <is>
          <t>최근 4개 회계연도</t>
        </is>
      </c>
      <c r="J4" s="6" t="inlineStr">
        <is>
          <t>국내 및 해외 사업장</t>
        </is>
      </c>
      <c r="K4" s="6" t="inlineStr">
        <is>
          <t>① 신규 채용 지수 = (당해년도 신규 채용 인원 / 전년도 신규 채용 인원) / (당해년도 부가가치 / 전년도 부가가치) * 부가가치 = 영업손익 + 대손상각비 + 인건비 + 순금융비용 + 조세공과 + 감가상각비 ② 고용 규모 = 당해연도 총 인원 – 전년도 총 인원 * CAGR(연평균 증가율) 산식(4개년) : (최종 값 / 초기 값)∧(1/4) - 1</t>
        </is>
      </c>
      <c r="L4" s="9" t="inlineStr">
        <is>
          <t>복합가중형</t>
        </is>
      </c>
      <c r="M4" s="5" t="n"/>
      <c r="N4" s="7" t="inlineStr">
        <is>
          <t>복합가중형: 2~3개 세부요소를 균등가중평균(예: 1/2+1/2, 1/3×3) — 세부 배점은 점검기준 상세 참조, 자사취득점수는 수동 산정</t>
        </is>
      </c>
      <c r="O4" s="6" t="inlineStr">
        <is>
          <t>추세(1/2) |  1단계 |  직전 1개년도 ‘신규 채용 지수’가 최근 3년 지수 평균 값 미만 |  2단계 |  직전 1개년도 ‘신규 채용 지수’가 최근 3년 지수 평균 값 동일 |  3단계 |  직전 1개년도 ‘신규 채용 지수’가 최근 3년 지수 평균 값 초과 |  추세(1/2) |  1단계 |  직전 4개년 연평균(CAGR)적으로 ‘고용 규모’가 감소 |  2단계 |  직전 4개년 연평균(CAGR)적으로 ‘고용 규모’가 유지 |  3단계 |  직전 4개년 연평균(CAGR)적으로 ‘고용 규모’가 증가 |  * 3개년 이하 데이터 보유 시 해당 데이터로 추세 산정</t>
        </is>
      </c>
      <c r="P4" s="10" t="inlineStr">
        <is>
          <t>GAP(대응지표 없음)</t>
        </is>
      </c>
      <c r="Q4" s="6" t="inlineStr">
        <is>
          <t>KSSB 인적자원 지표 미규정</t>
        </is>
      </c>
      <c r="R4" s="6" t="inlineStr">
        <is>
          <t>GRI 401-1</t>
        </is>
      </c>
      <c r="S4" s="6" t="inlineStr">
        <is>
          <t>1_2_0_업종별 K-ESG 가이드라인(v2.0) 진단항목</t>
        </is>
      </c>
      <c r="T4" s="11" t="inlineStr">
        <is>
          <t>해당없음(복합가중형)</t>
        </is>
      </c>
      <c r="U4" s="12" t="n"/>
      <c r="V4" s="12" t="n"/>
      <c r="W4" s="12" t="n"/>
      <c r="X4" s="13" t="n"/>
      <c r="Y4" s="6" t="inlineStr">
        <is>
          <t> 신규채용은 지역사회의 일자리 창출, 고용안정성 증대 등 사회의 지속가능성 향상을 위해 필요한 요소이지만 조직이 속해있는 산업의 특성, 조직 규모 등 다양한 외부 환경을 고려할 때 무조건적인 신규채용 확대를 바람직하다고 이야기 할 수는 없을 것이다. 따라서 본 항목에서는 조직의 부가가치 창출 현황과 신규채용 인원을 통해 상대적인 신규채용 수준을 확인하고자 설계되었다.  본 항목에서의 신규채용이란 조직이 필요에 따라 구직자의 채용서류 심사 등을 기반으로 새로운 근무 인력을 채용하는 것을 의미한다. 여기서 새로운 인력이란 통계청의 경제활동인구조사 근로형태 중 비정규직 형태(한시적 근로자 또는 기간제 근로자, 단시간 근로자, 파견·용역·호출 등의 형태로 종사하는 근로자…</t>
        </is>
      </c>
      <c r="Z4" s="7" t="n"/>
      <c r="AA4" s="14" t="inlineStr">
        <is>
          <t>부가가치 창출 대비 신규채용 지수 및 고용 규모(총인원)가 4개년 간 증가 추세입니까?</t>
        </is>
      </c>
      <c r="AB4" s="14" t="inlineStr">
        <is>
          <t>단계(1~5)</t>
        </is>
      </c>
    </row>
    <row r="5">
      <c r="A5" s="5" t="n">
        <v>33</v>
      </c>
      <c r="B5" s="6" t="inlineStr">
        <is>
          <t>S-2-2</t>
        </is>
      </c>
      <c r="C5" s="7" t="inlineStr">
        <is>
          <t>기본진단항목(v2.0)</t>
        </is>
      </c>
      <c r="D5" s="8" t="inlineStr">
        <is>
          <t>사회</t>
        </is>
      </c>
      <c r="E5" s="7" t="inlineStr">
        <is>
          <t>노동</t>
        </is>
      </c>
      <c r="F5" s="6" t="inlineStr">
        <is>
          <t>정규직 비율</t>
        </is>
      </c>
      <c r="G5" s="7" t="inlineStr">
        <is>
          <t> 정규직 근로자의 비율 확대가 조직과 사회의 지속가능성에 긍정적 영향을 미친다는 가정 하에 조직이 정규직 확대를 통해 지역 사회의 고용안정성 증가와 비정규직 근로자 문제에 기여하고 있는 정도를 확인  조직의 전체 인력 대비 정규직 비율을 점검</t>
        </is>
      </c>
      <c r="H5" s="7" t="inlineStr">
        <is>
          <t>‘전자공시시스템’ 上 사업보고서, ‘조직별 홈페이지’ 上 지속가능경영보고서</t>
        </is>
      </c>
      <c r="I5" s="7" t="inlineStr">
        <is>
          <t>최근 4개 회계연도</t>
        </is>
      </c>
      <c r="J5" s="6" t="inlineStr">
        <is>
          <t>국내 및 해외 사업장</t>
        </is>
      </c>
      <c r="K5" s="6" t="inlineStr">
        <is>
          <t>정규직 비율 = (해당연도말기준총근로자수– 한시적근로자또는기간제근로자– 단시간근로자– 파견·용역·호출 등의 형태로 종사하는 근로자 ) / 해당연도 말 기준 총 근로자 수</t>
        </is>
      </c>
      <c r="L5" s="9" t="inlineStr">
        <is>
          <t>단계형</t>
        </is>
      </c>
      <c r="M5" s="5" t="n">
        <v>5</v>
      </c>
      <c r="N5" s="7" t="inlineStr">
        <is>
          <t>단계형: 1단계=0점 / 2단계=25점 / 3단계=50점 / 4단계=75점 / 5단계=100점</t>
        </is>
      </c>
      <c r="O5" s="6" t="inlineStr">
        <is>
          <t>1단계 |  최근 4개년 간 정규직 비율 데이터가 관리되지 않는 경우 |  2단계 |  조직의 정규직 비율이 40%인 이하인 경우 |  3단계 |  조직의 정규직 비율이 40% 초과 60% 이하인 경우 |  4단계 |  조직의 정규직 비율이 60% 초과 80% 이하인 경우 |  5단계 |  조직의 정규직 비율이 80%를 초과하는 경우 |  * 3개년 이하 데이터 보유 시 해당 데이터로 추세 산정</t>
        </is>
      </c>
      <c r="P5" s="10" t="inlineStr">
        <is>
          <t>GAP(대응지표 없음)</t>
        </is>
      </c>
      <c r="Q5" s="6" t="inlineStr">
        <is>
          <t>KSSB 인적자원 지표 미규정</t>
        </is>
      </c>
      <c r="R5" s="6" t="inlineStr">
        <is>
          <t>GRI 2-7</t>
        </is>
      </c>
      <c r="S5" s="6" t="inlineStr">
        <is>
          <t>1_2_0_업종별 K-ESG 가이드라인(v2.0) 진단항목</t>
        </is>
      </c>
      <c r="T5" s="11" t="n"/>
      <c r="U5" s="12" t="n"/>
      <c r="V5" s="12" t="n"/>
      <c r="W5" s="12" t="n"/>
      <c r="X5" s="13" t="n"/>
      <c r="Y5" s="6" t="inlineStr">
        <is>
          <t> 본 항목에서 사용하는 정규직의 정의는 통계청 경제활동인구조사 근로형태에 따라 1) 한시적 근로자, 2) 시간제 근로자, 3) 비전형 근로자(파견·용역 등) 등 비정규직을 제외한 기간의 정함이 없는 임금근로자를 통칭한다.  조직은 경영의 유연성을 위해 비정규직 근로자를 채용하여 활용할 수 있으나 비정규직 근로자의 고용불안과 함께 근로조건의 차별과 같은 사회적 문제가 지속해서 발생하며, 비정규직 근로자 문제 해결을 요구하는 사회적 목소리가 커지고 있다. 통계청의 경제활동인구조사 결과 2023년 기준 국내 비정규직 근로자 비율은 37% 지난 5년간 상승하는 추세에 있는 반면 비정규직 근로자의 근속기간은 정규직 근로자에 비해 상대적으로 짧은 것으로 나타나고 있다. 정규직…</t>
        </is>
      </c>
      <c r="Z5" s="7" t="n"/>
      <c r="AA5" s="14" t="inlineStr">
        <is>
          <t>파견, 일용직 등을 제외한 기간의 정함이 없는 정규직 비율이 충분합니까?</t>
        </is>
      </c>
      <c r="AB5" s="14" t="inlineStr">
        <is>
          <t>단계(1~5)</t>
        </is>
      </c>
    </row>
    <row r="6">
      <c r="A6" s="5" t="n">
        <v>34</v>
      </c>
      <c r="B6" s="6" t="inlineStr">
        <is>
          <t>S-2-3</t>
        </is>
      </c>
      <c r="C6" s="7" t="inlineStr">
        <is>
          <t>기본진단항목(v2.0)</t>
        </is>
      </c>
      <c r="D6" s="8" t="inlineStr">
        <is>
          <t>사회</t>
        </is>
      </c>
      <c r="E6" s="7" t="inlineStr">
        <is>
          <t>노동</t>
        </is>
      </c>
      <c r="F6" s="6" t="inlineStr">
        <is>
          <t>자발적 이직률</t>
        </is>
      </c>
      <c r="G6" s="7" t="inlineStr">
        <is>
          <t> 조직의 인적자원 관리 수준이 적정한 수준을 유지하며 관리되고 있는지 확인  구성원이 자발적으로 조직을 이동함을 의미하는 자발적 이직의 비율을 점검(산업적 특성 반영)</t>
        </is>
      </c>
      <c r="H6" s="7" t="inlineStr">
        <is>
          <t>‘전자공시시스템’ 上 사업보고서, ‘조직별 홈페이지’ 上 지속가능경영보고서</t>
        </is>
      </c>
      <c r="I6" s="7" t="inlineStr">
        <is>
          <t>최근 4개 회계연도</t>
        </is>
      </c>
      <c r="J6" s="6" t="inlineStr">
        <is>
          <t>국내 및 해외 사업장</t>
        </is>
      </c>
      <c r="K6" s="6" t="inlineStr">
        <is>
          <t>자발적 퇴사(이직)율 = 해당연도 총 자발적 퇴사자(이직자) 수 / 해당연도 말 총 직원 수</t>
        </is>
      </c>
      <c r="L6" s="9" t="inlineStr">
        <is>
          <t>단계형</t>
        </is>
      </c>
      <c r="M6" s="5" t="n">
        <v>3</v>
      </c>
      <c r="N6" s="7" t="inlineStr">
        <is>
          <t>단계형: 1단계=0점 / 2단계=50점 / 3단계=100점</t>
        </is>
      </c>
      <c r="O6" s="6" t="inlineStr">
        <is>
          <t>1단계 |  지난 4개년 자발적 이직률이 증가 추세 |  2단계 |  지난 4개년 자발적 이직률이 변동 없음 |  3단계 |  지난 4개년 자발적 이직률이 감소 추세 |  * 자발적 이직률 데이터를 관리하지 않고 있는 경우 0점 적용 |  * ‘유지 추세’로 판단할 경우 2단계로 적용하여 평가 |  * 3개년 이하 데이터 보유 시 해당 데이터로 추세 산정</t>
        </is>
      </c>
      <c r="P6" s="10" t="inlineStr">
        <is>
          <t>GAP(대응지표 없음)</t>
        </is>
      </c>
      <c r="Q6" s="6" t="inlineStr">
        <is>
          <t>KSSB 인적자원 지표 미규정</t>
        </is>
      </c>
      <c r="R6" s="6" t="inlineStr">
        <is>
          <t>GRI 401-1</t>
        </is>
      </c>
      <c r="S6" s="6" t="inlineStr">
        <is>
          <t>1_2_0_업종별 K-ESG 가이드라인(v2.0) 진단항목</t>
        </is>
      </c>
      <c r="T6" s="11" t="n"/>
      <c r="U6" s="12" t="n"/>
      <c r="V6" s="12" t="n"/>
      <c r="W6" s="12" t="n"/>
      <c r="X6" s="13" t="n"/>
      <c r="Y6" s="6" t="inlineStr">
        <is>
          <t> 이직(퇴사)은 조직의 인적자원에 대한 변화를 초래함으로써 생산성에 영향을 미칠 수 있다. 또한, 이직은 조직의 인건비 지출 감소나 이직으로 인한 채용 등 비용과도 직접적인 관련을 가진다. 이직률은 근로자가 느끼는 불확실성과 불만족의 정도나 기업 구조의 근본적인 변화를 나타내는 지표로써 활용될 수 있다.  근로자의 이직(퇴사)은 자발적 또는 비자발적 경우로 구분할 수 있으며, 비자발적인 경우는 고용계약 종료, 구조조정이나 합병 및 해고 등에 따른 면직, 정년퇴직, 사망 등 근로자의 의사와 무관하게 진행되는 이직(퇴사)을 통칭한다.  본 항목은 조직의 직전 1개년도 ‘동종산업 평균퇴사(이직)율’을 활용하여 4개년 간의 이직률 추세를 함께 점검함으로써 조직의 상대적인…</t>
        </is>
      </c>
      <c r="Z6" s="7" t="n"/>
      <c r="AA6" s="14" t="inlineStr">
        <is>
          <t>인적자원 관리 수준을 대변하는 자발적 이직률이 최근 4개년 간 감소 추세입니까?</t>
        </is>
      </c>
      <c r="AB6" s="14" t="inlineStr">
        <is>
          <t>단계(1~5)</t>
        </is>
      </c>
    </row>
    <row r="7">
      <c r="A7" s="5" t="n">
        <v>35</v>
      </c>
      <c r="B7" s="6" t="inlineStr">
        <is>
          <t>S-2-4</t>
        </is>
      </c>
      <c r="C7" s="7" t="inlineStr">
        <is>
          <t>기본진단항목(v2.0)</t>
        </is>
      </c>
      <c r="D7" s="8" t="inlineStr">
        <is>
          <t>사회</t>
        </is>
      </c>
      <c r="E7" s="7" t="inlineStr">
        <is>
          <t>노동</t>
        </is>
      </c>
      <c r="F7" s="6" t="inlineStr">
        <is>
          <t>교육훈련비</t>
        </is>
      </c>
      <c r="G7" s="7" t="inlineStr">
        <is>
          <t> 조직이 미래 경쟁력 및 지속가능성 확보를 위해 구성원의 교육 및 훈련에 얼마나 투자하고 있는지 확인  상대적 비교가능성이 높은 ‘원단위’ 개념을 적용하여 인적자본 관리 기본 진단항목인 구성원 수 기반의 1인당 교육훈련비를 점검. 최근 5개 회계연도의 1인당 교육훈련비 추세를 함께 고려</t>
        </is>
      </c>
      <c r="H7" s="7" t="inlineStr">
        <is>
          <t>‘전자공시시스템’ 上 사업보고서, ‘조직별 홈페이지’ 上 지속가능경영보고서</t>
        </is>
      </c>
      <c r="I7" s="7" t="inlineStr">
        <is>
          <t>최근 4개 회계연도</t>
        </is>
      </c>
      <c r="J7" s="6" t="inlineStr">
        <is>
          <t>국내 사업장</t>
        </is>
      </c>
      <c r="K7" s="6" t="inlineStr">
        <is>
          <t>1인당 교육훈련비 = 직전 1개년도 교육훈련 지출 비용 / 해당연도 말 총 구성원 수</t>
        </is>
      </c>
      <c r="L7" s="9" t="inlineStr">
        <is>
          <t>단계형</t>
        </is>
      </c>
      <c r="M7" s="5" t="n">
        <v>3</v>
      </c>
      <c r="N7" s="7" t="inlineStr">
        <is>
          <t>단계형: 1단계=0점 / 2단계=50점 / 3단계=100점</t>
        </is>
      </c>
      <c r="O7" s="6" t="inlineStr">
        <is>
          <t>1단계 |  지난 4개년 1인당 교육훈련비 감소 추세 |  2단계 |  지난 4개년 1인당 교육훈련비 변동 없음 |  3단계 |  지난 4개년 1인당 교육훈련비 증가 추세 |  * 최근 4개년 간 교육훈련비가 없거나, 1인당 교육훈련비 데이터가 관리되지 않는 경우 0점 적용 |  * ‘유지 추세’로 판단할 경우 2단계로 적용하여 평가 |  * 3개년 이하 데이터 보유 시 해당 데이터로 추세 산정</t>
        </is>
      </c>
      <c r="P7" s="10" t="inlineStr">
        <is>
          <t>GAP(대응지표 없음)</t>
        </is>
      </c>
      <c r="Q7" s="6" t="inlineStr">
        <is>
          <t>KSSB 인적자원 지표 미규정</t>
        </is>
      </c>
      <c r="R7" s="6" t="inlineStr">
        <is>
          <t>GRI 404-1</t>
        </is>
      </c>
      <c r="S7" s="6" t="inlineStr">
        <is>
          <t>1_2_0_업종별 K-ESG 가이드라인(v2.0) 진단항목</t>
        </is>
      </c>
      <c r="T7" s="11" t="n"/>
      <c r="U7" s="12" t="n"/>
      <c r="V7" s="12" t="n"/>
      <c r="W7" s="12" t="n"/>
      <c r="X7" s="13" t="n"/>
      <c r="Y7" s="6" t="inlineStr">
        <is>
          <t> 조직은 교육 및 훈련을 통해 업무 수행에 필요한 기술, 지식 등 구성원의 역량을 강화할 수 있으며, 이러한 교육훈련의 성과는 조직의 몰입도에 긍정적인 영향을 미치고 생산성 향상에 기여함으로써 미래 시장 경쟁력을 높이게 한다. 조직은 단기적인 이익창출과 교육훈련을 통한 장기적 성과 회수 사이의 괴리로 인해 구성원의 교육훈련에 소극적이고 수동적인 자세를 보일 수 있지만 장기적 관점의 경영성과 창출과 지속가능성 확보에 더욱 초점을 맞추는 것이 바람직하다.  교육훈련비는 조직의 미래 경쟁력, 지속가능경영 역량을 인적자원 측면에서 확인할 수 있는 항목으로, 조직의 총 구성원 수 대비 교육훈련 지출 비용을 비교하는 방식이 일반적이다. 다만, 조직의 규모, R&amp;D 투자 필요성…</t>
        </is>
      </c>
      <c r="Z7" s="7" t="n"/>
      <c r="AA7" s="14" t="inlineStr">
        <is>
          <t>1인당 평균 교육훈련 비용이 최근 4개년 간 증가 추세입니까?</t>
        </is>
      </c>
      <c r="AB7" s="14" t="inlineStr">
        <is>
          <t>단계(1~5)</t>
        </is>
      </c>
    </row>
    <row r="8">
      <c r="A8" s="5" t="n">
        <v>36</v>
      </c>
      <c r="B8" s="6" t="inlineStr">
        <is>
          <t>S-2-5</t>
        </is>
      </c>
      <c r="C8" s="7" t="inlineStr">
        <is>
          <t>기본진단항목(v2.0)</t>
        </is>
      </c>
      <c r="D8" s="8" t="inlineStr">
        <is>
          <t>사회</t>
        </is>
      </c>
      <c r="E8" s="7" t="inlineStr">
        <is>
          <t>노동</t>
        </is>
      </c>
      <c r="F8" s="6" t="inlineStr">
        <is>
          <t>복리후생비</t>
        </is>
      </c>
      <c r="G8" s="7" t="inlineStr">
        <is>
          <t> 조직이 임직원의 업무환경 및 근무조건 개선을 통해 직원 만족도를 높이고 있는지를 점검하는 항목으로 법률상 강제성이 있는 법정 복리후생비를 제외한 조직별 복리후생비를 확인  상대적 비교가능성이 높은 ‘원단위’ 개념을 적용하여 인적자본 관리 기본 진단항목인 구성원 수 기반의 1인당 복리후생비를 점검 (최근 4개 회계연도의 1인당 복리후생비 추세 고려)</t>
        </is>
      </c>
      <c r="H8" s="7" t="inlineStr">
        <is>
          <t>‘전자공시시스템’ 上 사업보고서, ‘조직별 홈페이지’ 上 지속가능경영보고서</t>
        </is>
      </c>
      <c r="I8" s="7" t="inlineStr">
        <is>
          <t>최근 4개 회계연도</t>
        </is>
      </c>
      <c r="J8" s="6" t="inlineStr">
        <is>
          <t>국내 사업장</t>
        </is>
      </c>
      <c r="K8" s="6" t="inlineStr">
        <is>
          <t>1인당 복리후생비 = 직전 1개년도 복리후생비 / 직전 1개년도 말 총 구성원 수</t>
        </is>
      </c>
      <c r="L8" s="9" t="inlineStr">
        <is>
          <t>단계형</t>
        </is>
      </c>
      <c r="M8" s="5" t="n">
        <v>3</v>
      </c>
      <c r="N8" s="7" t="inlineStr">
        <is>
          <t>단계형: 1단계=0점 / 2단계=50점 / 3단계=100점</t>
        </is>
      </c>
      <c r="O8" s="6" t="inlineStr">
        <is>
          <t>1단계 |  지난 4개년 1인당 복리후생비 감소 추세 |  2단계 |  지난 4개년 1인당 복리후생비 변동 없음 |  3단계 |  지난 4개년 1인당 복리후생비 증가 추세 |  * 최근 4개년 간 1인당 복리후생비 정보 없는 경우 0점 적용 |  * ‘유지 추세’로 판단할 경우 2단계로 적용하여 평가 |  * 3개년 이하 데이터 보유 시 해당 데이터로 추세 산정</t>
        </is>
      </c>
      <c r="P8" s="10" t="inlineStr">
        <is>
          <t>GAP(대응지표 없음)</t>
        </is>
      </c>
      <c r="Q8" s="6" t="inlineStr">
        <is>
          <t>KSSB 인적자원 지표 미규정</t>
        </is>
      </c>
      <c r="R8" s="6" t="inlineStr">
        <is>
          <t>GRI 401-2</t>
        </is>
      </c>
      <c r="S8" s="6" t="inlineStr">
        <is>
          <t>1_2_0_업종별 K-ESG 가이드라인(v2.0) 진단항목</t>
        </is>
      </c>
      <c r="T8" s="11" t="n"/>
      <c r="U8" s="12" t="n"/>
      <c r="V8" s="12" t="n"/>
      <c r="W8" s="12" t="n"/>
      <c r="X8" s="13" t="n"/>
      <c r="Y8" s="6" t="inlineStr">
        <is>
          <t> 복리후생은 조직이 구성원에게 제공하는 대표적인 비임금성 보상으로 기업복지, 근로복지 등 다양한 용어로 사용되고 있다. 최근에는 소위 ‘워라밸’(Work and Life Balance)로 불리는 일과 삶의 균형, 일과 가정의 양립 등이 중요한 사회적 이슈로 떠오르고, 복리후생이 구직자가 조직을 선택하는 중요한 기준의 하나로 자리 잡는 등 노동과 복리후생에 대한 사회의 시각이 빠르게 변화하고 있다. 이러한 복리후생은 구성원의 만족도, 핵심 인재의 확보와 유지 및 조직의 몰입도와 성과 향상 등에 영향을 미침에 따라 조직들은 효과적인 복리후생 프로그램을 운영하기 위한 노력을 기울일 필요가 있다.  복리후생은 법률로 명시되어 강제성이 부여된 법정 복리후생과 그 외의…</t>
        </is>
      </c>
      <c r="Z8" s="7" t="n"/>
      <c r="AA8" s="14" t="inlineStr">
        <is>
          <t>법정 외 1인당 복리후생비 지출이 최근 4개년 간 증가 추세입니까?</t>
        </is>
      </c>
      <c r="AB8" s="14" t="inlineStr">
        <is>
          <t>단계(1~5)</t>
        </is>
      </c>
    </row>
    <row r="9">
      <c r="A9" s="5" t="n">
        <v>37</v>
      </c>
      <c r="B9" s="6" t="inlineStr">
        <is>
          <t>S-2-6</t>
        </is>
      </c>
      <c r="C9" s="7" t="inlineStr">
        <is>
          <t>기본진단항목(v2.0)</t>
        </is>
      </c>
      <c r="D9" s="8" t="inlineStr">
        <is>
          <t>사회</t>
        </is>
      </c>
      <c r="E9" s="7" t="inlineStr">
        <is>
          <t>노동</t>
        </is>
      </c>
      <c r="F9" s="6" t="inlineStr">
        <is>
          <t>결사의 자유 보장</t>
        </is>
      </c>
      <c r="G9" s="7" t="inlineStr">
        <is>
          <t> 조직의 직원이 유엔 세계인권선언 제20조에서 제시하는 결사의 자유를 보장받을 수 있는지, 근로자 이해대변 및 협력적 노사관계 형성·유지를 위한 협의기구가 있는지 확인 - (결사의 자유 보장) 근로자가 주체가 되어 자주적으로 단결하여 근로조건의 유지·개선 기타 근로자의 경제적·사회적 지위의 향상을 도모함을 목적으로 조직하는 노동조합의 설립 및 정당한 노동조합 활동을 보장하고 있는지를 점검 - (노사협력) 아울러 ｢근로자참여 및 협력증진에 관한 법률｣에 따른 노사 협의기구인 노사협의회의 설치 및 실질적인 운영을 통한 노사 파트너십 수준을 점검</t>
        </is>
      </c>
      <c r="H9" s="7" t="inlineStr">
        <is>
          <t>'전자공시시스템' 上 사업보고서, '조직별 홈페이지' 上 지속가능경영보고서</t>
        </is>
      </c>
      <c r="I9" s="7" t="inlineStr">
        <is>
          <t>최근 3개 회계연도(단, 노동조합 가입·설립 또는 노사협의회 설치 시점이 3개 회계연도 이내인 경우에는 그 기간)</t>
        </is>
      </c>
      <c r="J9" s="6" t="inlineStr">
        <is>
          <t>국내 사업장</t>
        </is>
      </c>
      <c r="K9" s="6" t="inlineStr">
        <is>
          <t>N/A</t>
        </is>
      </c>
      <c r="L9" s="9" t="inlineStr">
        <is>
          <t>단계형</t>
        </is>
      </c>
      <c r="M9" s="5" t="n">
        <v>5</v>
      </c>
      <c r="N9" s="7" t="inlineStr">
        <is>
          <t>단계형: 1단계=0점 / 2단계=25점 / 3단계=50점 / 4단계=75점 / 5단계=100점</t>
        </is>
      </c>
      <c r="O9" s="6" t="inlineStr">
        <is>
          <t>※ 노동조합 가입·설립 정보가 없는 경우에는 노사협의회 설치·운영 부분을 대체지표로 사용 |  1단계 |  노동조합 가입‧설립, 노사협의회 설치 관련 정보가 모두 없음 |  (노조 가입‧신설 관련 부당노동행위로 노동위 판정 또는 법원 판결이 유죄로 확정된 경우) |  2단계 |  노동조합 가입‧설립 또는 상시근로자 30인 이상인 경우 노사협의회 설치(위원 선임, 협의회규정 제정 등) |  3단계 |  2단계 + 과거 또는 현재 적법한 교섭당사자로서의 노동조합과 단체교섭 진행 + 3개월마다 노사협의회 정기회의 개최 |  (회의록 작성·비치) |  4단계 |  3단계 + 노동조합과 단체협약(임금협약 포함) 체결 |  + 노사협의회 정기회의 외 추가 임시회의(노사 실무협의 포함) 개최 |  5단계 |  4단계 + 체결된 단체협약의 성실한 이행(단체협약 위반 시 불이행으로 간주) + 노사협의회 의결(합의) 여부</t>
        </is>
      </c>
      <c r="P9" s="10" t="inlineStr">
        <is>
          <t>GAP(대응지표 없음)</t>
        </is>
      </c>
      <c r="Q9" s="6" t="inlineStr">
        <is>
          <t>KSSB 인적자원 지표 미규정</t>
        </is>
      </c>
      <c r="R9" s="6" t="inlineStr">
        <is>
          <t>GRI 407</t>
        </is>
      </c>
      <c r="S9" s="6" t="inlineStr">
        <is>
          <t>1_2_0_업종별 K-ESG 가이드라인(v2.0) 진단항목</t>
        </is>
      </c>
      <c r="T9" s="11" t="n"/>
      <c r="U9" s="12" t="n"/>
      <c r="V9" s="12" t="n"/>
      <c r="W9" s="12" t="n"/>
      <c r="X9" s="13" t="n"/>
      <c r="Y9" s="6" t="inlineStr">
        <is>
          <t> 근로자는 자유로이 노동조합을 조직하거나 이에 가입할 수 있고 가입 형태에 따라 오픈숍(Open Shop)과 유니온숍(Union Shop)의 경우가 있으며, 해당 지표에서는 근로자가 노동조합을 조직하거나 두 가지 가입 형태에 따른 노동조합 가입을 모두 인정하고 있다. 다만, 근로자가 자발적으로 노동조합을 조직하지 않거나 이에 가입하지 않은 경우에는 ‘노사협의회 설치·운영’을 대체지표로 사용 가능하다.  노동조합의 대표자는 그 노동조합 또는 조합원을 위하여 사용자나 사용자단체와 교섭하고 단체협약을 체결할 권한을 가지며, 사용자는 노동조합의 대표자 또는 노동조합으로부터 위임을 받은 자와의 단체협약 체결 기타의 단체교섭을 정당한 이유 없이 거부하거나 해체하지 못한다. …</t>
        </is>
      </c>
      <c r="Z9" s="7" t="n"/>
      <c r="AA9" s="14" t="inlineStr">
        <is>
          <t>노동조합 설립·가입, 단체협약 이행, 분기별 노사협의회가 실질 운영됩니까?</t>
        </is>
      </c>
      <c r="AB9" s="14" t="inlineStr">
        <is>
          <t>단계(1~5)</t>
        </is>
      </c>
    </row>
    <row r="10">
      <c r="A10" s="5" t="n">
        <v>38</v>
      </c>
      <c r="B10" s="6" t="inlineStr">
        <is>
          <t>S-3-1</t>
        </is>
      </c>
      <c r="C10" s="7" t="inlineStr">
        <is>
          <t>기본진단항목(v2.0)</t>
        </is>
      </c>
      <c r="D10" s="8" t="inlineStr">
        <is>
          <t>사회</t>
        </is>
      </c>
      <c r="E10" s="7" t="inlineStr">
        <is>
          <t>다양성 및 양성평등</t>
        </is>
      </c>
      <c r="F10" s="6" t="inlineStr">
        <is>
          <t>여성 구성원 비율</t>
        </is>
      </c>
      <c r="G10" s="7" t="inlineStr">
        <is>
          <t> 조직의 중장기적 성장 및 새로운 사업기회 발굴에 필요한 창조적이고 혁신적인 조직문화를 위해 모든 직급의 구성원 다양성이 관리되고 있는지 확인  국내 인구구조적 특성을 고려하여, 다수의 다양성 기준 중 성별에 따른 다양성 현황을 점검하고자 함. 이를 위해, 조직의 남성 구성원 대비 여성 구성원(또는 여성 구성원 대비 남성 구성원)이 차지하는 비율을 직급별로 점검</t>
        </is>
      </c>
      <c r="H10" s="7" t="inlineStr">
        <is>
          <t>‘전자공시시스템’ 上 사업보고서, ‘조직별 홈페이지’ 上 지속가능경영보고서</t>
        </is>
      </c>
      <c r="I10" s="7" t="inlineStr">
        <is>
          <t>직전 회계연도</t>
        </is>
      </c>
      <c r="J10" s="6" t="inlineStr">
        <is>
          <t>국내 및 해외 사업장</t>
        </is>
      </c>
      <c r="K10" s="6" t="inlineStr">
        <is>
          <t>여성 구성원 비율 = 직전 회계연도 말 여성 구성원 수 (전체, 미등기임원) / 직전 회계연도 말 총 구성원 수 (전체, 미등기임원)</t>
        </is>
      </c>
      <c r="L10" s="9" t="inlineStr">
        <is>
          <t>단계형</t>
        </is>
      </c>
      <c r="M10" s="5" t="n">
        <v>5</v>
      </c>
      <c r="N10" s="7" t="inlineStr">
        <is>
          <t>단계형: 1단계=0점 / 2단계=25점 / 3단계=50점 / 4단계=75점 / 5단계=100점</t>
        </is>
      </c>
      <c r="O10" s="6" t="inlineStr">
        <is>
          <t>1단계 |  조직의 전체 구성원 중 여성이 차지하는 비율과, 미등기임원 중 여성이 차지하는 비율의 차이가 80%를 초과하는 경우 |  2단계 |  조직의 전체 구성원 중 여성이 차지하는 비율과, 미등기임원 중 여성이 차지하는 비율의 차이가 60% 초과 ~ 80% 이하인 경우 |  3단계 |  조직의 전체 구성원 중 여성이 차지하는 비율과, 미등기임원 중 여성이 차지하는 비율의 차이가 40% 초과 ~ 60% 이하인 경우 |  4단계 |  조직의 전체 구성원 중 여성이 차지하는 비율과, 미등기임원 중 여성이 차지하는 비율의 차이가 20% 초과 ~ 40% 이하인 경우 |  5단계 |  조직의 전체 구성원 중 여성이 차지하는 비율과, 미등기임원 중 여성이 차지하는 비율의 차이가 20% 이하인 경우 |  * 단, 결과값이 ‘-’ 일 경우, 본 지표에서 고려한 조직형태와 다른 경우이므로 적용하지 않음</t>
        </is>
      </c>
      <c r="P10" s="10" t="inlineStr">
        <is>
          <t>GAP(대응지표 없음)</t>
        </is>
      </c>
      <c r="Q10" s="6" t="inlineStr">
        <is>
          <t>KSSB 다양성 지표 미규정</t>
        </is>
      </c>
      <c r="R10" s="6" t="inlineStr">
        <is>
          <t>GRI 405-1</t>
        </is>
      </c>
      <c r="S10" s="6" t="inlineStr">
        <is>
          <t>1_2_0_업종별 K-ESG 가이드라인(v2.0) 진단항목</t>
        </is>
      </c>
      <c r="T10" s="11" t="n"/>
      <c r="U10" s="12" t="n"/>
      <c r="V10" s="12" t="n"/>
      <c r="W10" s="12" t="n"/>
      <c r="X10" s="13" t="n"/>
      <c r="Y10" s="6" t="inlineStr">
        <is>
          <t> 조직의 전체 구성원 중 여성 비율과, 미등기임원 중 여성 비율의 차이를 측정하는 이유는 조직이 여성의 안정적 근무를 위한 근로환경을 제공하고 있는지, 여성 리더를 적극적으로 발굴 및 육성하고 있는지 확인하기 위함이다. - 여성 구성원 비율 차이 산식(%) : 100 - {(직전 회계연도 말 여성 미등기임원 수/직전 회계연도 말 총 미등기임원 수)/ (직전 회계연도 말 총 여성 구성원 수/직전 회계연도 말 총 구성원 수)}  조직은 직급별, 직무별, 근속연수별, 지역별 여성 구성원 비율을 기준으로도 ‘여성 구성원 비율’ 성과를 점검할 수 있다. - 직급별 : ‘사원’, ‘대리’, ‘과장’, ‘차장’, ‘부장’ 등 직급체계를 기준으로 여성 구성원 비율을 확인하는 방식…</t>
        </is>
      </c>
      <c r="Z10" s="7" t="n"/>
      <c r="AA10" s="14" t="inlineStr">
        <is>
          <t>전체 여성 비율과 미등기임원 여성 비율 간의 격차가 균형 관리됩니까?</t>
        </is>
      </c>
      <c r="AB10" s="14" t="inlineStr">
        <is>
          <t>단계(1~5)</t>
        </is>
      </c>
    </row>
    <row r="11">
      <c r="A11" s="5" t="n">
        <v>39</v>
      </c>
      <c r="B11" s="6" t="inlineStr">
        <is>
          <t>S-3-2</t>
        </is>
      </c>
      <c r="C11" s="7" t="inlineStr">
        <is>
          <t>기본진단항목(v2.0)</t>
        </is>
      </c>
      <c r="D11" s="8" t="inlineStr">
        <is>
          <t>사회</t>
        </is>
      </c>
      <c r="E11" s="7" t="inlineStr">
        <is>
          <t>다양성 및 양성평등</t>
        </is>
      </c>
      <c r="F11" s="6" t="inlineStr">
        <is>
          <t>여성 급여 비율 (평균 급여액 대비)</t>
        </is>
      </c>
      <c r="G11" s="7" t="inlineStr">
        <is>
          <t> 조직이 다양성 측면에서 소수계층, 사회적 취약계층, 기타 단순한 신체적 차이를 사유로 임금 지급에 차별을 두는 인사제도, 고용관행이 있는지 확인  국내 인구구조적 특성을 고려하여, 차별이 발생하는 다양한 사례 중 성별에 따른 급여 차이가 발생하는지 점검. 조직의 남/여 구성원 중 평균 급여액 미만의 급여를 받는 집단을 기준으로 급여 차이를 확인하는 항목으로써, 1인 평균 급여액 대비 ‘여성 1인 평균 급여액’(또는, 남성 1인 평균 급여액) 비율을 점검</t>
        </is>
      </c>
      <c r="H11" s="7" t="inlineStr">
        <is>
          <t>‘전자공시시스템’ 上 사업보고서, ‘조직별 홈페이지’ 上 지속가능경영보고서</t>
        </is>
      </c>
      <c r="I11" s="7" t="inlineStr">
        <is>
          <t>직전 회계연도</t>
        </is>
      </c>
      <c r="J11" s="6" t="inlineStr">
        <is>
          <t>국내 및 해외 사업장</t>
        </is>
      </c>
      <c r="K11" s="6" t="inlineStr">
        <is>
          <t>남성대비 여성임금 비율 = 직전 회계연도 여성(또는 남성) 1인 평균 급여액 / 직전 회계연도 조직의 1인 평균 급여액</t>
        </is>
      </c>
      <c r="L11" s="9" t="inlineStr">
        <is>
          <t>단계형</t>
        </is>
      </c>
      <c r="M11" s="5" t="n">
        <v>5</v>
      </c>
      <c r="N11" s="7" t="inlineStr">
        <is>
          <t>단계형: 1단계=0점 / 2단계=25점 / 3단계=50점 / 4단계=75점 / 5단계=100점</t>
        </is>
      </c>
      <c r="O11" s="6" t="inlineStr">
        <is>
          <t>1단계 |  조직의 1인 평균 급여액 대비 ‘여성(또는 남성) 1인 평균 급여액’ 비율이 60% 이하인 경우 |  2단계 |  조직의 1인 평균 급여액 대비 ‘여성(또는 남성) 1인 평균 급여액’ 비율이 60% 초과 ~ 70% 이하인 경우 |  3단계 |  조직의 1인 평균 급여액 대비 ‘여성(또는 남성) 1인 평균 급여액’ 비율이 70% 초과 ~ 80% 이하인 경우 |  4단계 |  조직의 1인 평균 급여액 대비 ‘여성(또는 남성) 1인 평균 급여액’ 비율이 80% 초과 ~ 90% 이하인 경우 |  5단계 |  조직의 1인 평균 급여액 대비 ‘여성(또는 남성) 1인 평균 급여액’ 비율이 90%를 초과하는 경우</t>
        </is>
      </c>
      <c r="P11" s="10" t="inlineStr">
        <is>
          <t>GAP(대응지표 없음)</t>
        </is>
      </c>
      <c r="Q11" s="6" t="inlineStr">
        <is>
          <t>KSSB 다양성 지표 미규정</t>
        </is>
      </c>
      <c r="R11" s="6" t="inlineStr">
        <is>
          <t>GRI 405-2</t>
        </is>
      </c>
      <c r="S11" s="6" t="inlineStr">
        <is>
          <t>1_2_0_업종별 K-ESG 가이드라인(v2.0) 진단항목</t>
        </is>
      </c>
      <c r="T11" s="11" t="n"/>
      <c r="U11" s="12" t="n"/>
      <c r="V11" s="12" t="n"/>
      <c r="W11" s="12" t="n"/>
      <c r="X11" s="13" t="n"/>
      <c r="Y11" s="6" t="inlineStr">
        <is>
          <t> 여성(또는 남성) 급여 비율로 성과를 점검하는 이유는 조직이 성별 다양성 증진 활동의 결과물을 간접적으로 확인하기 위함이다. 조직의 성별 다양성 증진 활동이 효과적으로 실행되었다면, 상위 직급에 여성의 분포가 높아졌거나, 여성의 근속연수가 증가하였을 것이며, 이는 여성의 평균 급여액이라는 데이터에 반영되기 때문이다. 전체 구성원의 평균 급여액 대비 여성의 평균 급여액이 10% 이내, 또는 동일한 경우, 해당 조직의 다양성 관리는 효과적으로 이루어졌다고 볼 수 있다.  본 ‘여성 급여 비율’ 항목 정의서의 ‘1인 평균 급여액’이란 한국채택국제회계기준(IFRS) 제1019호에서 규정하는 ‘종업원 급여(단기종업원급여, 퇴직급여, 기타장기종업원급여, 해고급여)’를 회계연도…</t>
        </is>
      </c>
      <c r="Z11" s="7" t="n"/>
      <c r="AA11" s="14" t="inlineStr">
        <is>
          <t>남성 평균 급여 대비 여성 평균 급여의 격차가 점차 해소되고 있습니까?</t>
        </is>
      </c>
      <c r="AB11" s="14" t="inlineStr">
        <is>
          <t>단계(1~5)</t>
        </is>
      </c>
    </row>
    <row r="12">
      <c r="A12" s="5" t="n">
        <v>40</v>
      </c>
      <c r="B12" s="6" t="inlineStr">
        <is>
          <t>S-3-3</t>
        </is>
      </c>
      <c r="C12" s="7" t="inlineStr">
        <is>
          <t>기본진단항목(v2.0)</t>
        </is>
      </c>
      <c r="D12" s="8" t="inlineStr">
        <is>
          <t>사회</t>
        </is>
      </c>
      <c r="E12" s="7" t="inlineStr">
        <is>
          <t>다양성 및 양성평등</t>
        </is>
      </c>
      <c r="F12" s="6" t="inlineStr">
        <is>
          <t>장애인 고용률</t>
        </is>
      </c>
      <c r="G12" s="7" t="inlineStr">
        <is>
          <t> 장애인은 능력에 따라 보장받고, 고용되어, 유익하고 생산적인 업무를 통해 합리적인 보수를 받을 권리가 있으며, 조직이 해당 권리 향상을 지원하는지 확인  정부의 장애인 의무고용률을 기준으로 조직이 해당 사회적 책임을 이행하고 있는지를 점검 (매년 고용노동부에서 공시하는 장애인 의무고용률과 비교)</t>
        </is>
      </c>
      <c r="H12" s="7" t="inlineStr">
        <is>
          <t>‘전자공시시스템’ 上 사업보고서, ‘조직별 홈페이지’ 上 지속가능경영보고서</t>
        </is>
      </c>
      <c r="I12" s="7" t="inlineStr">
        <is>
          <t>직전 회계연도</t>
        </is>
      </c>
      <c r="J12" s="6" t="inlineStr">
        <is>
          <t>국내 사업장</t>
        </is>
      </c>
      <c r="K12" s="6" t="inlineStr">
        <is>
          <t>장애인 고용률 = ∑(월별 장애인 상시근로자 수) / ∑(월별 상시근로자 수) * 상시근로자수: 해당 월 15일 이상 또는 60시간 이상 근무한 자</t>
        </is>
      </c>
      <c r="L12" s="9" t="inlineStr">
        <is>
          <t>단계형</t>
        </is>
      </c>
      <c r="M12" s="5" t="n">
        <v>5</v>
      </c>
      <c r="N12" s="7" t="inlineStr">
        <is>
          <t>단계형: 1단계=0점 / 2단계=25점 / 3단계=50점 / 4단계=75점 / 5단계=100점</t>
        </is>
      </c>
      <c r="O12" s="6" t="inlineStr">
        <is>
          <t>1단계 |  직전 1개년도 장애인 의무고용률의 60% 미만일 경우 |  2단계 |  직전 1개년도 장애인 고용률이 법적 의무고용률의 60% 이상 80% 미만 수준인 경우 |  3단계 |  직전 1개년도 장애인 고용률이 법적 의무고용률의 80% 이상 100% 미만 수준인 경우 |  4단계 |  직전 1개년도 장애인 고용률이 법적 의무고용률의 100% 이상 120% 미만 수준인 경우 |  5단계 |  직전 1개년도 장애인 고용률이 법적 의무고용률의 120% 이상 수준인 경우 |  ※ 장애인 미고용 부담금 납부 시에도 실제 고용한 인원을 기준으로 산정 |  ※ 중증장애인 중 월 임금지급기초일수 16일 이상, 소정근로시간 60시간 이상인 근로자는 2명으로 계산</t>
        </is>
      </c>
      <c r="P12" s="10" t="inlineStr">
        <is>
          <t>GAP(대응지표 없음)</t>
        </is>
      </c>
      <c r="Q12" s="6" t="inlineStr">
        <is>
          <t>KSSB 다양성 지표 미규정</t>
        </is>
      </c>
      <c r="R12" s="6" t="inlineStr">
        <is>
          <t>GRI 405-1</t>
        </is>
      </c>
      <c r="S12" s="6" t="inlineStr">
        <is>
          <t>1_2_0_업종별 K-ESG 가이드라인(v2.0) 진단항목</t>
        </is>
      </c>
      <c r="T12" s="11" t="n"/>
      <c r="U12" s="12" t="n"/>
      <c r="V12" s="12" t="n"/>
      <c r="W12" s="12" t="n"/>
      <c r="X12" s="13" t="n"/>
      <c r="Y12" s="6" t="inlineStr">
        <is>
          <t> 장애인 고용의무제도는 국가·지방자치단체와 50명 이상 공공기관·민간기업 사업주에게 장애인을 일정비율 이상 고용하도록 의무화하고, 미 준수시 부담금을 부과하는 제도이다. 의무고용률 이상 고용한 사업주에 대해서는 규모에 상관없이 초과인원에 대해 장려금을 지급하며, 매년 ｢장애인고용촉진 및 직업재활법 시행령｣을 통해 기준연도에 해당하는 의무고용률을 공시하고 있다.  장애인 의무고용률은 국가 및 지자체, 공공기관, 민간기업에 별도 적용하며 상세내용은 아래 표와 같다. 기준연도 2021년 2022년 2023년 2024년 공무원 3.4% 3.6% 3.6% 3.8% 국가 및 지자체 비공무원 3.4% 3.6% 3.6% 3.8% 공공기관 3.4% 3.6% 3.6% 3.8% 민간기업…</t>
        </is>
      </c>
      <c r="Z12" s="7" t="n"/>
      <c r="AA12" s="14" t="inlineStr">
        <is>
          <t>법정 장애인 의무고용률 대비 실제 장애인 고용 비율을 초과 달성합니까?</t>
        </is>
      </c>
      <c r="AB12" s="14" t="inlineStr">
        <is>
          <t>단계(1~5)</t>
        </is>
      </c>
    </row>
    <row r="13">
      <c r="A13" s="5" t="n">
        <v>41</v>
      </c>
      <c r="B13" s="6" t="inlineStr">
        <is>
          <t>S-4-1</t>
        </is>
      </c>
      <c r="C13" s="7" t="inlineStr">
        <is>
          <t>기본진단항목(v2.0)</t>
        </is>
      </c>
      <c r="D13" s="8" t="inlineStr">
        <is>
          <t>사회</t>
        </is>
      </c>
      <c r="E13" s="7" t="inlineStr">
        <is>
          <t>산업안전</t>
        </is>
      </c>
      <c r="F13" s="6" t="inlineStr">
        <is>
          <t>안전보건 추진체계</t>
        </is>
      </c>
      <c r="G13" s="7" t="inlineStr">
        <is>
          <t> 조직이 산업인력 손실, 구성원 사기 저하, 생산성 및 품질 하락, 노사관계 악화 등 경제적 손실과 사회적 비용을 예방하기 위해, 안전 리스크 저감 및 건강·복지 증진 등 안전보건 성과 개선을 체계적으로 추진하고 있는지 확인  국내외 규격에서 제시하는 안전보건경영시스템 구성요건을 기준으로, 조직이 이를 따르거나 준용하여 안전보건 추진체계를 갖추고 있는지 점검</t>
        </is>
      </c>
      <c r="H13" s="7" t="inlineStr">
        <is>
          <t>안전보건경영시스템, 안전보건 정책, 안전보건 관리 규정</t>
        </is>
      </c>
      <c r="I13" s="7" t="inlineStr">
        <is>
          <t>직전 회계연도</t>
        </is>
      </c>
      <c r="J13" s="6" t="inlineStr">
        <is>
          <t>N/A</t>
        </is>
      </c>
      <c r="K13" s="6" t="inlineStr">
        <is>
          <t>N/A</t>
        </is>
      </c>
      <c r="L13" s="9" t="inlineStr">
        <is>
          <t>선택형</t>
        </is>
      </c>
      <c r="M13" s="5" t="n">
        <v>5</v>
      </c>
      <c r="N13" s="7" t="inlineStr">
        <is>
          <t>선택형: 요건1=0점 / 요건2=25점 / 요건3=50점 / 요건4=75점 / 요건5=100점</t>
        </is>
      </c>
      <c r="O13" s="6" t="inlineStr">
        <is>
          <t>요건1 |  경영자가 확고한 리더십으로 비전을 제시하고 필요한 자원을 배정하는 경우 |  (안전경영방침 공표, 인력·시설·장비 등 배정, 구성원에게 책임과 권한 부여) |  요건2 |  안전보건관리체계 구축을 위해 근로자의 참여 및 협의를 보장하는 경우 |  (안전보건 정보공개, 구성원 참여절차 마련, 의견제시 문화 조성 등) |  요건3 |  조직의 위험요인 파악과 이에 대한 제거·대체·통제 조치를 하는 경우 |  (유해위험요인 파악, 위험성 평가, 위험요인 제거·대체·통제 방안 마련, 교육훈련 실시) |  요건4 |  중대한 위험요인에 대처할 수 있는 비상 조치계획을 수립한 경우 |  (위험요인별 시나리오 및 조치계획 수립, 주기적 훈련, 사업장 내 도급 근로자 등 모든 구성원에 대한 보호 여부) |  요건5 |  안전보건 과제 및 목표의 이행현황을 평가하고 개선하는 경우 |  (목표 설정, 계획대비 달성 여부 평가, 문제점에 대한 주기적 검토와 개선)</t>
        </is>
      </c>
      <c r="P13" s="10" t="inlineStr">
        <is>
          <t>GAP(대응지표 없음)</t>
        </is>
      </c>
      <c r="Q13" s="6" t="inlineStr">
        <is>
          <t>KSSB 산업안전 지표 미규정</t>
        </is>
      </c>
      <c r="R13" s="6" t="inlineStr">
        <is>
          <t>GRI 403-1,2</t>
        </is>
      </c>
      <c r="S13" s="6" t="inlineStr">
        <is>
          <t>1_2_0_업종별 K-ESG 가이드라인(v2.0) 진단항목</t>
        </is>
      </c>
      <c r="T13" s="11" t="n"/>
      <c r="U13" s="12" t="n"/>
      <c r="V13" s="12" t="n"/>
      <c r="W13" s="12" t="n"/>
      <c r="X13" s="13" t="n"/>
      <c r="Y13" s="6" t="inlineStr">
        <is>
          <t> 안전보건관리체계의 구축 이행이란, 일하는 사람의 안전과 건강을 보호하기 위해 기업 스스로 위험요인을 파악하여 제거·대체 및 통제방안을 마련·이행하며 이를 지속적으로 개선하는 일련의 활동을 말한다.  안전보건관리는 기업의 사회적 책임이며, 경쟁력 제고의 첫걸음이다. 최근 ESG에 대한 사회적 관심이 높아지고 있다. 경영자의 안전보건관리는 ESG의 가장 기본이 되는 사항이다. 안전은 비용이 아닌 투자이며, 경영의 일부다. 산업재해가 발생하면 심각한 작업 차질이 발생하고 품질, 생산성 및 기업 이미지에 부정적 영향을 미친다. * 산업재해에 따른 경제적손실추정액 29조 9,841억 원, 근로손실일수 5,534만 일&lt;’20년&gt;  효과적인 안전보건관리체계를 구축하고 이행하기…</t>
        </is>
      </c>
      <c r="Z13" s="7" t="n"/>
      <c r="AA13" s="14" t="inlineStr">
        <is>
          <t>경영자 리더십, 위험성평가, 비상조치 계획, 평가/개선 5대 체계가 있습니까?</t>
        </is>
      </c>
      <c r="AB13" s="14" t="inlineStr">
        <is>
          <t>단계(1~5)</t>
        </is>
      </c>
    </row>
    <row r="14">
      <c r="A14" s="5" t="n">
        <v>42</v>
      </c>
      <c r="B14" s="6" t="inlineStr">
        <is>
          <t>S-4-2</t>
        </is>
      </c>
      <c r="C14" s="7" t="inlineStr">
        <is>
          <t>기본진단항목(v2.0)</t>
        </is>
      </c>
      <c r="D14" s="8" t="inlineStr">
        <is>
          <t>사회</t>
        </is>
      </c>
      <c r="E14" s="7" t="inlineStr">
        <is>
          <t>산업안전</t>
        </is>
      </c>
      <c r="F14" s="6" t="inlineStr">
        <is>
          <t>산업재해율</t>
        </is>
      </c>
      <c r="G14" s="7" t="inlineStr">
        <is>
          <t> 조직의 안전보건 거버넌스 구축, 중점과제 추진, 업무시스템 구축, 성과점검 및 평가 등 안전보건 추진체계가 효과성을 나타내고 있는지 확인  조직 구성원의 안전/보건을 위협하는 요인을 지속적으로 관리하고 재해율을 줄이기 위해 노력하고 있는지 점검 (국내외 모든 구성원으로부터 발생하는 산업재해율 추이 분석)</t>
        </is>
      </c>
      <c r="H14" s="7" t="inlineStr">
        <is>
          <t>‘전자공시시스템’ 上 사업보고서, ‘홈페이지’ 上 지속가능경영보고서, ‘고용노동부 홈페이지’ 上 산업재해 현황분석</t>
        </is>
      </c>
      <c r="I14" s="7" t="inlineStr">
        <is>
          <t>최근 4개 회계연도 기준</t>
        </is>
      </c>
      <c r="J14" s="6" t="inlineStr">
        <is>
          <t>국내 및 해외 사업장</t>
        </is>
      </c>
      <c r="K14" s="6" t="inlineStr">
        <is>
          <t>산업재해율 = (재해자 수 / 연 평균 근로자 수) * 100</t>
        </is>
      </c>
      <c r="L14" s="9" t="inlineStr">
        <is>
          <t>단계형</t>
        </is>
      </c>
      <c r="M14" s="5" t="n">
        <v>3</v>
      </c>
      <c r="N14" s="7" t="inlineStr">
        <is>
          <t>단계형: 1단계=0점 / 2단계=50점 / 3단계=100점</t>
        </is>
      </c>
      <c r="O14" s="6" t="inlineStr">
        <is>
          <t>1단계 |  지난 4개년 산업재해율 증가 추세 |  2단계 |  지난 4개년 산업재해율 변동 없음 |  3단계 |  지난 4개년 산업재해율 감소 추세 |  * 최근 4개년 간 산업재해율 정보를 관리하지 않는 경우 0점 적용 |  * 무재해의 경우에는 100점 적용 |  * '유지 추세'로 판단할 경우 2단계로 적용하여 평가 |  * 3개년 이하 데이터 보유 시 해당 데이터로 추세 산정</t>
        </is>
      </c>
      <c r="P14" s="10" t="inlineStr">
        <is>
          <t>GAP(대응지표 없음)</t>
        </is>
      </c>
      <c r="Q14" s="6" t="inlineStr">
        <is>
          <t>KSSB 산업안전 지표 미규정</t>
        </is>
      </c>
      <c r="R14" s="6" t="inlineStr">
        <is>
          <t>GRI 403-9, 중대재해처벌법</t>
        </is>
      </c>
      <c r="S14" s="6" t="inlineStr">
        <is>
          <t>1_2_0_업종별 K-ESG 가이드라인(v2.0) 진단항목</t>
        </is>
      </c>
      <c r="T14" s="11" t="n"/>
      <c r="U14" s="12" t="n"/>
      <c r="V14" s="12" t="n"/>
      <c r="W14" s="12" t="n"/>
      <c r="X14" s="13" t="n"/>
      <c r="Y14" s="6" t="inlineStr">
        <is>
          <t> 조직이 산업재해 발생 현황을 파악할 수 있는 지표는 다양하며, 국내에서는 대표적으로 재해율(천인율)을 기본 지표로 활용하고 있다. 이외, 조직의 산업재해 발생 현황을 파악할 수 있는 지표는 아래와 같다, (국내) 산업재해통계업무처리규정(시행 2001.1.1.)에서 규정하는 것에 따름 - 도수율(또는 빈도율) = (재해발생 건수 / 연 근로시간 수) * 1,000,000 - 강도율 = (총 근로손실일 수 / 연 근로시간 수) * 1,000 (해외) Occupational Safety and Health Administration(OSHA), USA 기준을 따름 - LTIR(Lost Time Injury Rate) = (Number of LTI / Number of…</t>
        </is>
      </c>
      <c r="Z14" s="7" t="n"/>
      <c r="AA14" s="14" t="inlineStr">
        <is>
          <t>연평균 근로자 수 대비 요양 승인된 산업재해자 비율이 감소 추세입니까?</t>
        </is>
      </c>
      <c r="AB14" s="14" t="inlineStr">
        <is>
          <t>단계(1~5)</t>
        </is>
      </c>
    </row>
    <row r="15">
      <c r="A15" s="5" t="n">
        <v>43</v>
      </c>
      <c r="B15" s="6" t="inlineStr">
        <is>
          <t>S-5-1</t>
        </is>
      </c>
      <c r="C15" s="7" t="inlineStr">
        <is>
          <t>기본진단항목(v2.0)</t>
        </is>
      </c>
      <c r="D15" s="8" t="inlineStr">
        <is>
          <t>사회</t>
        </is>
      </c>
      <c r="E15" s="7" t="inlineStr">
        <is>
          <t>인권</t>
        </is>
      </c>
      <c r="F15" s="6" t="inlineStr">
        <is>
          <t>인권정책 수립</t>
        </is>
      </c>
      <c r="G15" s="7" t="inlineStr">
        <is>
          <t> 조직이 UN의 ‘세계인권선언’ 및 ‘기업과 인권 이행원칙’, ILO ‘핵심협약’, OECD ‘책임있는 사업을 위한 실사 가이드라인’ 등에 기반하여, 인권경영 추진을 선언하는 대외공식적 정책을 제시하고 있는지 확인  조직이 인권정책(Human Rights Policy)을 통해 인권보호가 필요한 이슈에 대해 어떠한 정책적 접근을 하고 있는지 점검</t>
        </is>
      </c>
      <c r="H15" s="7" t="inlineStr">
        <is>
          <t>조직의 인권정책 내 아래의 이슈 중 어떠한 이슈가 다루어지고 있는지 측정 1) 차별금지, 2) 근로조건 준수, 3) 인도적 대우, 4) 강제근로 금지, 5) 아동노동 착취 금지, 6) 결사 및 단체교섭의 자유, 7) 산업안전 보장, 8) 지역주민 인권 보호, 9) 고객의 인권 보호, 10) 기타</t>
        </is>
      </c>
      <c r="I15" s="7" t="inlineStr">
        <is>
          <t>직전 회계연도 기준</t>
        </is>
      </c>
      <c r="J15" s="6" t="inlineStr">
        <is>
          <t>N/A</t>
        </is>
      </c>
      <c r="K15" s="6" t="inlineStr">
        <is>
          <t>N/A</t>
        </is>
      </c>
      <c r="L15" s="9" t="inlineStr">
        <is>
          <t>단계형</t>
        </is>
      </c>
      <c r="M15" s="5" t="n">
        <v>5</v>
      </c>
      <c r="N15" s="7" t="inlineStr">
        <is>
          <t>단계형: 1단계=0점 / 2단계=25점 / 3단계=50점 / 4단계=75점 / 5단계=100점</t>
        </is>
      </c>
      <c r="O15" s="6" t="inlineStr">
        <is>
          <t>1단계 |  조직의 대외공식적 인권정책이 수립되지 않은 경우. 또는, 인권정책이 있으나, 상기의 이슈 중 1~2개에 대한 조직의 정책적 접근 |  방향이 설명되어 있는 경우 |  2단계 |  상기의 이슈 중 3~4개에 대한 조직의 정책적 접근방향이 설명되어 있는 경우 |  3단계 |  상기의 이슈 중 5~6개에 대한 조직의 정책적 접근방향이 설명되어 있는 경우 |  4단계 |  상기의 이슈 중 7~8개에 대한 조직의 정책적 접근방향이 설명되어 있는 경우 |  5단계 |  상기의 이슈 중 9개 이상에 대한 조직의 정책적 접근방향이 설명되어 있는 경우</t>
        </is>
      </c>
      <c r="P15" s="10" t="inlineStr">
        <is>
          <t>부분대응</t>
        </is>
      </c>
      <c r="Q15" s="6" t="inlineStr">
        <is>
          <t>KSSB 제1호 부록A(가치사슬 개념) 준용</t>
        </is>
      </c>
      <c r="R15" s="6" t="inlineStr">
        <is>
          <t>UNGP, GRI 412-1</t>
        </is>
      </c>
      <c r="S15" s="6" t="inlineStr">
        <is>
          <t>1_2_0_업종별 K-ESG 가이드라인(v2.0) 진단항목</t>
        </is>
      </c>
      <c r="T15" s="11" t="n"/>
      <c r="U15" s="12" t="n"/>
      <c r="V15" s="12" t="n"/>
      <c r="W15" s="12" t="n"/>
      <c r="X15" s="13" t="n"/>
      <c r="Y15" s="6" t="inlineStr">
        <is>
          <t> 본 ‘인권정책 수립’ 항목 정의서는 UN, ILO, OECD 등에서 제시하는 인권 분야 이슈에 대해 조직이 공식적인 입장을 제시하고 있는지 확인한다. 각 인권 이슈에 대한 설명은 아래와 같다. 단, 제도, 상관습, 사회문화 등의 변화에 따라 인권 이슈는 새롭게 추가되거나, 변동될 수 있다. - 차별금지 : 성별, 인종, 민족, 국적, 종교, 장애, 기타 사회적 신분 등을 사유로 고용, 승진, 교육, 보상, 복리후생 등의 근로조건에 있어 차별하거나 괴롭히는 행위를 금지하는 것 - 근로조건 준수 : 법정근로시간을 준수하며, 초과근로에 대해서는 합당한 보수를 제공함. 또한, 모든 구성원이 업무에 몰입할 수 있는 적절한 근로환경을 조성하는 것 - 인도적 대우 : 구성원의…</t>
        </is>
      </c>
      <c r="Z15" s="7" t="n"/>
      <c r="AA15" s="14" t="inlineStr">
        <is>
          <t>차별/강제/아동노동 금지 등 주요 10대 핵심 인권 보호 정책을 수립했습니까?</t>
        </is>
      </c>
      <c r="AB15" s="14" t="inlineStr">
        <is>
          <t>단계(1~5)</t>
        </is>
      </c>
    </row>
    <row r="16">
      <c r="A16" s="5" t="n">
        <v>44</v>
      </c>
      <c r="B16" s="6" t="inlineStr">
        <is>
          <t>S-5-2</t>
        </is>
      </c>
      <c r="C16" s="7" t="inlineStr">
        <is>
          <t>기본진단항목(v2.0)</t>
        </is>
      </c>
      <c r="D16" s="8" t="inlineStr">
        <is>
          <t>사회</t>
        </is>
      </c>
      <c r="E16" s="7" t="inlineStr">
        <is>
          <t>인권</t>
        </is>
      </c>
      <c r="F16" s="6" t="inlineStr">
        <is>
          <t>인권 리스크 평가</t>
        </is>
      </c>
      <c r="G16" s="7" t="inlineStr">
        <is>
          <t> 조직의 사업운영과 관련되어 있는 구성원(직접고용 임직원, 협력사 근로자, 기타 사업장이 위치한 지역의 원주민 등)이 직면하거나, 또는 해당 구성원에게 잠재되어 있는 인권 리스크를 관리하고 있는지 확인  조직이 인권 리스크 평가 체계를 구축하고 있으며, 해당 인권 리스크 평가 체계에 따라 실제 인권 리스크를 평가 및 개선하고 있는지 점검</t>
        </is>
      </c>
      <c r="H16" s="7" t="inlineStr">
        <is>
          <t>인권정책, 인권 리스크 관리 프로세스</t>
        </is>
      </c>
      <c r="I16" s="7" t="inlineStr">
        <is>
          <t>직전 회계연도 기준</t>
        </is>
      </c>
      <c r="J16" s="6" t="inlineStr">
        <is>
          <t>국내외 사업장 및 기타 연결실체</t>
        </is>
      </c>
      <c r="K16" s="6" t="inlineStr">
        <is>
          <t>N/A</t>
        </is>
      </c>
      <c r="L16" s="9" t="inlineStr">
        <is>
          <t>단계형</t>
        </is>
      </c>
      <c r="M16" s="5" t="n">
        <v>5</v>
      </c>
      <c r="N16" s="7" t="inlineStr">
        <is>
          <t>단계형: 1단계=0점 / 2단계=25점 / 3단계=50점 / 4단계=75점 / 5단계=100점</t>
        </is>
      </c>
      <c r="O16" s="6" t="inlineStr">
        <is>
          <t>1단계 |  인권 리스크 평가 지표, 평가 기준, 평가 일정 등의 체계가 구축되지 않은 경우 |  2단계 |  인권 리스크 평가 지표, 평가 기준, 평가 일정 등의 체계가 구축되어 있는 경우 |  단, 해당 인권 리스크 평가 체계를 운용하지 않은 경우 |  3단계 |  인권 리스크 평가 체계를 구축하고 있으나, 온라인/서면 등 비대면 방식으로 인권 리스크 진단 행위만 실시한 경우 |  4단계 |  인권 리스크 평가 체계를 구축하고 있으며, 온라인/서면 등 비대면 방식의 진단과 함께, 고위험 인권 리스크에 대해서는 |  현장실사까지 실시한 경우 |  5단계 |  인권 리스크 평가 체계를 구축하고 있으며, 비대면 진단 및 현장실사 행위를 실시한 경우. 또한, 확인된 인권 리스크에 대한 |  개선계획/개선활동을 추진한 경우</t>
        </is>
      </c>
      <c r="P16" s="10" t="inlineStr">
        <is>
          <t>부분대응</t>
        </is>
      </c>
      <c r="Q16" s="6" t="inlineStr">
        <is>
          <t>KSSB 제1호 부록A(가치사슬 개념) 준용</t>
        </is>
      </c>
      <c r="R16" s="6" t="inlineStr">
        <is>
          <t>UNGP, GRI 412-1</t>
        </is>
      </c>
      <c r="S16" s="6" t="inlineStr">
        <is>
          <t>1_2_0_업종별 K-ESG 가이드라인(v2.0) 진단항목</t>
        </is>
      </c>
      <c r="T16" s="11" t="n"/>
      <c r="U16" s="12" t="n"/>
      <c r="V16" s="12" t="n"/>
      <c r="W16" s="12" t="n"/>
      <c r="X16" s="13" t="n"/>
      <c r="Y16" s="6" t="inlineStr">
        <is>
          <t> 조직은 세계인권선언(Universal Declaration of Human Rights), UN 기업과 인권 이행원칙(UN Guiding Principles on Business and Human Rights) 및 국제노동기구(International Labor Organization), OECD 실사 가이드라인(OECD Due Diligence Guidance for responsible Business Conduct) 등 인권·노동 관련 국제 표준 및 가이드라인을 참고하여 인권 리스크 평가 체계를 구축할 수 있다.  조직의 인권 리스크 평가 체계란 진단-실사-개선으로 구성되는 일련의 프로세스를 의미한다. 인권 리스크를 진단, 실사, 개선하는 이유는 아래와 같다.…</t>
        </is>
      </c>
      <c r="Z16" s="7" t="n"/>
      <c r="AA16" s="14" t="inlineStr">
        <is>
          <t>전 사업장/공급망 인권 리스크 진단, 고위험군 실사/시정 조치를 이행합니까?</t>
        </is>
      </c>
      <c r="AB16" s="14" t="inlineStr">
        <is>
          <t>단계(1~5)</t>
        </is>
      </c>
    </row>
    <row r="17">
      <c r="A17" s="5" t="n">
        <v>45</v>
      </c>
      <c r="B17" s="6" t="inlineStr">
        <is>
          <t>S-6-1</t>
        </is>
      </c>
      <c r="C17" s="7" t="inlineStr">
        <is>
          <t>기본진단항목(v2.0)</t>
        </is>
      </c>
      <c r="D17" s="8" t="inlineStr">
        <is>
          <t>사회</t>
        </is>
      </c>
      <c r="E17" s="7" t="inlineStr">
        <is>
          <t>동반성장</t>
        </is>
      </c>
      <c r="F17" s="6" t="inlineStr">
        <is>
          <t>협력사 ESG 경영</t>
        </is>
      </c>
      <c r="G17" s="7" t="inlineStr">
        <is>
          <t> 조직이 협력사가 직면한 ESG 관련 리스크를 인지하고 있는지, 협력사에 잠재되어 있는 ESG 리스크가 조직에게 전이되는 상황을 미연에 방지하기 위해 노력하는지 확인  조직이 협력사 ESG 리스크 관리 체계를 구축하고 있으며, 해당 관리 체계에 따라 실제 협력사 ESG 리스크를 진단-실사-개선하고 있는지 점검</t>
        </is>
      </c>
      <c r="H17" s="7" t="inlineStr">
        <is>
          <t>협력사 행동규범, 협력사 ESG 리스크 관리 프로세스</t>
        </is>
      </c>
      <c r="I17" s="7" t="inlineStr">
        <is>
          <t>직전 회계연도 기준</t>
        </is>
      </c>
      <c r="J17" s="6" t="inlineStr">
        <is>
          <t>국내외 사업장 및 기타 연결실체</t>
        </is>
      </c>
      <c r="K17" s="6" t="inlineStr">
        <is>
          <t>N/A</t>
        </is>
      </c>
      <c r="L17" s="9" t="inlineStr">
        <is>
          <t>단계형</t>
        </is>
      </c>
      <c r="M17" s="5" t="n">
        <v>5</v>
      </c>
      <c r="N17" s="7" t="inlineStr">
        <is>
          <t>단계형: 1단계=0점 / 2단계=25점 / 3단계=50점 / 4단계=75점 / 5단계=100점</t>
        </is>
      </c>
      <c r="O17" s="6" t="inlineStr">
        <is>
          <t>1단계 |  협력사 ESG 리스크 평가 지표, 평가 기준, 평가 일정 등의 관리 체계가 구축되지 않은 경우 |  2단계 |  협력사 ESG 리스크 평가 지표, 평가 기준, 평가 일정 등의 관리 체계를 구축하고 있으나, 해당 협력사 ESG 리스크 관리 체계를 |  운용하지 않은 경우 |  3단계 |  협력사 ESG 리스크 관리 체계를 구축하고 있으나, 온라인/서면 등 비대면 방식으로 리스크 진단 행위만 실시한 경우 |  4단계 |  협력사 ESG 리스크 관리 체계를 구축하고 있으며, 온라인/서면 등 비대면 방식의 진단과 함께, 고위험 ESG 리스크에 대해서는 |  현장실사 행위까지 실시한 경우 |  5단계 |  협력사 ESG 리스크 관리 체계를 구축하고 있으며, 비대면 진단 및 현장실사 행위를 실시한 경우. 또한, 확인된 리스크에 대한 |  개선계획/개선활동 추진한 경우</t>
        </is>
      </c>
      <c r="P17" s="10" t="inlineStr">
        <is>
          <t>GAP(대응지표 없음)</t>
        </is>
      </c>
      <c r="Q17" s="6" t="inlineStr">
        <is>
          <t>KSSB 공급망 ESG 별도 지표 미규정</t>
        </is>
      </c>
      <c r="R17" s="6" t="inlineStr">
        <is>
          <t>GRI 308, 414</t>
        </is>
      </c>
      <c r="S17" s="6" t="inlineStr">
        <is>
          <t>1_2_0_업종별 K-ESG 가이드라인(v2.0) 진단항목</t>
        </is>
      </c>
      <c r="T17" s="11" t="n"/>
      <c r="U17" s="12" t="n"/>
      <c r="V17" s="12" t="n"/>
      <c r="W17" s="12" t="n"/>
      <c r="X17" s="13" t="n"/>
      <c r="Y17" s="6" t="inlineStr">
        <is>
          <t> 조직은 ESG 리스크를 관리할 협력사 범위를 자율적으로 지정할 수 있다. 넓게는 조직의 모든 1차 협력사를 대상으로 ESG 리스크를 관리할 수 있으며, 조직의 전략적 판단 하에 사업운영에 중대한 영향력을 행사하는 핵심 협력사에 대해서만 ESG 리스크를 관리할 수도 있다. 이 때, 핵심 협력사라고 분류할 수 있는 기준에는 다음과 같은 예시가 있으며, 조직은 1개 기준만을 사용하거나, 복수 기준을 사용하여 핵심 협력사를 분류할 수 있다. - 핵심 원부자재 및 서비스를 공급하는 협력사 - 대체불가능한 원부자재 및 서비스를 공급하는 협력사 - 구매 또는 거래금액이 높은 협력사 - 조직에 대한 의존도가 높은 협력사 - 장기간 거래관계에 있는 협력사 - 기타. 조직과 신뢰관계가…</t>
        </is>
      </c>
      <c r="Z17" s="7" t="n"/>
      <c r="AA17" s="14" t="inlineStr">
        <is>
          <t>핵심 협력사 대상 ESG 리스크 진단 및 실사(Audit)/시정조치(CAP)를 관리합니까?</t>
        </is>
      </c>
      <c r="AB17" s="14" t="inlineStr">
        <is>
          <t>단계(1~5)</t>
        </is>
      </c>
    </row>
    <row r="18">
      <c r="A18" s="5" t="n">
        <v>46</v>
      </c>
      <c r="B18" s="6" t="inlineStr">
        <is>
          <t>S-6-2</t>
        </is>
      </c>
      <c r="C18" s="7" t="inlineStr">
        <is>
          <t>기본진단항목(v2.0)</t>
        </is>
      </c>
      <c r="D18" s="8" t="inlineStr">
        <is>
          <t>사회</t>
        </is>
      </c>
      <c r="E18" s="7" t="inlineStr">
        <is>
          <t>동반성장</t>
        </is>
      </c>
      <c r="F18" s="6" t="inlineStr">
        <is>
          <t>협력사 ESG 지원</t>
        </is>
      </c>
      <c r="G18" s="7" t="inlineStr">
        <is>
          <t> 조직이 협력사 ESG 관리에 있어 진단-평가-개선으로 이어지는 일련의 프로세스 외, 협력사가 ESG 역량을 갖출 수 있는 지원 방안을 마련하고 있는지 확인  조직이 협력사의 ESG 지원에 대한 의지를 선언하는 것과 함께, 협력사 ESG 지원 전략과 계획이 마련되어 있는지 점검  단, 조직은 협력사 ESG 지원을 위한 별도 전략 및 실행방안을 수립할 수 있으나, 조직의 일반적인 협력사 지원방안 내 ESG 관련 내용을 포함할 수도 있음</t>
        </is>
      </c>
      <c r="H18" s="7" t="inlineStr">
        <is>
          <t>협력사 동반성장/상생협력 추진계획, 협력사 ESG 지원계획</t>
        </is>
      </c>
      <c r="I18" s="7" t="inlineStr">
        <is>
          <t>직전 회계연도</t>
        </is>
      </c>
      <c r="J18" s="6" t="inlineStr">
        <is>
          <t>N/A</t>
        </is>
      </c>
      <c r="K18" s="6" t="inlineStr">
        <is>
          <t>N/A</t>
        </is>
      </c>
      <c r="L18" s="9" t="inlineStr">
        <is>
          <t>선택형</t>
        </is>
      </c>
      <c r="M18" s="5" t="n">
        <v>5</v>
      </c>
      <c r="N18" s="7" t="inlineStr">
        <is>
          <t>선택형: 요건1=0점 / 요건2=25점 / 요건3=50점 / 요건4=75점 / 요건5=100점</t>
        </is>
      </c>
      <c r="O18" s="6" t="inlineStr">
        <is>
          <t>요건1 |  협력사 ESG 지원에 관한 공식적 선언을 하고 있는 경우 |  요건2 |  협력사 ESG 지원 전략방향, 추진영역을 제시하고 있는 경우 |  요건3 |  협력사 ESG 지원 전략방향 및 추진영역별 세부 실행과제를 제시하고 있는 경우 |  요건4 |  협력사 ESG 지원에 관한 성과관리 지표(KPIs)를 제시하고 있는 경우 |  요건5 |  협력사 ESG 지원에 관한 성과관리 지표(KPIs) 달성을 위해 투자재원(예산), 역량투입(인력) 방안을 마련한 경우</t>
        </is>
      </c>
      <c r="P18" s="10" t="inlineStr">
        <is>
          <t>GAP(대응지표 없음)</t>
        </is>
      </c>
      <c r="Q18" s="6" t="inlineStr">
        <is>
          <t>KSSB 공급망 ESG 별도 지표 미규정</t>
        </is>
      </c>
      <c r="R18" s="6" t="inlineStr">
        <is>
          <t>GRI 308, 414</t>
        </is>
      </c>
      <c r="S18" s="6" t="inlineStr">
        <is>
          <t>1_2_0_업종별 K-ESG 가이드라인(v2.0) 진단항목</t>
        </is>
      </c>
      <c r="T18" s="11" t="n"/>
      <c r="U18" s="12" t="n"/>
      <c r="V18" s="12" t="n"/>
      <c r="W18" s="12" t="n"/>
      <c r="X18" s="13" t="n"/>
      <c r="Y18" s="6" t="inlineStr">
        <is>
          <t> 협력사 ESG 지원이 구체적이고 체계적으로 추진되기 위해서는, 우선적으로 조직의 협력사 ESG 지원 계획이 수립되어야 한다. 협력사 ESG 지원 계획에는 1) 전략적 방향, 2) 전략방향 달성을 위한 세부 추진과제, 3) 세부 추진과제 이행현황을 점검할 수 있는 성과관리 지표가 포함될 수 있다. - 전략 방향 : ‘협력사 ESG 지원 전략 방향’은 조직의 ESG 미션/비전/목표와 연동될 수 있으며, 조직의 공급망 관리 전략과도 연동될 수 있다. 이는 협력사 ESG 지원에 있어 무엇이 가장 중요한 핵심인가를 나타내는 것이다. - 세부 추진과제 : ‘협력사 ESG 지원 세부 추진과제’는 전략 방향을 달성하기 위해 실제 이행해야 할 활동이다. 해당 활동은 설비/장치 등을…</t>
        </is>
      </c>
      <c r="Z18" s="7" t="n"/>
      <c r="AA18" s="14" t="inlineStr">
        <is>
          <t>협력사 ESG 역량 강화를 위한 전략방향, 세부과제, KPIs/재원을 투입합니까?</t>
        </is>
      </c>
      <c r="AB18" s="14" t="inlineStr">
        <is>
          <t>단계(1~5)</t>
        </is>
      </c>
    </row>
    <row r="19">
      <c r="A19" s="5" t="n">
        <v>47</v>
      </c>
      <c r="B19" s="6" t="inlineStr">
        <is>
          <t>S-6-3</t>
        </is>
      </c>
      <c r="C19" s="7" t="inlineStr">
        <is>
          <t>기본진단항목(v2.0)</t>
        </is>
      </c>
      <c r="D19" s="8" t="inlineStr">
        <is>
          <t>사회</t>
        </is>
      </c>
      <c r="E19" s="7" t="inlineStr">
        <is>
          <t>동반성장</t>
        </is>
      </c>
      <c r="F19" s="6" t="inlineStr">
        <is>
          <t>협력사 ESG 협약사항</t>
        </is>
      </c>
      <c r="G19" s="7" t="inlineStr">
        <is>
          <t> 조직이 협력사 ESG 지원을 상생 및 동반성장에 필요한 핵심요소이자, 사회적 책무로 인식하고 있으며, 이를 위해 중장기적으로 협력사의 성장과 혁신에 필요한 지원을 다각적으로 추진하고 있는지 확인  조직이 중장기적으로 안정적이고 지속가능한 협력사 ESG 지원 의지가 있는지 확인할 수 있는 항목으로써, 협력사와 체결한 협약사항을 점검</t>
        </is>
      </c>
      <c r="H19" s="7" t="inlineStr">
        <is>
          <t>협력사 ESG 지원 협약사항</t>
        </is>
      </c>
      <c r="I19" s="7" t="inlineStr">
        <is>
          <t>직전 회계연도</t>
        </is>
      </c>
      <c r="J19" s="6" t="inlineStr">
        <is>
          <t>국내 및 해외 사업장</t>
        </is>
      </c>
      <c r="K19" s="6" t="inlineStr">
        <is>
          <t>N/A</t>
        </is>
      </c>
      <c r="L19" s="9" t="inlineStr">
        <is>
          <t>선택형</t>
        </is>
      </c>
      <c r="M19" s="5" t="n">
        <v>5</v>
      </c>
      <c r="N19" s="7" t="inlineStr">
        <is>
          <t>선택형: 요건1=0점 / 요건2=25점 / 요건3=50점 / 요건4=75점 / 요건5=100점</t>
        </is>
      </c>
      <c r="O19" s="6" t="inlineStr">
        <is>
          <t>요건 1 |  협력사의 ESG 추진에 필요한 교육 운영 지원 협약 체결 |  요건 2 |  협력사의 ESG 추진에 필요한 기술 및 R&amp;D 지원 협약 체결 |  요건 3 |  협력사의 ESG 추진에 필요한 금융 및 자금 지원 협약 체결 |  요건 4 |  협력사의 ESG 추진에 필요한 인허가 획득 지원 협약 체결 |  요건 5 |  협력사의 ESG 추진에 필요한 설비/장치 도입 지원 협약 체결</t>
        </is>
      </c>
      <c r="P19" s="10" t="inlineStr">
        <is>
          <t>GAP(대응지표 없음)</t>
        </is>
      </c>
      <c r="Q19" s="6" t="inlineStr">
        <is>
          <t>KSSB 공급망 ESG 별도 지표 미규정</t>
        </is>
      </c>
      <c r="R19" s="6" t="inlineStr">
        <is>
          <t>GRI 308, 414</t>
        </is>
      </c>
      <c r="S19" s="6" t="inlineStr">
        <is>
          <t>1_2_0_업종별 K-ESG 가이드라인(v2.0) 진단항목</t>
        </is>
      </c>
      <c r="T19" s="11" t="n"/>
      <c r="U19" s="12" t="n"/>
      <c r="V19" s="12" t="n"/>
      <c r="W19" s="12" t="n"/>
      <c r="X19" s="13" t="n"/>
      <c r="Y19" s="6" t="inlineStr">
        <is>
          <t> 협력사 ESG 협약의 경우 조직이 지속가능한 공급망 조성을 위한 협력사의 ESG 경영 인식 개선 및 역량 강화, 수출기업화 촉진 등을 위해 예산 인력이 부족한 협력기업을 대상으로 하는 ESG 대응역량 제고 프로그램을 통칭하며, 주요한 분류는 아래와 같다. 1) 교육지원 : ESG 관련 품질관리, 안전보건, 외국어 교육, 직무 및 정보화역량 강화 교육, 직업능력개발 지원 등 2) 기술지원 : ESG 관련 특허개방, 공동 기술개발, 기술자료 임치 지원 및 기술보호 등 3) 금융지원 : ESG 관련 성과개선 인센티브 지급, 상생펀드 운영, 납품단가연동제 도입 현황 등 4) 인허가 지원 : ESG 관련 각종 대내외 인증서 취득, 검증의견서 발행에 필요한 제반업무 등 5)…</t>
        </is>
      </c>
      <c r="Z19" s="7" t="n"/>
      <c r="AA19" s="14" t="inlineStr">
        <is>
          <t>협력사와 교육, R&amp;D, 금융, 친환경 설비 등을 지원하는 협약을 체결했습니까?</t>
        </is>
      </c>
      <c r="AB19" s="14" t="inlineStr">
        <is>
          <t>단계(1~5)</t>
        </is>
      </c>
    </row>
    <row r="20">
      <c r="A20" s="5" t="n">
        <v>48</v>
      </c>
      <c r="B20" s="6" t="inlineStr">
        <is>
          <t>S-7-1</t>
        </is>
      </c>
      <c r="C20" s="7" t="inlineStr">
        <is>
          <t>기본진단항목(v2.0)</t>
        </is>
      </c>
      <c r="D20" s="8" t="inlineStr">
        <is>
          <t>사회</t>
        </is>
      </c>
      <c r="E20" s="7" t="inlineStr">
        <is>
          <t>지역사회</t>
        </is>
      </c>
      <c r="F20" s="6" t="inlineStr">
        <is>
          <t>전략적 사회공헌</t>
        </is>
      </c>
      <c r="G20" s="7" t="inlineStr">
        <is>
          <t> 조직이 지역사회로부터 사업을 운영할 권리(License to Operate)를 획득함과 동시에, 지역사회 일원으로서 공동의 환경/사회 문제 해결에 필요한 활동에 앞장서는 등 전략적 사회공헌을 추진하고 있는지 확인  조직이 사업적 필요와 사회적 기대를 충분히 고려한 사회공헌 추진방향을 수립하고 있으며, 해당 방향에 따라 사회공헌 프로그램이 운영되고 있는지 점검</t>
        </is>
      </c>
      <c r="H20" s="7" t="inlineStr">
        <is>
          <t>사회공헌 전략, 사회공헌 분야/영역, 사회공헌 성과지표</t>
        </is>
      </c>
      <c r="I20" s="7" t="inlineStr">
        <is>
          <t>직전 회계연도</t>
        </is>
      </c>
      <c r="J20" s="6" t="inlineStr">
        <is>
          <t>국내 및 해외 사업장</t>
        </is>
      </c>
      <c r="K20" s="6" t="inlineStr">
        <is>
          <t>N/A</t>
        </is>
      </c>
      <c r="L20" s="9" t="inlineStr">
        <is>
          <t>선택형</t>
        </is>
      </c>
      <c r="M20" s="5" t="n">
        <v>5</v>
      </c>
      <c r="N20" s="7" t="inlineStr">
        <is>
          <t>선택형: 요건1=0점 / 요건2=25점 / 요건3=50점 / 요건4=75점 / 요건5=100점</t>
        </is>
      </c>
      <c r="O20" s="6" t="inlineStr">
        <is>
          <t>요건1 |  조직의 사회공헌을 대표할 수 있으며, 대사회적 메시지로써 활용되는 사회공헌 비전, 미션, 또는 슬로건이 있는 경우 |  요건2 |  조직의 사회공헌 비전, 미션, 또는 슬로건을 달성하기 위한 사회공헌 추진 분야/영역을 제시하고 있는 경우 |  요건3 |  조직의 사회공헌 추진 분야/영역별 대표 프로그램을 제시하고 있는 경우 |  요건4 |  조직의 사회공헌 대표 프로그램별 중장기 실행계획을 마련하고 있는 경우 |  요건5 |  조직의 대표 사회공헌 프로그램이 사업적 또는 사회적으로 기여하는 성과를 측정할 수 있는 성과관리 지표(KPIs)가 있는 경우</t>
        </is>
      </c>
      <c r="P20" s="10" t="inlineStr">
        <is>
          <t>GAP(대응지표 없음)</t>
        </is>
      </c>
      <c r="Q20" s="6" t="inlineStr">
        <is>
          <t>KSSB 지역사회 지표 미규정</t>
        </is>
      </c>
      <c r="R20" s="6" t="inlineStr">
        <is>
          <t>GRI 413-1</t>
        </is>
      </c>
      <c r="S20" s="6" t="inlineStr">
        <is>
          <t>1_2_0_업종별 K-ESG 가이드라인(v2.0) 진단항목</t>
        </is>
      </c>
      <c r="T20" s="11" t="n"/>
      <c r="U20" s="12" t="n"/>
      <c r="V20" s="12" t="n"/>
      <c r="W20" s="12" t="n"/>
      <c r="X20" s="13" t="n"/>
      <c r="Y20" s="6" t="inlineStr">
        <is>
          <t> 조직은 특정한 목적과 방향성을 가지고 사회공헌을 추진할 수 있으며, 해당 목적과 방향성을 달성하기 위한 방안이 구체화된 것을 사회공헌 전략이라고 한다. 일반적으로 사회공헌 전략에 포함되는 내용은 사회공헌 비전 및 슬로건, 중점 추진분야, 사회공헌 사업 전략, 특정 기간 동안의 사업추진 로드맵, 세부 실행계획 그리고 이러한 전략을 통해 달성하고자 하는 사회공헌 사업 목표 및 KPIs, 성과평가 및 홍보계획, 예산계획 등이 포함될 수 있다.  조직의 사회공헌 비전, 미션 등은 조직의 사업 특성을 고려하여 설정될 필요가 있다. 사업 특성이란 사업운영 방식, 고객 관계 및 형태(B2C, B2B), 제품과 서비스의 본질적 특징 등이 포함될 수 있으며, 조직은 사회공헌을 통해…</t>
        </is>
      </c>
      <c r="Z20" s="7" t="n"/>
      <c r="AA20" s="14" t="inlineStr">
        <is>
          <t>기업 핵심역량과 연계된 대표 사회공헌 로드맵 및 KPI를 운영 중입니까?</t>
        </is>
      </c>
      <c r="AB20" s="14" t="inlineStr">
        <is>
          <t>단계(1~5)</t>
        </is>
      </c>
    </row>
    <row r="21">
      <c r="A21" s="5" t="n">
        <v>49</v>
      </c>
      <c r="B21" s="6" t="inlineStr">
        <is>
          <t>S-7-2</t>
        </is>
      </c>
      <c r="C21" s="7" t="inlineStr">
        <is>
          <t>기본진단항목(v2.0)</t>
        </is>
      </c>
      <c r="D21" s="8" t="inlineStr">
        <is>
          <t>사회</t>
        </is>
      </c>
      <c r="E21" s="7" t="inlineStr">
        <is>
          <t>지역사회</t>
        </is>
      </c>
      <c r="F21" s="6" t="inlineStr">
        <is>
          <t>구성원 봉사참여</t>
        </is>
      </c>
      <c r="G21" s="7" t="inlineStr">
        <is>
          <t> 조직이 봉사활동 프로그램을 기획하여 구성원에게 참여를 강제하는 방식에서 벗어나, 봉사활동 참여 의지가 있는 구성원의 니즈를 충족시켜주기 위해 조직이 기여하는 수준을 확인  구성원의 자율적 봉사활동을 지원하는 인센티브 제도를 운영하고 있는지 점검 (다양한 형태의 봉사활동 참여 인센티브 제도가 운영되고 있는지 확인)</t>
        </is>
      </c>
      <c r="H21" s="7" t="inlineStr">
        <is>
          <t>봉사활동 참여 인센티브 제도를 다각적으로 운영하고 있는지 측정 1) 구성원 KPIs 내 봉사활동 반영, 2) 봉사활동 참여 유급휴가, 3) 봉사활동 참여 비용 지원, 4) 우수 봉사활동 참여자 금전적 포상, 5) 우수 봉사활동 참여자 표창, 6) 자율봉사자 대상 네트워킹 모임 지원, 7) 자원봉사처 연계, 8) 기타</t>
        </is>
      </c>
      <c r="I21" s="7" t="inlineStr">
        <is>
          <t>직전 회계연도</t>
        </is>
      </c>
      <c r="J21" s="6" t="inlineStr">
        <is>
          <t>국내 및 해외 사업장</t>
        </is>
      </c>
      <c r="K21" s="6" t="inlineStr">
        <is>
          <t>N/A</t>
        </is>
      </c>
      <c r="L21" s="9" t="inlineStr">
        <is>
          <t>단계형</t>
        </is>
      </c>
      <c r="M21" s="5" t="n">
        <v>5</v>
      </c>
      <c r="N21" s="7" t="inlineStr">
        <is>
          <t>단계형: 1단계=0점 / 2단계=25점 / 3단계=50점 / 4단계=75점 / 5단계=100점</t>
        </is>
      </c>
      <c r="O21" s="6" t="inlineStr">
        <is>
          <t>1단계 |  봉사활동 참여 인센티브 제도가 없는 경우 |  2단계 |  현재, 봉사활동 참여자에 대한 인센티브 제도가 없으나, 향후, 봉사활동 참여 인센티브 제도 도입계획이 수립된 경우 |  3단계 |  상기 봉사활동 참여 인센티브 제도 중 1개를 도입하고 있는 경우 |  4단계 |  상기 봉사활동 참여 인센티브 제도 중 2개를 도입하고 있는 경우 |  5단계 |  상기 봉사활동 참여 인센티브 제도 중 3개 이상을 도입하고 있는 경우</t>
        </is>
      </c>
      <c r="P21" s="10" t="inlineStr">
        <is>
          <t>GAP(대응지표 없음)</t>
        </is>
      </c>
      <c r="Q21" s="6" t="inlineStr">
        <is>
          <t>KSSB 지역사회 지표 미규정</t>
        </is>
      </c>
      <c r="R21" s="6" t="inlineStr">
        <is>
          <t>GRI 413-1</t>
        </is>
      </c>
      <c r="S21" s="6" t="inlineStr">
        <is>
          <t>1_2_0_업종별 K-ESG 가이드라인(v2.0) 진단항목</t>
        </is>
      </c>
      <c r="T21" s="11" t="n"/>
      <c r="U21" s="12" t="n"/>
      <c r="V21" s="12" t="n"/>
      <c r="W21" s="12" t="n"/>
      <c r="X21" s="13" t="n"/>
      <c r="Y21" s="6" t="inlineStr">
        <is>
          <t> 조직의 업무 생산성 향상에 대한 관심, 구성원의 자기결정권 주장, 사회봉사 프로그램의 확대 등에 따라, 조직이 봉사활동 프로그램을 기획하고 구성원의 참여를 강제화하는 방식에서 벗어나, 조직이 봉사활동 참여 의지가 있는 구성원에게 자율 봉사활동을 할 수 있는 기회를 제공하는 방식으로 접근할 필요가 있다. 이를 위해, 조직은 자원봉사의 본질적인 가치를 훼손하지 않는 범위의 ‘금전적, 비금전적, 또는 이에 상응하는 기타의 인센티브’ 제도를 통해 봉사활동에 참여하고자 하는 구성원의 니즈를 충족시킬 수 있다.  조직은 구성원에게 봉사활동 참여를 위한 동기부여를 자극하고 적극적인 봉사활동 참여를 증진시킬 수 있는 조직 분위기를 만들 수 있다. 봉사활동 참여를 희망하는…</t>
        </is>
      </c>
      <c r="Z21" s="7" t="n"/>
      <c r="AA21" s="14" t="inlineStr">
        <is>
          <t>구성원의 자율적 봉사 장려를 위한 유급휴가, 비용지원, 포상 인센티브를 제공합니까?</t>
        </is>
      </c>
      <c r="AB21" s="14" t="inlineStr">
        <is>
          <t>단계(1~5)</t>
        </is>
      </c>
    </row>
    <row r="22">
      <c r="A22" s="5" t="n">
        <v>50</v>
      </c>
      <c r="B22" s="6" t="inlineStr">
        <is>
          <t>S-8-1</t>
        </is>
      </c>
      <c r="C22" s="7" t="inlineStr">
        <is>
          <t>기본진단항목(v2.0)</t>
        </is>
      </c>
      <c r="D22" s="8" t="inlineStr">
        <is>
          <t>사회</t>
        </is>
      </c>
      <c r="E22" s="7" t="inlineStr">
        <is>
          <t>정보보호</t>
        </is>
      </c>
      <c r="F22" s="6" t="inlineStr">
        <is>
          <t>정보보호 시스템 구축</t>
        </is>
      </c>
      <c r="G22" s="7" t="inlineStr">
        <is>
          <t> 조직이 보유하고 있는 정보통신망 및 기타 정보자산 등의 안정성 이슈가 강조되고 있음. 이에 따라, 정보자산 해킹, 네트워크 침입 등의 외부 공격과, 물리적/인적 오류로 인해 발생하는 장애에 대응할 수 있는 체계를 갖추고 있는지 확인  정보보호 최고책임자(CISO) 선임, 정보보호 시스템 인증, 모의해킹 등 취약성 분석, 정보보호 공시 이행(의무 또는 자율), 정보 보호 시스템 사고에 대비하기 위한 보험가입 여부 등을 점검</t>
        </is>
      </c>
      <c r="H22" s="7" t="inlineStr">
        <is>
          <t>정보보호 시스템 관리규정, 정보보호 추진 계획 및 결과, 정보보호 공시 내역</t>
        </is>
      </c>
      <c r="I22" s="7" t="inlineStr">
        <is>
          <t>직전 회계연도</t>
        </is>
      </c>
      <c r="J22" s="6" t="inlineStr">
        <is>
          <t>N/A</t>
        </is>
      </c>
      <c r="K22" s="6" t="inlineStr">
        <is>
          <t>N/A</t>
        </is>
      </c>
      <c r="L22" s="9" t="inlineStr">
        <is>
          <t>선택형</t>
        </is>
      </c>
      <c r="M22" s="5" t="n">
        <v>5</v>
      </c>
      <c r="N22" s="7" t="inlineStr">
        <is>
          <t>선택형: 요건1=0점 / 요건2=25점 / 요건3=50점 / 요건4=75점 / 요건5=100점</t>
        </is>
      </c>
      <c r="O22" s="6" t="inlineStr">
        <is>
          <t>요건1 |  등기임원이나 미등기임원(또는 이에 준하는 관리자급 구성원)을 정보보호 최고책임자(CISO)로 선임하고 있는 경우 |  요건2 |  정보보호 시스템의 안정성에 대해 제3자(또는 규제기관)의 인증을 획득하고 있는 경우 |  요건3 |  모의해킹 등 외부공격에 대한 취약성 분석을 실시하고 있는 경우 |  요건4 |  정보보호 공시(의무 또는 자율)사항을 이행하고 있는 경우 |  요건5 |  정보보호 시스템의 손상 또는 외부공격 등 정보보안 관련 사고에 대비하기 위한 보험에 가입하고 있는 경우</t>
        </is>
      </c>
      <c r="P22" s="10" t="inlineStr">
        <is>
          <t>GAP(대응지표 없음)</t>
        </is>
      </c>
      <c r="Q22" s="6" t="inlineStr">
        <is>
          <t>KSSB 정보보호 지표 미규정</t>
        </is>
      </c>
      <c r="R22" s="6" t="inlineStr">
        <is>
          <t>GRI 418-1, ISMS-P</t>
        </is>
      </c>
      <c r="S22" s="6" t="inlineStr">
        <is>
          <t>1_2_0_업종별 K-ESG 가이드라인(v2.0) 진단항목</t>
        </is>
      </c>
      <c r="T22" s="11" t="n"/>
      <c r="U22" s="12" t="n"/>
      <c r="V22" s="12" t="n"/>
      <c r="W22" s="12" t="n"/>
      <c r="X22" s="13" t="n"/>
      <c r="Y22" s="6" t="inlineStr">
        <is>
          <t> 정보보호 시스템이란 정보의 수집, 가공, 저장, 검색, 송신, 수신 중에 발생할 수 있는 정보의 훼손, 변도, 유출 등을 방지 및 복구하거나, 또는 암호, 인증, 인식, 감시 등의 보안기술을 활용하여 재난, 재해, 범죄 등에 대응하거나, 관련 장비, 시설을 안전하게 운영하기 위한 관리적/기술적/물리적 수단을 의미한다.  정보보호 시스템을 안전하게 운영하기 위한 관리적/기술적/물리적 수단이 있다. 이 중 정보보안 설비/장치에 대한 기술적(암호기술, 접근통제, 백업체제 등), 물리적(출입통제, 시건장치, 장비고도화 등) 수단에는 다양한 형태와 방식이 있기 때문에, 본 ‘정보보호 시스템 구축’ 항목 정의서에서는 정보보호를 위한 관리적 수단(정보보호 계획의 수립 및…</t>
        </is>
      </c>
      <c r="Z22" s="7" t="n"/>
      <c r="AA22" s="14" t="inlineStr">
        <is>
          <t>최고책임자(CISO) 임명, ISMS/ISO27001 인증, 배상보험 등을 갖추었습니까?</t>
        </is>
      </c>
      <c r="AB22" s="14" t="inlineStr">
        <is>
          <t>단계(1~5)</t>
        </is>
      </c>
    </row>
    <row r="23">
      <c r="A23" s="5" t="n">
        <v>51</v>
      </c>
      <c r="B23" s="6" t="inlineStr">
        <is>
          <t>S-8-2</t>
        </is>
      </c>
      <c r="C23" s="7" t="inlineStr">
        <is>
          <t>기본진단항목(v2.0)</t>
        </is>
      </c>
      <c r="D23" s="8" t="inlineStr">
        <is>
          <t>사회</t>
        </is>
      </c>
      <c r="E23" s="7" t="inlineStr">
        <is>
          <t>정보보호</t>
        </is>
      </c>
      <c r="F23" s="6" t="inlineStr">
        <is>
          <t>개인정보 침해 및 구제</t>
        </is>
      </c>
      <c r="G23" s="7" t="inlineStr">
        <is>
          <t> 조직이 관리하고 있는 고객, 협력사 등 다양한 이해관계자의 개인정보 침해에 대한 법/규제 요건을 명확하게 인식하고, 개인정보 침해 사건이 발생하였을 경우 이에 대한 구제 활동 체계를 갖추고, 활동을 수행하고 있는지 확인  정보보호법상 형벌, 행정상 처분(금전적, 비금전적)에 대해 가중치를 달리 적용하는 방식으로 ‘개인정보 침해 및 구제’ 현황을 점검</t>
        </is>
      </c>
      <c r="H23" s="7" t="inlineStr">
        <is>
          <t>‘전자공시시스템’ 上 사업보고서, ‘조직별 홈페이지’ 上 지속가능경영보고서</t>
        </is>
      </c>
      <c r="I23" s="7" t="inlineStr">
        <is>
          <t>최근 4개 회계연도</t>
        </is>
      </c>
      <c r="J23" s="6" t="inlineStr">
        <is>
          <t>국내 및 해외 사업장</t>
        </is>
      </c>
      <c r="K23" s="6" t="inlineStr">
        <is>
          <t>총 개인정보 보호 관련 법/규제 위반 감점 = ∑(개인정보 법/규제 위반 건 * 처벌수위별 감점 기준)</t>
        </is>
      </c>
      <c r="L23" s="9" t="inlineStr">
        <is>
          <t>감점형</t>
        </is>
      </c>
      <c r="M23" s="5" t="n">
        <v>3</v>
      </c>
      <c r="N23" s="7" t="inlineStr">
        <is>
          <t>감점형: 기준 100점에서 위반유형별(-50/-30/-10점) 차감(중복 적용 가능), 최저 0점</t>
        </is>
      </c>
      <c r="O23" s="6" t="inlineStr">
        <is>
          <t>유형 1 |  지난 4개년 간 개인정보 보호 관련 법/규제 위반내역 중 처분이 확정된 건수에 대해 처벌수위가 사법상 형벌, 벌금, 과료인 경우, |  또는 국가를 당사자로 하는 계약에서 입찰참가자격을 제한당한 경우 |  유형 2 |  지난 4개년 간 개인정보 보호 관련 법/규제 위반내역 중 처분이 확정된 건수에 대해 처벌수위가 행정상 처분 중 금전적 처분에 |  해당하는 과태료, 과징금, 이행강제금 등인 경우 |  유형 3 |  지난 4개년 간 개인정보 보호 관련 법/규제 위반내역 중 처분이 확정된 건수에 대해 처벌수위가 행정상 처분 중 비금전적 처분에 |  해당하는 시정명령, 시정권고, 경고 등인 경우 |  * 감점 사항이 없을 경우, 본 항목의 점수는 100점으로 산정. 최저점은 0점으로 제한</t>
        </is>
      </c>
      <c r="P23" s="10" t="inlineStr">
        <is>
          <t>GAP(대응지표 없음)</t>
        </is>
      </c>
      <c r="Q23" s="6" t="inlineStr">
        <is>
          <t>KSSB 정보보호 지표 미규정</t>
        </is>
      </c>
      <c r="R23" s="6" t="inlineStr">
        <is>
          <t>GRI 418-1</t>
        </is>
      </c>
      <c r="S23" s="6" t="inlineStr">
        <is>
          <t>1_2_0_업종별 K-ESG 가이드라인(v2.0) 진단항목</t>
        </is>
      </c>
      <c r="T23" s="11" t="inlineStr">
        <is>
          <t>해당없음(감점형)</t>
        </is>
      </c>
      <c r="U23" s="12" t="n">
        <v>0</v>
      </c>
      <c r="V23" s="12" t="n">
        <v>0</v>
      </c>
      <c r="W23" s="12" t="n">
        <v>0</v>
      </c>
      <c r="X23" s="13" t="n">
        <v>100</v>
      </c>
      <c r="Y23" s="6" t="inlineStr">
        <is>
          <t> ｢개인정보 보호법｣에 따르면 개인정보의 범위는 개인에 관한 정보로서 다음 명시된 정보를 포함한다. - ① 성명, 주민등록번호 및 영상 등을 통하여 개인을 알아볼 수 있는 정보 - ② 해당 정보만으로는 특정 개인을 알아볼 수 없더라도 다른 정보와 쉽게 결합하여 알아볼 수 있는 정보 - ①또는 ②를 가명 처리함으로써 원래의 상태로 복원하기 위한 추가 정보의 사용ㆍ결합 없이는 특정 개인을 알아볼 수 없는 정보(가명정보)  조직은 확정판결된 개인정보 침해 관련 법/규제 위반 건수 및 처벌수위를 기준으로 성과를 점검할 수 있으며, 이 외에도 조직에 심각한 비용 손실을 야기하는 대규모 벌금, 과태료, 과징금이 부과된(ex. 벌금액이 영업이익의 1% 이상인 경우) 개인정보…</t>
        </is>
      </c>
      <c r="Z23" s="7" t="n"/>
      <c r="AA23" s="14" t="inlineStr">
        <is>
          <t>개인정보 침해 및 구제에 대한 현황을 관리·공시하고 있습니까?</t>
        </is>
      </c>
      <c r="AB23" s="14" t="inlineStr">
        <is>
          <t>단계(1~5)</t>
        </is>
      </c>
    </row>
    <row r="24">
      <c r="A24" s="5" t="n">
        <v>52</v>
      </c>
      <c r="B24" s="6" t="inlineStr">
        <is>
          <t>S-9-1</t>
        </is>
      </c>
      <c r="C24" s="7" t="inlineStr">
        <is>
          <t>기본진단항목(v2.0)</t>
        </is>
      </c>
      <c r="D24" s="8" t="inlineStr">
        <is>
          <t>사회</t>
        </is>
      </c>
      <c r="E24" s="7" t="inlineStr">
        <is>
          <t>사회 법/규제 위반</t>
        </is>
      </c>
      <c r="F24" s="6" t="inlineStr">
        <is>
          <t>사회 법/규제 위반</t>
        </is>
      </c>
      <c r="G24" s="7" t="inlineStr">
        <is>
          <t> 조직이 재화와 용역을 제공하는 과정에서 준수해야 할 법/규제 요건을 명확하게 인식하고, 법/규제 리스크 해결을 위한 사회 영역의 투자/유지/보수 활동을 추진하고 있는지 확인  사회영역 관련 법/규제 위반 건 중 조직의 재무구조 및 명성관리에 상당한 영향력을 미치는 사법상 형벌, 행정상 처분(금전적, 비금전적)에 대해 가중치를 달리 적용하는 방식으로 점검</t>
        </is>
      </c>
      <c r="H24" s="7" t="inlineStr">
        <is>
          <t>‘전자공시시스템’ 上 사업보고서, ‘조직별 홈페이지’ 上 지속가능경영보고서</t>
        </is>
      </c>
      <c r="I24" s="7" t="inlineStr">
        <is>
          <t>최근 4개 회계연도</t>
        </is>
      </c>
      <c r="J24" s="6" t="inlineStr">
        <is>
          <t>국내 및 해외 사업장</t>
        </is>
      </c>
      <c r="K24" s="6" t="inlineStr">
        <is>
          <t>총 사회 관련 법/규제 위반 감점 = ∑(사회 법/규제 위반 건 * 처벌수위별 감점 기준)</t>
        </is>
      </c>
      <c r="L24" s="9" t="inlineStr">
        <is>
          <t>감점형</t>
        </is>
      </c>
      <c r="M24" s="5" t="n">
        <v>3</v>
      </c>
      <c r="N24" s="7" t="inlineStr">
        <is>
          <t>감점형: 기준 100점에서 위반유형별(-50/-30/-10점) 차감(중복 적용 가능), 최저 0점</t>
        </is>
      </c>
      <c r="O24" s="6" t="inlineStr">
        <is>
          <t>유형 1 |  지난 4개년 간 사회 관련 법/규제 위반내역 중 처분이 확정된 건수에 대해, 처벌수위가 사법상 형벌, 벌금, 과료인 경우, |  또는 국가 또는 지방자치단체를 당사자로 하는 계약에서 입찰참가자격을 제한당한 경우 |  유형 2 |  지난 4개년 간 사회 관련 법/규제 위반내역 중 처분이 확정된 건수에 대해, 처벌수위가 행정상 처분 중 금전적 처분에 해당하는 |  과태료, 과징금, 이행강제금 등인 경우 |  유형 3 |  지난 4개년 간 사회 관련 법/규제 위반내역 중 처분이 확정된 건수에 대해, 처벌수위가 행정상 처분 중 비금전적 처분에 해당하는 |  시정명령, 시정권고, 경고 등인 경우 |  * 감점 사항이 없을 경우, 본 항목의 점수는 100점으로 산정. 최저점은 0점으로 제한</t>
        </is>
      </c>
      <c r="P24" s="10" t="inlineStr">
        <is>
          <t>부분대응</t>
        </is>
      </c>
      <c r="Q24" s="6" t="inlineStr">
        <is>
          <t>KSSB 제1호 위험관리 원칙 준용</t>
        </is>
      </c>
      <c r="R24" s="6" t="inlineStr">
        <is>
          <t>GRI 2-27</t>
        </is>
      </c>
      <c r="S24" s="6" t="inlineStr">
        <is>
          <t>1_2_0_업종별 K-ESG 가이드라인(v2.0) 진단항목</t>
        </is>
      </c>
      <c r="T24" s="11" t="inlineStr">
        <is>
          <t>해당없음(감점형)</t>
        </is>
      </c>
      <c r="U24" s="12" t="n">
        <v>0</v>
      </c>
      <c r="V24" s="12" t="n">
        <v>0</v>
      </c>
      <c r="W24" s="12" t="n">
        <v>0</v>
      </c>
      <c r="X24" s="13" t="n">
        <v>100</v>
      </c>
      <c r="Y24" s="6" t="inlineStr">
        <is>
          <t> 사회 법/규제 위반은 ｢근로기준법｣, ｢고용상 연령차별금지 및 고령자고용촉진에 관한 법률｣, ｢산업안전보건법｣, ｢중대재해 처벌 등에 관한 법률｣, ｢소비자보호법｣, ｢전자상거래 등에서의 소비자보호에 관한 법률｣, ｢하도급거래 공정화에 관한 법률｣, ｢가맹사업거래의 공정화에 관한 법률｣, ｢가대규모유통업에서의 거래 공정화에 관한 법률｣ 등 사회 영역에서 포함하는 범주(노동, 인권, 안전보건, 정보보호, 공정거래, 고객가치 등)의 관련 법/규제 사항들이 금지하는 행동들을 위반하는 행위를 의미한다.  사회 법/규제 위반에 따른 처벌수위는 아래 언급하는 다양한 사회 영역 내 범주에서 참고하는 개별 사회 분야 법/규제를 통해 확인할 수 있다. - ｢근로기준법｣, ｢고용상…</t>
        </is>
      </c>
      <c r="Z24" s="7" t="n"/>
      <c r="AA24" s="14" t="inlineStr">
        <is>
          <t>근로/안전/공정거래/소비자보호 관련 법 위반 처분 내역이 있습니까?</t>
        </is>
      </c>
      <c r="AB24" s="14" t="inlineStr">
        <is>
          <t>단계(1~5)</t>
        </is>
      </c>
    </row>
    <row r="25">
      <c r="A25" s="5" t="n">
        <v>72</v>
      </c>
      <c r="B25" s="6" t="inlineStr">
        <is>
          <t>S-동반성장-추가1</t>
        </is>
      </c>
      <c r="C25" s="7" t="inlineStr">
        <is>
          <t>추가진단항목(v2.0)</t>
        </is>
      </c>
      <c r="D25" s="8" t="inlineStr">
        <is>
          <t>사회</t>
        </is>
      </c>
      <c r="E25" s="7" t="inlineStr">
        <is>
          <t>동반성장</t>
        </is>
      </c>
      <c r="F25" s="6" t="inlineStr">
        <is>
          <t>공급망 안정</t>
        </is>
      </c>
      <c r="G25" s="7" t="inlineStr">
        <is>
          <t> 국가 간 분쟁, 무역장벽 도입, 물류/유통망 경색 등 다양한 외생변수로 인한 글로벌 공급망 불안정성에 대응하기 위한 계획을 수립하고 있는지 확인  특정 국가 및 지역 의존에서 탈피하거나, 공급선을 다변화하는 등 원부자재 수급 안정화 달성을 위한 조직의 노력을 점검</t>
        </is>
      </c>
      <c r="H25" s="7" t="inlineStr">
        <is>
          <t>공급망 관리 전략, 원부자재 수급 체계, 협력사 ESG 리스크 평가 결과</t>
        </is>
      </c>
      <c r="I25" s="7" t="inlineStr">
        <is>
          <t>직전 회계연도</t>
        </is>
      </c>
      <c r="J25" s="6" t="inlineStr">
        <is>
          <t>국내 및 해외 사업장</t>
        </is>
      </c>
      <c r="K25" s="6" t="inlineStr">
        <is>
          <t>N/A</t>
        </is>
      </c>
      <c r="L25" s="9" t="inlineStr">
        <is>
          <t>선택형</t>
        </is>
      </c>
      <c r="M25" s="5" t="n">
        <v>5</v>
      </c>
      <c r="N25" s="7" t="inlineStr">
        <is>
          <t>선택형: 요건1=0점 / 요건2=25점 / 요건3=50점 / 요건4=75점 / 요건5=100점</t>
        </is>
      </c>
      <c r="O25" s="6" t="inlineStr">
        <is>
          <t>요건1 |  1차 협력사가 원부자재를 생산 및 공급하는데 영향을 미칠 수 있는 정치, 경제, 사회, 문화 분야의 리스크를 모니터링 하고 있는 |  경우 |  요건2 |  1차 협력사 外 2차 이하(N차 협력사, 또는 원산지)에 잠재되어 있는 원부자재 생산-공급 차질 리스크를 모니터링 하고 있는 경우 |  요건3 |  특정 지역 및 국가의 협력사에만 의존하지 않고, 공급선을 다변화하였거나, 대체가능한 협력사를 발굴/확보하고 있는 경우 |  요건4 |  특정 물류/유통망에 의존하지 않고, 물류/유통망을 다변화하였거나, 대체 물류/유통망을 발굴/확보하고 있는 경우 |  요건5 |  공급망 불안정 발생에 대비하여 충분한 원부자재 재고를 확보하고 있거나, 원부자재 생산을 조직이 내재화한 경우</t>
        </is>
      </c>
      <c r="P25" s="10" t="inlineStr">
        <is>
          <t>부분대응</t>
        </is>
      </c>
      <c r="Q25" s="6" t="inlineStr">
        <is>
          <t>KSSB 제2호 물리·전환위험 관점의 공급망 리스크 취지 준용</t>
        </is>
      </c>
      <c r="R25" s="6" t="inlineStr">
        <is>
          <t>GRI 414</t>
        </is>
      </c>
      <c r="S25" s="6" t="inlineStr">
        <is>
          <t>K-ESG 가이드라인 v2.0 (추가 진단항목, 3장)</t>
        </is>
      </c>
      <c r="T25" s="11" t="n"/>
      <c r="U25" s="12" t="n"/>
      <c r="V25" s="12" t="n"/>
      <c r="W25" s="12" t="n"/>
      <c r="X25" s="13" t="n"/>
      <c r="Y25" s="6" t="inlineStr">
        <is>
          <t>요건1
 1차 협력사가 원부자재를 생산 및 공급하는데 영향을 미칠 수 있는 정치, 경제, 사회, 문화 분야의 리스크를 모니터링 하고 있는
 경우
 요건2
 1차 협력사 外 2차 이하(N차 협력사, 또는 원산지)에 잠재되어 있는 원부자재 생산-공급 차질 리스크를 모니터링 하고 있는 경우
 요건3
 특정 지역 및 국가의 협력사에만 의존하지 않고, 공급선을 다변화하였거나, 대체가능한 협력사를 발굴/확보하고 있는 경우
 요건4
 특정 물류/유통망에 의존하지 않고, 물류/유통망을 다변화하였거나, 대체 물류/유통망을 발굴/확보하고 있는…</t>
        </is>
      </c>
      <c r="Z25" s="7" t="n"/>
      <c r="AA25" s="14" t="inlineStr">
        <is>
          <t>공급망 안정에 대한 현황을 관리·공시하고 있습니까?</t>
        </is>
      </c>
      <c r="AB25" s="14" t="inlineStr">
        <is>
          <t>선택형(요건 충족 수)</t>
        </is>
      </c>
    </row>
    <row r="26">
      <c r="A26" s="5" t="n">
        <v>73</v>
      </c>
      <c r="B26" s="6" t="inlineStr">
        <is>
          <t>S-동반성장-추가2</t>
        </is>
      </c>
      <c r="C26" s="7" t="inlineStr">
        <is>
          <t>추가진단항목(v2.0)</t>
        </is>
      </c>
      <c r="D26" s="8" t="inlineStr">
        <is>
          <t>사회</t>
        </is>
      </c>
      <c r="E26" s="7" t="inlineStr">
        <is>
          <t>동반성장</t>
        </is>
      </c>
      <c r="F26" s="6" t="inlineStr">
        <is>
          <t>협력사 동반성장 기여</t>
        </is>
      </c>
      <c r="G26" s="7" t="inlineStr">
        <is>
          <t> 원청사와 협력사 간 상생협력 관계를 공고히 해 상호 경쟁력 향상 및 양극화 해소를 위한 직/간접적인 공급망 지원 활동을 추진하고 있는지 확인  지속가능한 공급망 조성을 위해 기술, 인력, 자금, 구매, 판로 등의 부문에서 협력사를 지원하는 조직의 재무적/비재무적 노력을 측정</t>
        </is>
      </c>
      <c r="H26" s="7" t="inlineStr">
        <is>
          <t>‘조직별 홈페이지’ 上 동반성장 프로그램 실적</t>
        </is>
      </c>
      <c r="I26" s="7" t="inlineStr">
        <is>
          <t>최근 회계연도</t>
        </is>
      </c>
      <c r="J26" s="6" t="inlineStr">
        <is>
          <t>N/A</t>
        </is>
      </c>
      <c r="K26" s="6" t="inlineStr">
        <is>
          <t>동반성장 지원기금 비율 = 최근 회계연도 말 동반성장 총 지원금액 / 최근 회계연도 말 총 매출액</t>
        </is>
      </c>
      <c r="L26" s="9" t="inlineStr">
        <is>
          <t>복합가중형</t>
        </is>
      </c>
      <c r="M26" s="5" t="n"/>
      <c r="N26" s="7" t="inlineStr">
        <is>
          <t>복합가중형: 2~3개 세부요소를 균등가중평균(예: 1/2+1/2, 1/3×3) — 세부 배점은 점검기준 상세 참조, 자사취득점수는 수동 산정</t>
        </is>
      </c>
      <c r="O26" s="6" t="inlineStr">
        <is>
          <t>영역1 (재무적) |  1단계 |  지난 4개년 재무적 지원자금 비율이 감소 추세 |  2단계 |  지난 4개년 재무적 지원자금 비율이 변동 없음 |  3단계 |  지난 4개년 재무적 지원자금 비율이 증가 추세 |  영역2 (비재무적) |  1단계 |  지난 4개년 비재무적 지원 수혜기업 개수가 감소 추세 |  2단계 |  지난 4개년 비재무적 지원 수혜기업 개수가 변동 없음 |  3단계 |  지난 4개년 비재무적 지원 수혜기업 개수가 증가 추세 |  * 동반성장 기여 관련 재무적/비재무적 지원 데이터를 관리하지 않고 있는 경우 0점 적용 |  * 3개년 이하 데이터 보유 시 해당 데이터로 추세 산정 |  * ‘유지 추세’로 판단할 경우 2단계로 적용해 평가</t>
        </is>
      </c>
      <c r="P26" s="10" t="inlineStr">
        <is>
          <t>GAP(대응지표 없음)</t>
        </is>
      </c>
      <c r="Q26" s="6" t="inlineStr">
        <is>
          <t>KSSB 규정 없음</t>
        </is>
      </c>
      <c r="R26" s="6" t="inlineStr">
        <is>
          <t>GRI 204</t>
        </is>
      </c>
      <c r="S26" s="6" t="inlineStr">
        <is>
          <t>K-ESG 가이드라인 v2.0 (추가 진단항목, 3장)</t>
        </is>
      </c>
      <c r="T26" s="11" t="inlineStr">
        <is>
          <t>해당없음(복합가중형)</t>
        </is>
      </c>
      <c r="U26" s="12" t="n"/>
      <c r="V26" s="12" t="n"/>
      <c r="W26" s="12" t="n"/>
      <c r="X26" s="13" t="n"/>
      <c r="Y26" s="6" t="inlineStr">
        <is>
          <t>영역1 (재무적)
 1단계
 지난 4개년 재무적 지원자금 비율이 감소 추세
 2단계
 지난 4개년 재무적 지원자금 비율이 변동 없음
 3단계
 지난 4개년 재무적 지원자금 비율이 증가 추세
 영역2 (비재무적)
 1단계
 지난 4개년 비재무적 지원 수혜기업 개수가 감소 추세
 2단계
 지난 4개년 비재무적 지원 수혜기업 개수가 변동 없음
 3단계
 지난 4개년 비재무적 지원 수혜기업 개수가 증가 추세
 * 동반성장 기여 관련 재무적/비재무적 지원 데이터를 관리하지 않고 있는 경우 0점 적용
 * 3개년 이하 데이터 보유 시 해당…</t>
        </is>
      </c>
      <c r="Z26" s="7" t="n"/>
      <c r="AA26" s="14" t="inlineStr">
        <is>
          <t>협력사 동반성장 기여를 계획적으로 수행하고 성과를 관리하고 있습니까?</t>
        </is>
      </c>
      <c r="AB26" s="14" t="inlineStr">
        <is>
          <t>복합입력(세부요소 수동 0~100)</t>
        </is>
      </c>
    </row>
    <row r="27">
      <c r="A27" s="5" t="n">
        <v>74</v>
      </c>
      <c r="B27" s="6" t="inlineStr">
        <is>
          <t>S-소비자-추가1</t>
        </is>
      </c>
      <c r="C27" s="7" t="inlineStr">
        <is>
          <t>추가진단항목(v2.0)</t>
        </is>
      </c>
      <c r="D27" s="8" t="inlineStr">
        <is>
          <t>사회</t>
        </is>
      </c>
      <c r="E27" s="7" t="inlineStr">
        <is>
          <t>소비자</t>
        </is>
      </c>
      <c r="F27" s="6" t="inlineStr">
        <is>
          <t>소비자 정보 제공</t>
        </is>
      </c>
      <c r="G27" s="7" t="inlineStr">
        <is>
          <t> 조직이 소비자의 알 권리를 충족하기 위해 얼마나 다양한 정보를 적절하게 제공하고 있는지 확인</t>
        </is>
      </c>
      <c r="H27" s="7" t="inlineStr">
        <is>
          <t>소비자 정보 제공 현황 (사업보고서, 홈페이지, 소비자중심경영 공적기술서 등)</t>
        </is>
      </c>
      <c r="I27" s="7" t="inlineStr">
        <is>
          <t>최근 회계연도</t>
        </is>
      </c>
      <c r="J27" s="6" t="inlineStr">
        <is>
          <t>N/A</t>
        </is>
      </c>
      <c r="K27" s="6" t="inlineStr">
        <is>
          <t>N/A</t>
        </is>
      </c>
      <c r="L27" s="9" t="inlineStr">
        <is>
          <t>복합가중형</t>
        </is>
      </c>
      <c r="M27" s="5" t="n"/>
      <c r="N27" s="7" t="inlineStr">
        <is>
          <t>복합가중형: 2~3개 세부요소를 균등가중평균(예: 1/2+1/2, 1/3×3) — 세부 배점은 점검기준 상세 참조, 자사취득점수는 수동 산정</t>
        </is>
      </c>
      <c r="O27" s="6" t="inlineStr">
        <is>
          <t>측정 기준 구분 배점 |  제공하지 않음 0점 |  소비자정보 |  제공함 20점 |  소비자정보 세부 사항 0점부터 최대 80점 |  세부 사항별 10점씩 배분 |  1) 다양한 소비자정보 제공 채널 운영 |  2) 상품정보, 구매정보, 결제 및 배송 정보, 상담/문의 정보 등 충실한 소비자정보 제공 |  3) 검색 등 소비자정보에 대한 접근성 |  4) VOC 등 소비자 의견 개진 방법 보장 |  5) VOC 등 소비자 의견 제기의 처리 절차 명시 |  6) 소비자정보 제공 전 법규 준수 여부 확인 절차 유무 |  7) 소비자정보 제공 전 법규 준수 여부 확인 절차의 체계성 |  8) 소비자정보 제공 전 법규 준수 여부 확인 절차 이행 실적</t>
        </is>
      </c>
      <c r="P27" s="10" t="inlineStr">
        <is>
          <t>GAP(대응지표 없음)</t>
        </is>
      </c>
      <c r="Q27" s="6" t="inlineStr">
        <is>
          <t>KSSB 규정 없음</t>
        </is>
      </c>
      <c r="R27" s="6" t="inlineStr">
        <is>
          <t>GRI 417</t>
        </is>
      </c>
      <c r="S27" s="6" t="inlineStr">
        <is>
          <t>K-ESG 가이드라인 v2.0 (추가 진단항목, 3장)</t>
        </is>
      </c>
      <c r="T27" s="11" t="inlineStr">
        <is>
          <t>해당없음(복합가중형)</t>
        </is>
      </c>
      <c r="U27" s="12" t="n"/>
      <c r="V27" s="12" t="n"/>
      <c r="W27" s="12" t="n"/>
      <c r="X27" s="13" t="n"/>
      <c r="Y27" s="6" t="inlineStr">
        <is>
          <t>측정 기준 구분 배점
 제공하지 않음 0점
 소비자정보
 제공함 20점
 소비자정보 세부 사항 0점부터 최대 80점
 세부 사항별 10점씩 배분
 1) 다양한 소비자정보 제공 채널 운영
 2) 상품정보, 구매정보, 결제 및 배송 정보, 상담/문의 정보 등 충실한 소비자정보 제공
 3) 검색 등 소비자정보에 대한 접근성
 4) VOC 등 소비자 의견 개진 방법 보장
 5) VOC 등 소비자 의견 제기의 처리 절차 명시
 6) 소비자정보 제공 전 법규 준수 여부 확인 절차 유무
 7) 소비자정보 제공 전 법규 준수 여부 확인 절차의…</t>
        </is>
      </c>
      <c r="Z27" s="7" t="n"/>
      <c r="AA27" s="14" t="inlineStr">
        <is>
          <t>소비자 정보 제공에 대한 현황을 관리·공시하고 있습니까?</t>
        </is>
      </c>
      <c r="AB27" s="14" t="inlineStr">
        <is>
          <t>복합입력(세부요소 수동 0~100)</t>
        </is>
      </c>
    </row>
    <row r="28">
      <c r="A28" s="5" t="n">
        <v>75</v>
      </c>
      <c r="B28" s="6" t="inlineStr">
        <is>
          <t>S-소비자-추가2</t>
        </is>
      </c>
      <c r="C28" s="7" t="inlineStr">
        <is>
          <t>추가진단항목(v2.0)</t>
        </is>
      </c>
      <c r="D28" s="8" t="inlineStr">
        <is>
          <t>사회</t>
        </is>
      </c>
      <c r="E28" s="7" t="inlineStr">
        <is>
          <t>소비자</t>
        </is>
      </c>
      <c r="F28" s="6" t="inlineStr">
        <is>
          <t>소비자 안전</t>
        </is>
      </c>
      <c r="G28" s="7" t="inlineStr">
        <is>
          <t> 조직이 생산/판매하는 상품/서비스로 인해 소비자의 생명, 신체 또는 재산에 위해가 발생하지 않도록 어떤 체계와 노력을 수행하고 있는지 확인</t>
        </is>
      </c>
      <c r="H28" s="7" t="inlineStr">
        <is>
          <t>소비자 안전 관련 규정, 활동, 실적 (사업보고서, 홈페이지, 소비자중심경영 공적기술서 등)</t>
        </is>
      </c>
      <c r="I28" s="7" t="inlineStr">
        <is>
          <t>최근 회계연도</t>
        </is>
      </c>
      <c r="J28" s="6" t="inlineStr">
        <is>
          <t>N/A</t>
        </is>
      </c>
      <c r="K28" s="6" t="inlineStr">
        <is>
          <t>N/A</t>
        </is>
      </c>
      <c r="L28" s="9" t="inlineStr">
        <is>
          <t>단계형</t>
        </is>
      </c>
      <c r="M28" s="5" t="n">
        <v>5</v>
      </c>
      <c r="N28" s="7" t="inlineStr">
        <is>
          <t>단계형: 1단계=0점 / 2단계=25점 / 3단계=50점 / 4단계=75점 / 5단계=100점</t>
        </is>
      </c>
      <c r="O28" s="6" t="inlineStr">
        <is>
          <t>1단계 |  소비자안전 관련 규정 및 활동이 없음 |  2단계 |  소비자안전 관련 규정이 있으나 활동이 없음 |  3단계 |  소비자안전 관련 규정이 있고, 계획을 수립하고 있으나, 운영 실적이 미흡함 |  4단계 |  소비자안전 관련 규정이 있고, 소비자안전 보장을 위한 계획을 수립하고 운영하고 있음 |  5단계 |  소비자안전 관련 규정이 있고, 소비자안전 보장을 위한 계획을 수립하고 운영하고 있으며, 소비자안전 확보 노력이 지속적으로 |  진행되고 있음</t>
        </is>
      </c>
      <c r="P28" s="10" t="inlineStr">
        <is>
          <t>GAP(대응지표 없음)</t>
        </is>
      </c>
      <c r="Q28" s="6" t="inlineStr">
        <is>
          <t>KSSB 규정 없음</t>
        </is>
      </c>
      <c r="R28" s="6" t="inlineStr">
        <is>
          <t>GRI 416</t>
        </is>
      </c>
      <c r="S28" s="6" t="inlineStr">
        <is>
          <t>K-ESG 가이드라인 v2.0 (추가 진단항목, 3장)</t>
        </is>
      </c>
      <c r="T28" s="11" t="n"/>
      <c r="U28" s="12" t="n"/>
      <c r="V28" s="12" t="n"/>
      <c r="W28" s="12" t="n"/>
      <c r="X28" s="13" t="n"/>
      <c r="Y28" s="6" t="inlineStr">
        <is>
          <t>1단계
 소비자안전 관련 규정 및 활동이 없음
 2단계
 소비자안전 관련 규정이 있으나 활동이 없음
 3단계
 소비자안전 관련 규정이 있고, 계획을 수립하고 있으나, 운영 실적이 미흡함
 4단계
 소비자안전 관련 규정이 있고, 소비자안전 보장을 위한 계획을 수립하고 운영하고 있음
 5단계
 소비자안전 관련 규정이 있고, 소비자안전 보장을 위한 계획을 수립하고 운영하고 있으며, 소비자안전 확보 노력이 지속적으로
 진행되고 있음</t>
        </is>
      </c>
      <c r="Z28" s="7" t="n"/>
      <c r="AA28" s="14" t="inlineStr">
        <is>
          <t>소비자 안전에 대한 현황을 관리·공시하고 있습니까?</t>
        </is>
      </c>
      <c r="AB28" s="14" t="inlineStr">
        <is>
          <t>단계(1~5)</t>
        </is>
      </c>
    </row>
    <row r="29">
      <c r="A29" s="5" t="n">
        <v>76</v>
      </c>
      <c r="B29" s="6" t="inlineStr">
        <is>
          <t>S-소비자-추가3</t>
        </is>
      </c>
      <c r="C29" s="7" t="inlineStr">
        <is>
          <t>추가진단항목(v2.0)</t>
        </is>
      </c>
      <c r="D29" s="8" t="inlineStr">
        <is>
          <t>사회</t>
        </is>
      </c>
      <c r="E29" s="7" t="inlineStr">
        <is>
          <t>소비자</t>
        </is>
      </c>
      <c r="F29" s="6" t="inlineStr">
        <is>
          <t>고객만족 대응 체계 운영</t>
        </is>
      </c>
      <c r="G29" s="7" t="inlineStr">
        <is>
          <t> 기업과 소비자 간 분쟁 발생 시 해결을 위해 조직이 관련 규정과 담당조직을 마련하여 체계적으로 처리하고 그 내용을 기반으로 소비자 불만을 줄이기 위한 노력을 확인  조직이 소비자 불만 발생 시 이에 대해 적절하게 처리할 수 있는 규정 및 조직을 갖추고 있는지, 소비자 불만 발생을 줄이기 위한 활동을 적극적으로 추진하고 있는지를 점검</t>
        </is>
      </c>
      <c r="H29" s="7" t="inlineStr">
        <is>
          <t>소비자 불만 처리 관련 규정, 조직의 유무, 자료 및 지표 관리 현황 (사업보고서, 내부 규정, 소비자중심경영 공적 기술서 등)</t>
        </is>
      </c>
      <c r="I29" s="7" t="inlineStr">
        <is>
          <t>최근 회계연도</t>
        </is>
      </c>
      <c r="J29" s="6" t="inlineStr">
        <is>
          <t>N/A</t>
        </is>
      </c>
      <c r="K29" s="6" t="inlineStr">
        <is>
          <t>N/A</t>
        </is>
      </c>
      <c r="L29" s="9" t="inlineStr">
        <is>
          <t>복합가중형</t>
        </is>
      </c>
      <c r="M29" s="5" t="n"/>
      <c r="N29" s="7" t="inlineStr">
        <is>
          <t>복합가중형: 2~3개 세부요소를 균등가중평균(예: 1/2+1/2, 1/3×3) — 세부 배점은 점검기준 상세 참조, 자사취득점수는 수동 산정</t>
        </is>
      </c>
      <c r="O29" s="6" t="inlineStr">
        <is>
          <t>측정 기준 구분 배점 |  없음 0점 |  소비자불만 처리 관련 규정 |  있음 20점 |  담당 조직(담당자) 없음 0점 |  소비자불만 처리 담당 조직 |  담당 조직(담당자) 있음 20점 |  1단계 0점 |  2단계 10점 |  소비자불만 처리내용의 관리 |  3단계 20점 |  4단계 30점 |  1단계 0점 |  소비자불만 관련 지표 관리 2단계 15점 |  3단계 30점 |  &lt;소비자불만 처리내용의 관리&gt; |  - 1단계 : 소비자불만 처리내용을 관리하지 않는 경우 |  - 2단계 : 소비자불만 처리내용을 관리하지만 DB화하지 않는 경우(통계자료로서 활용 불가) |  - 3단계 : 소비자불만 처리내용을 DB화하여 관리하지만, 기초적인 통계자료로만 활용하는 경우(건수 취합 등) |  - 4단계 : 소비자불만 처리내용을 DB화하여 관리하고, 제품 개선, 신제품 개발 등에 활용 |  &lt;소비자불만 관련 지표 관리&gt; |  - 1단계 : 소비자불만 관련 지표를 수립하지 않는 경우 |  - 2단계 : 소비자불만 관련 지표를 수립하고 있으나 체계적으로 관리되지 않는 경우 |  - 3단계 : 소비자불만 관련 지표를 수립하여 정기적인 모니터링, 평가 등을 통해 관리하는 경우</t>
        </is>
      </c>
      <c r="P29" s="10" t="inlineStr">
        <is>
          <t>GAP(대응지표 없음)</t>
        </is>
      </c>
      <c r="Q29" s="6" t="inlineStr">
        <is>
          <t>KSSB 규정 없음</t>
        </is>
      </c>
      <c r="R29" s="6" t="inlineStr">
        <is>
          <t>GRI 416, K-ESG</t>
        </is>
      </c>
      <c r="S29" s="6" t="inlineStr">
        <is>
          <t>K-ESG 가이드라인 v2.0 (추가 진단항목, 3장)</t>
        </is>
      </c>
      <c r="T29" s="11" t="inlineStr">
        <is>
          <t>해당없음(복합가중형)</t>
        </is>
      </c>
      <c r="U29" s="12" t="n"/>
      <c r="V29" s="12" t="n"/>
      <c r="W29" s="12" t="n"/>
      <c r="X29" s="13" t="n"/>
      <c r="Y29" s="6" t="inlineStr">
        <is>
          <t>측정 기준 구분 배점
 없음 0점
 소비자불만 처리 관련 규정
 있음 20점
 담당 조직(담당자) 없음 0점
 소비자불만 처리 담당 조직
 담당 조직(담당자) 있음 20점
 1단계 0점
 2단계 10점
 소비자불만 처리내용의 관리
 3단계 20점
 4단계 30점
 1단계 0점
 소비자불만 관련 지표 관리 2단계 15점
 3단계 30점
 &lt;소비자불만 처리내용의 관리&gt;
 - 1단계 : 소비자불만 처리내용을 관리하지 않는 경우
 - 2단계 : 소비자불만 처리내용을 관리하지만 DB화하지 않는 경우(통계자료로서 활용 불가)
 - 3단계 :…</t>
        </is>
      </c>
      <c r="Z29" s="7" t="n"/>
      <c r="AA29" s="14" t="inlineStr">
        <is>
          <t>고객만족 대응 체계 운영을 수립하여 운영하고 있습니까?</t>
        </is>
      </c>
      <c r="AB29" s="14" t="inlineStr">
        <is>
          <t>복합입력(세부요소 수동 0~100)</t>
        </is>
      </c>
    </row>
    <row r="30">
      <c r="A30" s="5" t="n">
        <v>77</v>
      </c>
      <c r="B30" s="6" t="inlineStr">
        <is>
          <t>S-노동-추가1</t>
        </is>
      </c>
      <c r="C30" s="7" t="inlineStr">
        <is>
          <t>추가진단항목(v2.0)</t>
        </is>
      </c>
      <c r="D30" s="8" t="inlineStr">
        <is>
          <t>사회</t>
        </is>
      </c>
      <c r="E30" s="7" t="inlineStr">
        <is>
          <t>노동</t>
        </is>
      </c>
      <c r="F30" s="6" t="inlineStr">
        <is>
          <t>정규직 중 고졸자 비율</t>
        </is>
      </c>
      <c r="G30" s="7" t="inlineStr">
        <is>
          <t> 대학 졸업자에 비해 취업 여건이 열악한 고등학교 졸업자에게 적절한 취업 기회를 주고 있는지 확인  정규직(무기계약직 포함) 중 고졸자 비율을 점검</t>
        </is>
      </c>
      <c r="H30" s="7" t="inlineStr">
        <is>
          <t>‘전자공시시스템’ 上 사업보고서, ‘조직별 홈페이지’ 上 지속가능경영보고서</t>
        </is>
      </c>
      <c r="I30" s="7" t="inlineStr">
        <is>
          <t>직전 회계연도</t>
        </is>
      </c>
      <c r="J30" s="6" t="inlineStr">
        <is>
          <t>국내 및 해외 사업장</t>
        </is>
      </c>
      <c r="K30" s="6" t="inlineStr">
        <is>
          <t>정규직 중 고졸자 비율 = 직전 회계연도 말 정규직 중 고졸자 수 / 직전 회계연도 말 총 정규직 수</t>
        </is>
      </c>
      <c r="L30" s="9" t="inlineStr">
        <is>
          <t>단계형</t>
        </is>
      </c>
      <c r="M30" s="5" t="n">
        <v>5</v>
      </c>
      <c r="N30" s="7" t="inlineStr">
        <is>
          <t>단계형: 1단계=0점 / 2단계=25점 / 3단계=50점 / 4단계=75점 / 5단계=100점</t>
        </is>
      </c>
      <c r="O30" s="6" t="inlineStr">
        <is>
          <t>- 1단계 : 정규직(무기계약직 포함) 중 고졸자 비율을 공시하지 않는 경우 |  - 2단계 : 정규직(무기계약직 포함) 중 고졸자 비율을 공시하고 공공기관 평균 대비 고졸자 비율이 적은 경우 |  (공공기관의 50% 미만) |  - 3단계 : 정규직(무기계약직 포함) 중 고졸자 비율을 공시하고 공공기관 평균 대비 고졸자 비율이 적은 경우 |  (공공기관의 50% 이상 ~100% 미만) |  - 4단계 : 정규직(무기계약직 포함) 중 고졸자 비율을 공시하고 공공기관 평균 대비 고졸자 비율이 동일하거나 높은 경우 |  (공공기관의 100% 이상 ~150% 미만) |  - 5단계 : 정규직(무기계약직 포함) 중 고졸자 비율을 공시하고 공공기관 평균 대비 고졸자 비율이 높은 경우 |  (공공기관의 150% 이상)</t>
        </is>
      </c>
      <c r="P30" s="10" t="inlineStr">
        <is>
          <t>GAP(대응지표 없음)</t>
        </is>
      </c>
      <c r="Q30" s="6" t="inlineStr">
        <is>
          <t>KSSB 규정 없음</t>
        </is>
      </c>
      <c r="R30" s="6" t="inlineStr">
        <is>
          <t>GRI 405</t>
        </is>
      </c>
      <c r="S30" s="6" t="inlineStr">
        <is>
          <t>K-ESG 가이드라인 v2.0 (추가 진단항목, 3장)</t>
        </is>
      </c>
      <c r="T30" s="11" t="n"/>
      <c r="U30" s="12" t="n"/>
      <c r="V30" s="12" t="n"/>
      <c r="W30" s="12" t="n"/>
      <c r="X30" s="13" t="n"/>
      <c r="Y30" s="6" t="inlineStr">
        <is>
          <t>- 1단계 : 정규직(무기계약직 포함) 중 고졸자 비율을 공시하지 않는 경우
 - 2단계 : 정규직(무기계약직 포함) 중 고졸자 비율을 공시하고 공공기관 평균 대비 고졸자 비율이 적은 경우
 (공공기관의 50% 미만)
 - 3단계 : 정규직(무기계약직 포함) 중 고졸자 비율을 공시하고 공공기관 평균 대비 고졸자 비율이 적은 경우
 (공공기관의 50% 이상 ~100% 미만)
 - 4단계 : 정규직(무기계약직 포함) 중 고졸자 비율을 공시하고 공공기관 평균 대비 고졸자 비율이 동일하거나 높은 경우
 (공공기관의 100% 이상…</t>
        </is>
      </c>
      <c r="Z30" s="7" t="n"/>
      <c r="AA30" s="14" t="inlineStr">
        <is>
          <t>정규직 중 고졸자 비율을 정량적으로 산정하여 관리·공시하고 있습니까?</t>
        </is>
      </c>
      <c r="AB30" s="14" t="inlineStr">
        <is>
          <t>단계(1~5)</t>
        </is>
      </c>
    </row>
    <row r="31">
      <c r="A31" s="5" t="n">
        <v>78</v>
      </c>
      <c r="B31" s="6" t="inlineStr">
        <is>
          <t>S-노동-추가2</t>
        </is>
      </c>
      <c r="C31" s="7" t="inlineStr">
        <is>
          <t>추가진단항목(v2.0)</t>
        </is>
      </c>
      <c r="D31" s="8" t="inlineStr">
        <is>
          <t>사회</t>
        </is>
      </c>
      <c r="E31" s="7" t="inlineStr">
        <is>
          <t>노동</t>
        </is>
      </c>
      <c r="F31" s="6" t="inlineStr">
        <is>
          <t>여가친화 경영</t>
        </is>
      </c>
      <c r="G31" s="7" t="inlineStr">
        <is>
          <t> 포용적 경영의 핵심이슈인 근로자의 ‘일과 삶의 균형’ 지원 정도를 확인  조직이 근로자가 일과 여가를 조화롭게 추구할 수 있는 여가 친화적인 환경 제공 및 여가 제도 운영 관련 여가친화경영 인증 여부 점검</t>
        </is>
      </c>
      <c r="H31" s="7" t="inlineStr">
        <is>
          <t>&lt;여가친화인증제도 인증 심사기준&gt; - 근로자의 여가시간(주당 평균 근로시간, 평균 연차휴가 소진율) - 근로자의 여가 지원제도 운영 여부(근로계약 체결 시 명문화, 여가 담당자 여부, 반반차 휴가제 운영 규정, 연차휴가사용 촉진제도, 보상휴가제 운영, 특별휴가 운영, 휴가사용방식 규정) - 근로자 대상 여가활동 지원 정도(여가 공간·시설·비용 및 프로그램 지원 여부) - 여가친화적 기업문화(여가친화적 조직문화, 최고경영층 리더십, 직원 만족도 조사) - 기타 가점(지역사회공헌 등)</t>
        </is>
      </c>
      <c r="I31" s="7" t="inlineStr">
        <is>
          <t>직전 회계연도</t>
        </is>
      </c>
      <c r="J31" s="6" t="inlineStr">
        <is>
          <t>국내 및 해외 사업장</t>
        </is>
      </c>
      <c r="K31" s="6" t="inlineStr">
        <is>
          <t>N/A</t>
        </is>
      </c>
      <c r="L31" s="9" t="inlineStr">
        <is>
          <t>단계형</t>
        </is>
      </c>
      <c r="M31" s="5" t="n">
        <v>2</v>
      </c>
      <c r="N31" s="7" t="inlineStr">
        <is>
          <t>단계형: 1단계=0점 / 2단계=100점</t>
        </is>
      </c>
      <c r="O31" s="6" t="inlineStr">
        <is>
          <t>- 1단계 : 여가친화인증 미획득 |  - 2단계 : 여가친화인증 획득</t>
        </is>
      </c>
      <c r="P31" s="10" t="inlineStr">
        <is>
          <t>GAP(대응지표 없음)</t>
        </is>
      </c>
      <c r="Q31" s="6" t="inlineStr">
        <is>
          <t>KSSB 규정 없음</t>
        </is>
      </c>
      <c r="R31" s="6" t="inlineStr">
        <is>
          <t>GRI 401</t>
        </is>
      </c>
      <c r="S31" s="6" t="inlineStr">
        <is>
          <t>K-ESG 가이드라인 v2.0 (추가 진단항목, 3장)</t>
        </is>
      </c>
      <c r="T31" s="11" t="n"/>
      <c r="U31" s="12" t="n"/>
      <c r="V31" s="12" t="n"/>
      <c r="W31" s="12" t="n"/>
      <c r="X31" s="13" t="n"/>
      <c r="Y31" s="6" t="inlineStr">
        <is>
          <t>- 1단계 : 여가친화인증 미획득
 - 2단계 : 여가친화인증 획득</t>
        </is>
      </c>
      <c r="Z31" s="7" t="n"/>
      <c r="AA31" s="14" t="inlineStr">
        <is>
          <t>여가친화 경영을 수립하여 운영하고 있습니까?</t>
        </is>
      </c>
      <c r="AB31" s="14" t="inlineStr">
        <is>
          <t>단계(1~2)</t>
        </is>
      </c>
    </row>
    <row r="32">
      <c r="A32" s="5" t="n">
        <v>79</v>
      </c>
      <c r="B32" s="6" t="inlineStr">
        <is>
          <t>S-노동-추가3</t>
        </is>
      </c>
      <c r="C32" s="7" t="inlineStr">
        <is>
          <t>추가진단항목(v2.0)</t>
        </is>
      </c>
      <c r="D32" s="8" t="inlineStr">
        <is>
          <t>사회</t>
        </is>
      </c>
      <c r="E32" s="7" t="inlineStr">
        <is>
          <t>노동</t>
        </is>
      </c>
      <c r="F32" s="6" t="inlineStr">
        <is>
          <t>50세 이상 비자발적 이직예정자 중 재취업지원 제공 비율</t>
        </is>
      </c>
      <c r="G32" s="7" t="inlineStr">
        <is>
          <t> 초고령사회에 대비하여 50대 이상 준·고령층이 노동시장에서 보다 장기간 활동할 수 있도록 지원하는지 확인  사업주가 50세 이상 비자발적 이직예정자 중 진로설계, 취업알선, 취·창업 교육훈련 등 이직이후 재취업지원을 위한 서비스를 제공하는지 점검</t>
        </is>
      </c>
      <c r="H32" s="7" t="inlineStr">
        <is>
          <t>‘전자공시시스템’ 上 사업보고서, ‘조직별 홈페이지’ 上 지속가능경영보고서</t>
        </is>
      </c>
      <c r="I32" s="7" t="inlineStr">
        <is>
          <t>직전 회계연도</t>
        </is>
      </c>
      <c r="J32" s="6" t="inlineStr">
        <is>
          <t>국내 및 해외 사업장</t>
        </is>
      </c>
      <c r="K32" s="6" t="inlineStr">
        <is>
          <t>직전 회계연도 50세 이상 비자발적 이직예정자 중 서비스 제공받은 구성원 / 직전 회계연도 50세 이상 총 비자발적 이직 예정자</t>
        </is>
      </c>
      <c r="L32" s="9" t="inlineStr">
        <is>
          <t>단계형</t>
        </is>
      </c>
      <c r="M32" s="5" t="n">
        <v>3</v>
      </c>
      <c r="N32" s="7" t="inlineStr">
        <is>
          <t>단계형: 1단계=0점 / 2단계=50점 / 3단계=100점</t>
        </is>
      </c>
      <c r="O32" s="6" t="inlineStr">
        <is>
          <t>- 1단계 : 재취업지원서비스 미제공 또는 제공 비율 감소 추세 |  - 2단계 : 재취업지원서비스 제공 비율 유지 추세 |  - 3단계 : 재취업지원서비스 제공 비율 증가 추세</t>
        </is>
      </c>
      <c r="P32" s="10" t="inlineStr">
        <is>
          <t>GAP(대응지표 없음)</t>
        </is>
      </c>
      <c r="Q32" s="6" t="inlineStr">
        <is>
          <t>KSSB 규정 없음</t>
        </is>
      </c>
      <c r="R32" s="6" t="inlineStr">
        <is>
          <t>GRI 401</t>
        </is>
      </c>
      <c r="S32" s="6" t="inlineStr">
        <is>
          <t>K-ESG 가이드라인 v2.0 (추가 진단항목, 3장)</t>
        </is>
      </c>
      <c r="T32" s="11" t="n"/>
      <c r="U32" s="12" t="n"/>
      <c r="V32" s="12" t="n"/>
      <c r="W32" s="12" t="n"/>
      <c r="X32" s="13" t="n"/>
      <c r="Y32" s="6" t="inlineStr">
        <is>
          <t>- 1단계 : 재취업지원서비스 미제공 또는 제공 비율 감소 추세
 - 2단계 : 재취업지원서비스 제공 비율 유지 추세
 - 3단계 : 재취업지원서비스 제공 비율 증가 추세</t>
        </is>
      </c>
      <c r="Z32" s="7" t="n"/>
      <c r="AA32" s="14" t="inlineStr">
        <is>
          <t>50세 이상 비자발적 이직예정자 중 재취업지원 제공 비율을 정량적으로 산정하여 관리·공시하고 있습니까?</t>
        </is>
      </c>
      <c r="AB32" s="14" t="inlineStr">
        <is>
          <t>단계(1~3)</t>
        </is>
      </c>
    </row>
    <row r="33">
      <c r="A33" s="5" t="n">
        <v>80</v>
      </c>
      <c r="B33" s="6" t="inlineStr">
        <is>
          <t>S-정보보호-추가1</t>
        </is>
      </c>
      <c r="C33" s="7" t="inlineStr">
        <is>
          <t>추가진단항목(v2.0)</t>
        </is>
      </c>
      <c r="D33" s="8" t="inlineStr">
        <is>
          <t>사회</t>
        </is>
      </c>
      <c r="E33" s="7" t="inlineStr">
        <is>
          <t>정보보호</t>
        </is>
      </c>
      <c r="F33" s="6" t="inlineStr">
        <is>
          <t>개인정보보호를 위한 자율적 노력 및 활동</t>
        </is>
      </c>
      <c r="G33" s="7" t="inlineStr">
        <is>
          <t> 조직이 정보주체의 개인정보 자기결정권 보장을 위해서 법적 준수사항 외 자율적으로 개인정보보호를 위해 수행하는 활동 및 노력을 확인</t>
        </is>
      </c>
      <c r="H33" s="7" t="inlineStr">
        <is>
          <t>개인정보보호 관련 활동 현황 (사업보고서, 홈페이지, 지속가능성보고서 등)</t>
        </is>
      </c>
      <c r="I33" s="7" t="inlineStr">
        <is>
          <t>최근 회계연도</t>
        </is>
      </c>
      <c r="J33" s="6" t="inlineStr">
        <is>
          <t>국내 사업장</t>
        </is>
      </c>
      <c r="K33" s="6" t="inlineStr">
        <is>
          <t>N/A</t>
        </is>
      </c>
      <c r="L33" s="9" t="inlineStr">
        <is>
          <t>복합가중형</t>
        </is>
      </c>
      <c r="M33" s="5" t="n"/>
      <c r="N33" s="7" t="inlineStr">
        <is>
          <t>복합가중형: 2~3개 세부요소를 균등가중평균(예: 1/2+1/2, 1/3×3) — 세부 배점은 점검기준 상세 참조, 자사취득점수는 수동 산정</t>
        </is>
      </c>
      <c r="O33" s="6" t="inlineStr">
        <is>
          <t>아래 항목의 공시 여부에 따라 단계 구분 |  ① 개인정보 처리방침을 기호(라벨링) 등을 통해 이해하기 쉽게 작성하여 공개하고 있는지 여부 |  ② ISMS-P 인증 획득 여부 |  ③ 영향평가 수행 여부 |  ④ 개인정보 자율규제단체 활동 여부 |  ⑤ 투명성보고서 발간 여부 |  1단계 : 공시 없음 |  2단계 : 위 사항 중 1개 이상 활동사항 공시 |  3단계 : 위 사항 중 3개 이상 활동사항 공시 |  측정구분 배점 |  1단계 0점 |  2단계 50점 |  3단계 100점</t>
        </is>
      </c>
      <c r="P33" s="10" t="inlineStr">
        <is>
          <t>GAP(대응지표 없음)</t>
        </is>
      </c>
      <c r="Q33" s="6" t="inlineStr">
        <is>
          <t>KSSB 규정 없음</t>
        </is>
      </c>
      <c r="R33" s="6" t="inlineStr">
        <is>
          <t>GRI 418-1, ISMS-P</t>
        </is>
      </c>
      <c r="S33" s="6" t="inlineStr">
        <is>
          <t>K-ESG 가이드라인 v2.0 (추가 진단항목, 3장)</t>
        </is>
      </c>
      <c r="T33" s="11" t="inlineStr">
        <is>
          <t>해당없음(복합가중형)</t>
        </is>
      </c>
      <c r="U33" s="12" t="n"/>
      <c r="V33" s="12" t="n"/>
      <c r="W33" s="12" t="n"/>
      <c r="X33" s="13" t="n"/>
      <c r="Y33" s="6" t="inlineStr">
        <is>
          <t>아래 항목의 공시 여부에 따라 단계 구분
 ① 개인정보 처리방침을 기호(라벨링) 등을 통해 이해하기 쉽게 작성하여 공개하고 있는지 여부
 ② ISMS-P 인증 획득 여부
 ③ 영향평가 수행 여부
 ④ 개인정보 자율규제단체 활동 여부
 ⑤ 투명성보고서 발간 여부
 1단계 : 공시 없음
 2단계 : 위 사항 중 1개 이상 활동사항 공시
 3단계 : 위 사항 중 3개 이상 활동사항 공시
 측정구분 배점
 1단계 0점
 2단계 50점
 3단계 100점</t>
        </is>
      </c>
      <c r="Z33" s="7" t="n"/>
      <c r="AA33" s="14" t="inlineStr">
        <is>
          <t>개인정보보호를 위한 자율적 노력 및 활동을 계획적으로 수행하고 성과를 관리하고 있습니까?</t>
        </is>
      </c>
      <c r="AB33" s="14" t="inlineStr">
        <is>
          <t>복합입력(세부요소 수동 0~100)</t>
        </is>
      </c>
    </row>
    <row r="34">
      <c r="A34" s="5" t="n">
        <v>81</v>
      </c>
      <c r="B34" s="6" t="inlineStr">
        <is>
          <t>S-지역사회-추가1</t>
        </is>
      </c>
      <c r="C34" s="7" t="inlineStr">
        <is>
          <t>추가진단항목(v2.0)</t>
        </is>
      </c>
      <c r="D34" s="8" t="inlineStr">
        <is>
          <t>사회</t>
        </is>
      </c>
      <c r="E34" s="7" t="inlineStr">
        <is>
          <t>지역사회</t>
        </is>
      </c>
      <c r="F34" s="6" t="inlineStr">
        <is>
          <t>농어촌지역 상생협력 및 균형발전</t>
        </is>
      </c>
      <c r="G34" s="7" t="inlineStr">
        <is>
          <t> 조직이 농어촌지역 간 상생협력을 통해 농어업인의 삶의 질 향상 및 농어촌 지역사회의 발전에 기여하는 수준을 확인</t>
        </is>
      </c>
      <c r="H34" s="7" t="inlineStr">
        <is>
          <t>농어촌 상생협력기금 출연협약 체결 여부, 지출에 대한 공시 여부, 연도별 매출액 대비 상생협력기금 출연액 증감 여부(사업보고서, 홈페이지, 지속가능성보고서 등)</t>
        </is>
      </c>
      <c r="I34" s="7" t="inlineStr">
        <is>
          <t>최근 4개년 (회계연도 기준)</t>
        </is>
      </c>
      <c r="J34" s="6" t="inlineStr">
        <is>
          <t>국내 사업장</t>
        </is>
      </c>
      <c r="K34" s="6" t="inlineStr">
        <is>
          <t>N/A</t>
        </is>
      </c>
      <c r="L34" s="9" t="inlineStr">
        <is>
          <t>복합가중형</t>
        </is>
      </c>
      <c r="M34" s="5" t="n"/>
      <c r="N34" s="7" t="inlineStr">
        <is>
          <t>복합가중형: 2~3개 세부요소를 균등가중평균(예: 1/2+1/2, 1/3×3) — 세부 배점은 점검기준 상세 참조, 자사취득점수는 수동 산정</t>
        </is>
      </c>
      <c r="O34" s="6" t="inlineStr">
        <is>
          <t>기업의 수준은 (농어촌 상생협력기금 출연협약 체결 여부) + (연도별 매출액 대비 상생협력기금 출연액 증감 여부)의 합산으로 |  측정함 |  측정 기준 구분 배점 |  농어촌상생협력기금 체결하지 않음 0점 |  출연협약 체결 여부 체결함 20점 |  1단계 20점 |  농어촌상생협력기금 2단계 40점 |  지출액 3단계 60점 |  4단계 80점 |  - 1단계 : 과거 4년간 매출액 대비 농어촌 상생협력기금 출연액이 감소하는 경우 |  - 2단계 : 과거 4년간 매출액 대비 농어촌 상생협력기금 출연액이 유지하는 경우 |  - 3단계 : 과거 4년간 매출액 대비 농어촌 상생협력기금 출연액이 증가하는 경우 |  - 4단계 : 과거 4년간 매출액 대비 농어촌 상생협력기금 출연액이 증가하면서, 아래 열거된 출연액 용도 중 2개 이상의 용도에 |  출연액을 중복해서 지원하는 경우 |  · 출연액 용도 : ① 교육·장학 ② 복지 증진 ③ 농어촌 지역개발 ④ 공동 협력 사업 |  * 3개년 이하 데이터 보유 시 해당 데이터로 추세 산정</t>
        </is>
      </c>
      <c r="P34" s="10" t="inlineStr">
        <is>
          <t>GAP(대응지표 없음)</t>
        </is>
      </c>
      <c r="Q34" s="6" t="inlineStr">
        <is>
          <t>KSSB 규정 없음</t>
        </is>
      </c>
      <c r="R34" s="6" t="inlineStr">
        <is>
          <t>K-ESG 고유</t>
        </is>
      </c>
      <c r="S34" s="6" t="inlineStr">
        <is>
          <t>K-ESG 가이드라인 v2.0 (추가 진단항목, 3장)</t>
        </is>
      </c>
      <c r="T34" s="11" t="inlineStr">
        <is>
          <t>해당없음(복합가중형)</t>
        </is>
      </c>
      <c r="U34" s="12" t="n"/>
      <c r="V34" s="12" t="n"/>
      <c r="W34" s="12" t="n"/>
      <c r="X34" s="13" t="n"/>
      <c r="Y34" s="6" t="inlineStr">
        <is>
          <t>기업의 수준은 (농어촌 상생협력기금 출연협약 체결 여부) + (연도별 매출액 대비 상생협력기금 출연액 증감 여부)의 합산으로
 측정함
 측정 기준 구분 배점
 농어촌상생협력기금 체결하지 않음 0점
 출연협약 체결 여부 체결함 20점
 1단계 20점
 농어촌상생협력기금 2단계 40점
 지출액 3단계 60점
 4단계 80점
 - 1단계 : 과거 4년간 매출액 대비 농어촌 상생협력기금 출연액이 감소하는 경우
 - 2단계 : 과거 4년간 매출액 대비 농어촌 상생협력기금 출연액이 유지하는 경우
 - 3단계 : 과거 4년간 매출액 대비…</t>
        </is>
      </c>
      <c r="Z34" s="7" t="n"/>
      <c r="AA34" s="14" t="inlineStr">
        <is>
          <t>농어촌지역 상생협력 및 균형발전에 대한 현황을 관리·공시하고 있습니까?</t>
        </is>
      </c>
      <c r="AB34" s="14" t="inlineStr">
        <is>
          <t>복합입력(세부요소 수동 0~100)</t>
        </is>
      </c>
    </row>
    <row r="35">
      <c r="A35" s="5" t="n">
        <v>82</v>
      </c>
      <c r="B35" s="6" t="inlineStr">
        <is>
          <t>S-지역사회-추가2</t>
        </is>
      </c>
      <c r="C35" s="7" t="inlineStr">
        <is>
          <t>추가진단항목(v2.0)</t>
        </is>
      </c>
      <c r="D35" s="8" t="inlineStr">
        <is>
          <t>사회</t>
        </is>
      </c>
      <c r="E35" s="7" t="inlineStr">
        <is>
          <t>지역사회</t>
        </is>
      </c>
      <c r="F35" s="6" t="inlineStr">
        <is>
          <t>산학협력 활성화 기여</t>
        </is>
      </c>
      <c r="G35" s="7" t="inlineStr">
        <is>
          <t> 조직이 대학과의 산학협력을 위해 얼마나 자원을 투입하고 있는지를 확인 * 산학협력이란 산업교육기관과 국가·지방자치단체·정부출연기관 및 산업체 등이 상호협력하여 산업체의 수요와 미래의 산업 발전에 부응하는 인력을 양성하고 새로운 지식, 기술의 창출 및 확산을 위해 연구·개발하며, 산업체 등으로의 기술 이전 및 산업 자문 등의 활동을 의미함(산업교육진흥 및 산학협력촉진에 관한 법률 제2조 제5호).</t>
        </is>
      </c>
      <c r="H35" s="7" t="inlineStr">
        <is>
          <t>산학협력 활동 공시 여부, 산학협력 마일리지 점수(매출액 대비) (사업보고서, 산학협력 마일리지 홈페이지(www.muic.or.kr) 등)</t>
        </is>
      </c>
      <c r="I35" s="7" t="inlineStr">
        <is>
          <t>최근 4개년 (회계연도 기준)</t>
        </is>
      </c>
      <c r="J35" s="6" t="inlineStr">
        <is>
          <t>국내 사업장 및 국내 소재 대학</t>
        </is>
      </c>
      <c r="K35" s="6" t="inlineStr">
        <is>
          <t>N/A</t>
        </is>
      </c>
      <c r="L35" s="9" t="inlineStr">
        <is>
          <t>단계형</t>
        </is>
      </c>
      <c r="M35" s="5" t="n">
        <v>5</v>
      </c>
      <c r="N35" s="7" t="inlineStr">
        <is>
          <t>단계형: 1단계=0점 / 2단계=25점 / 3단계=50점 / 4단계=75점 / 5단계=100점</t>
        </is>
      </c>
      <c r="O35" s="6" t="inlineStr">
        <is>
          <t>1단계 |  산학협력 활동에 관한 정보공시가 없는 경우 |  2단계 |  산학협력 활동 내용은 공시하나 ‘산학협력 마일리지’ 점수에 대한 정보공시가 없는 경우 |  3단계 |  산학협력 활동 내용, 마일리지 점수에 대한 정보공시가 있으나, 최근 4개년 매출액 대비 마일리지 점수 변동을 알 수 없거나 감소 |  추세인 경우 |  4단계 |  산학협력 활동 내용, 마일리지 점수에 대한 정보를 공시하며, 최근 4개년 매출액 대비 마일리지 점수가 유지되는 경우 |  5단계 |  산학협력 활동 내용, 마일리지 점수에 대한 정보를 공시하며, 최근 4개년 매출액 대비 마일리지 점수가 증가 추세인 경우 |  * 3개년 이하 데이터 보유 시 해당 데이터로 추세 산정</t>
        </is>
      </c>
      <c r="P35" s="10" t="inlineStr">
        <is>
          <t>GAP(대응지표 없음)</t>
        </is>
      </c>
      <c r="Q35" s="6" t="inlineStr">
        <is>
          <t>KSSB 규정 없음</t>
        </is>
      </c>
      <c r="R35" s="6" t="inlineStr">
        <is>
          <t>K-ESG 고유</t>
        </is>
      </c>
      <c r="S35" s="6" t="inlineStr">
        <is>
          <t>K-ESG 가이드라인 v2.0 (추가 진단항목, 3장)</t>
        </is>
      </c>
      <c r="T35" s="11" t="n"/>
      <c r="U35" s="12" t="n"/>
      <c r="V35" s="12" t="n"/>
      <c r="W35" s="12" t="n"/>
      <c r="X35" s="13" t="n"/>
      <c r="Y35" s="6" t="inlineStr">
        <is>
          <t>1단계
 산학협력 활동에 관한 정보공시가 없는 경우
 2단계
 산학협력 활동 내용은 공시하나 ‘산학협력 마일리지’ 점수에 대한 정보공시가 없는 경우
 3단계
 산학협력 활동 내용, 마일리지 점수에 대한 정보공시가 있으나, 최근 4개년 매출액 대비 마일리지 점수 변동을 알 수 없거나 감소
 추세인 경우
 4단계
 산학협력 활동 내용, 마일리지 점수에 대한 정보를 공시하며, 최근 4개년 매출액 대비 마일리지 점수가 유지되는 경우
 5단계
 산학협력 활동 내용, 마일리지 점수에 대한 정보를 공시하며, 최근 4개년 매출액 대비 마일리지…</t>
        </is>
      </c>
      <c r="Z35" s="7" t="n"/>
      <c r="AA35" s="14" t="inlineStr">
        <is>
          <t>산학협력 활성화 기여를 계획적으로 수행하고 성과를 관리하고 있습니까?</t>
        </is>
      </c>
      <c r="AB35" s="14" t="inlineStr">
        <is>
          <t>단계(1~5)</t>
        </is>
      </c>
    </row>
    <row r="36">
      <c r="A36" s="5" t="n">
        <v>83</v>
      </c>
      <c r="B36" s="6" t="inlineStr">
        <is>
          <t>S-지역사회-추가3</t>
        </is>
      </c>
      <c r="C36" s="7" t="inlineStr">
        <is>
          <t>추가진단항목(v2.0)</t>
        </is>
      </c>
      <c r="D36" s="8" t="inlineStr">
        <is>
          <t>사회</t>
        </is>
      </c>
      <c r="E36" s="7" t="inlineStr">
        <is>
          <t>지역사회</t>
        </is>
      </c>
      <c r="F36" s="6" t="inlineStr">
        <is>
          <t>미래세대 성장 및 교육 기여</t>
        </is>
      </c>
      <c r="G36" s="7" t="inlineStr">
        <is>
          <t> 조직이 미래세대의 성장과 교육에 기여하는 수준을 확인 * 기업은 지역사회의 주된 구성원이자 미래세대인 아동과 청년을 위해 각종 교육활동 운영, 현장실습(인턴십) 및 진로체험 기회 제공, 교육기부, 장학금 지원, 역량개발 지원 활동을 추진</t>
        </is>
      </c>
      <c r="H36" s="7" t="inlineStr">
        <is>
          <t>미래세대 성장 및 교육 기여 활동 지출액, 수혜인원 및 지원 기간(매출액 대비) (사업보고서, 지속가능성보고서, 홈페이지 등)</t>
        </is>
      </c>
      <c r="I36" s="7" t="inlineStr">
        <is>
          <t>최근 4개년 (회계연도 기준)</t>
        </is>
      </c>
      <c r="J36" s="6" t="inlineStr">
        <is>
          <t>국내 사업장 및 국내 소재 대학</t>
        </is>
      </c>
      <c r="K36" s="6" t="inlineStr">
        <is>
          <t>N/A</t>
        </is>
      </c>
      <c r="L36" s="9" t="inlineStr">
        <is>
          <t>단계형</t>
        </is>
      </c>
      <c r="M36" s="5" t="n">
        <v>5</v>
      </c>
      <c r="N36" s="7" t="inlineStr">
        <is>
          <t>단계형: 1단계=0점 / 2단계=25점 / 3단계=50점 / 4단계=75점 / 5단계=100점</t>
        </is>
      </c>
      <c r="O36" s="6" t="inlineStr">
        <is>
          <t>1단계 |  미래세대 성장 및 교육 기여 활동에 관한 정보공시가 없는 경우 |  2단계 |  미래세대 성장 및 교육 기여 활동 내용은 공시하나 지출액이나 수혜인원에 대한 정보공시가 없는 경우 |  3단계 |  미래세대 성장 및 교육 기여 활동 내용, 지출액, 수혜규모에 대한 정보공시가 있으나, 최근 4년간 매출액 증감폭 대비 |  미래세대 성장 기여 활동 지출액 또는 수혜규모 변동을 알 수 없거나 감소 추세인 경우 |  4단계 |  미래세대 성장 및 교육 기여 활동 내용, 지출액, 수혜규모에 대한 정보를 공시하며, 최근 4년간 매출액 증감폭 대비 |  미래세대 성장 기여 활동 지출액 또는 수혜규모가 유지되고 있는 경우 |  5단계 |  미래세대 성장 및 교육 기여 활동 내용, 지출액, 수혜규모에 대한 정보를 공시하며, 최근 4년간 매출액 증감폭 대비 |  미래세대 성장 기여 활동 지출액 또는 수혜규모가 증가 추세인 경우 |  * 3개년 이하 데이터 보유 시 해당 데이터로 추세 산정</t>
        </is>
      </c>
      <c r="P36" s="10" t="inlineStr">
        <is>
          <t>GAP(대응지표 없음)</t>
        </is>
      </c>
      <c r="Q36" s="6" t="inlineStr">
        <is>
          <t>KSSB 규정 없음</t>
        </is>
      </c>
      <c r="R36" s="6" t="inlineStr">
        <is>
          <t>K-ESG 고유</t>
        </is>
      </c>
      <c r="S36" s="6" t="inlineStr">
        <is>
          <t>K-ESG 가이드라인 v2.0 (추가 진단항목, 3장)</t>
        </is>
      </c>
      <c r="T36" s="11" t="n"/>
      <c r="U36" s="12" t="n"/>
      <c r="V36" s="12" t="n"/>
      <c r="W36" s="12" t="n"/>
      <c r="X36" s="13" t="n"/>
      <c r="Y36" s="6" t="inlineStr">
        <is>
          <t>1단계
 미래세대 성장 및 교육 기여 활동에 관한 정보공시가 없는 경우
 2단계
 미래세대 성장 및 교육 기여 활동 내용은 공시하나 지출액이나 수혜인원에 대한 정보공시가 없는 경우
 3단계
 미래세대 성장 및 교육 기여 활동 내용, 지출액, 수혜규모에 대한 정보공시가 있으나, 최근 4년간 매출액 증감폭 대비
 미래세대 성장 기여 활동 지출액 또는 수혜규모 변동을 알 수 없거나 감소 추세인 경우
 4단계
 미래세대 성장 및 교육 기여 활동 내용, 지출액, 수혜규모에 대한 정보를 공시하며, 최근 4년간 매출액 증감폭 대비
 미래세대…</t>
        </is>
      </c>
      <c r="Z36" s="7" t="n"/>
      <c r="AA36" s="14" t="inlineStr">
        <is>
          <t>미래세대 성장 및 교육 기여를 계획적으로 수행하고 성과를 관리하고 있습니까?</t>
        </is>
      </c>
      <c r="AB36" s="14" t="inlineStr">
        <is>
          <t>단계(1~5)</t>
        </is>
      </c>
    </row>
  </sheetData>
  <mergeCells count="1">
    <mergeCell ref="A1:A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9"/>
  <sheetViews>
    <sheetView workbookViewId="0">
      <pane ySplit="267" topLeftCell="A268" activePane="bottomLeft" state="frozen"/>
      <selection pane="bottomLeft" activeCell="A1" sqref="A1"/>
    </sheetView>
  </sheetViews>
  <sheetFormatPr baseColWidth="8" defaultRowHeight="15"/>
  <cols>
    <col width="16" customWidth="1" min="1" max="1"/>
    <col width="28" customWidth="1" min="2" max="2"/>
    <col width="9" customWidth="1" min="3" max="3"/>
    <col width="10" customWidth="1" min="4" max="4"/>
    <col width="8" customWidth="1" min="5" max="5"/>
    <col width="80" customWidth="1" min="6" max="6"/>
  </cols>
  <sheetData>
    <row r="1">
      <c r="A1" s="1" t="inlineStr">
        <is>
          <t>[분리본: S(사회)] 원본 02시트를 분류코드 기준으로 재분류한 파일입니다.</t>
        </is>
      </c>
    </row>
    <row r="2" ht="21.75" customHeight="1">
      <c r="A2" s="3" t="inlineStr">
        <is>
          <t>분류코드</t>
        </is>
      </c>
      <c r="B2" s="3" t="inlineStr">
        <is>
          <t>진단항목명</t>
        </is>
      </c>
      <c r="C2" s="3" t="inlineStr">
        <is>
          <t>단계번호</t>
        </is>
      </c>
      <c r="D2" s="3" t="inlineStr">
        <is>
          <t>단계라벨</t>
        </is>
      </c>
      <c r="E2" s="3" t="inlineStr">
        <is>
          <t>배점</t>
        </is>
      </c>
      <c r="F2" s="3" t="inlineStr">
        <is>
          <t>단계별 판단기준(K-ESG v2.0 원문)</t>
        </is>
      </c>
    </row>
    <row r="3">
      <c r="A3" s="6" t="inlineStr">
        <is>
          <t>S-1-1</t>
        </is>
      </c>
      <c r="B3" s="6" t="inlineStr">
        <is>
          <t>목표 수립 및 공시</t>
        </is>
      </c>
      <c r="C3" s="5" t="n">
        <v>1</v>
      </c>
      <c r="D3" s="6" t="inlineStr">
        <is>
          <t>1단계</t>
        </is>
      </c>
      <c r="E3" s="5" t="n">
        <v>0</v>
      </c>
      <c r="F3" s="7" t="inlineStr">
        <is>
          <t>단기/중장기 성과목표 또는 조직의 사회 분야 추진 방향성을 나타내는 사회분야 경영 미션/비전/지향점이 없는 경우</t>
        </is>
      </c>
    </row>
    <row r="4">
      <c r="A4" s="6" t="inlineStr">
        <is>
          <t>S-1-1</t>
        </is>
      </c>
      <c r="B4" s="6" t="inlineStr">
        <is>
          <t>목표 수립 및 공시</t>
        </is>
      </c>
      <c r="C4" s="5" t="n">
        <v>2</v>
      </c>
      <c r="D4" s="6" t="inlineStr">
        <is>
          <t>2단계</t>
        </is>
      </c>
      <c r="E4" s="5" t="n">
        <v>25</v>
      </c>
      <c r="F4" s="7" t="inlineStr">
        <is>
          <t>단기/중장기 성과목표는 수립되지 않았으나, 조직의 사회 분야 추진 방향성을 나타내는 사회분야 미션/비전/지향점을 제시하고 있는 경우</t>
        </is>
      </c>
    </row>
    <row r="5">
      <c r="A5" s="6" t="inlineStr">
        <is>
          <t>S-1-1</t>
        </is>
      </c>
      <c r="B5" s="6" t="inlineStr">
        <is>
          <t>목표 수립 및 공시</t>
        </is>
      </c>
      <c r="C5" s="5" t="n">
        <v>3</v>
      </c>
      <c r="D5" s="6" t="inlineStr">
        <is>
          <t>3단계</t>
        </is>
      </c>
      <c r="E5" s="5" t="n">
        <v>50</v>
      </c>
      <c r="F5" s="7" t="inlineStr">
        <is>
          <t>조직의 사회분야 핵심이슈에 대한 단기 목표를 설정하고 있는 경우</t>
        </is>
      </c>
    </row>
    <row r="6">
      <c r="A6" s="6" t="inlineStr">
        <is>
          <t>S-1-1</t>
        </is>
      </c>
      <c r="B6" s="6" t="inlineStr">
        <is>
          <t>목표 수립 및 공시</t>
        </is>
      </c>
      <c r="C6" s="5" t="n">
        <v>4</v>
      </c>
      <c r="D6" s="6" t="inlineStr">
        <is>
          <t>4단계</t>
        </is>
      </c>
      <c r="E6" s="5" t="n">
        <v>75</v>
      </c>
      <c r="F6" s="7" t="inlineStr">
        <is>
          <t>조직의 사회분야 핵심이슈에 대한 중장기 목표를 설정하고 있으나, 모든 중장기 목표가 정성적 형태로 되어 있는 경우</t>
        </is>
      </c>
    </row>
    <row r="7">
      <c r="A7" s="6" t="inlineStr">
        <is>
          <t>S-1-1</t>
        </is>
      </c>
      <c r="B7" s="6" t="inlineStr">
        <is>
          <t>목표 수립 및 공시</t>
        </is>
      </c>
      <c r="C7" s="5" t="n">
        <v>5</v>
      </c>
      <c r="D7" s="6" t="inlineStr">
        <is>
          <t>5단계</t>
        </is>
      </c>
      <c r="E7" s="5" t="n">
        <v>100</v>
      </c>
      <c r="F7" s="7" t="inlineStr">
        <is>
          <t>조직의 사회분야 핵심이슈에 대한 중장기 목표를 설정하고 있으며, 중장기 목표에는 정성 外 정량적 목표를 포함하고 있는 경우</t>
        </is>
      </c>
    </row>
    <row r="8">
      <c r="A8" s="6" t="inlineStr">
        <is>
          <t>S-2-2</t>
        </is>
      </c>
      <c r="B8" s="6" t="inlineStr">
        <is>
          <t>정규직 비율</t>
        </is>
      </c>
      <c r="C8" s="5" t="n">
        <v>1</v>
      </c>
      <c r="D8" s="6" t="inlineStr">
        <is>
          <t>1단계</t>
        </is>
      </c>
      <c r="E8" s="5" t="n">
        <v>0</v>
      </c>
      <c r="F8" s="7" t="inlineStr">
        <is>
          <t>최근 4개년 간 정규직 비율 데이터가 관리되지 않는 경우</t>
        </is>
      </c>
    </row>
    <row r="9">
      <c r="A9" s="6" t="inlineStr">
        <is>
          <t>S-2-2</t>
        </is>
      </c>
      <c r="B9" s="6" t="inlineStr">
        <is>
          <t>정규직 비율</t>
        </is>
      </c>
      <c r="C9" s="5" t="n">
        <v>2</v>
      </c>
      <c r="D9" s="6" t="inlineStr">
        <is>
          <t>2단계</t>
        </is>
      </c>
      <c r="E9" s="5" t="n">
        <v>25</v>
      </c>
      <c r="F9" s="7" t="inlineStr">
        <is>
          <t>조직의 정규직 비율이 40%인 이하인 경우</t>
        </is>
      </c>
    </row>
    <row r="10">
      <c r="A10" s="6" t="inlineStr">
        <is>
          <t>S-2-2</t>
        </is>
      </c>
      <c r="B10" s="6" t="inlineStr">
        <is>
          <t>정규직 비율</t>
        </is>
      </c>
      <c r="C10" s="5" t="n">
        <v>3</v>
      </c>
      <c r="D10" s="6" t="inlineStr">
        <is>
          <t>3단계</t>
        </is>
      </c>
      <c r="E10" s="5" t="n">
        <v>50</v>
      </c>
      <c r="F10" s="7" t="inlineStr">
        <is>
          <t>조직의 정규직 비율이 40% 초과 60% 이하인 경우</t>
        </is>
      </c>
    </row>
    <row r="11">
      <c r="A11" s="6" t="inlineStr">
        <is>
          <t>S-2-2</t>
        </is>
      </c>
      <c r="B11" s="6" t="inlineStr">
        <is>
          <t>정규직 비율</t>
        </is>
      </c>
      <c r="C11" s="5" t="n">
        <v>4</v>
      </c>
      <c r="D11" s="6" t="inlineStr">
        <is>
          <t>4단계</t>
        </is>
      </c>
      <c r="E11" s="5" t="n">
        <v>75</v>
      </c>
      <c r="F11" s="7" t="inlineStr">
        <is>
          <t>조직의 정규직 비율이 60% 초과 80% 이하인 경우</t>
        </is>
      </c>
    </row>
    <row r="12">
      <c r="A12" s="6" t="inlineStr">
        <is>
          <t>S-2-2</t>
        </is>
      </c>
      <c r="B12" s="6" t="inlineStr">
        <is>
          <t>정규직 비율</t>
        </is>
      </c>
      <c r="C12" s="5" t="n">
        <v>5</v>
      </c>
      <c r="D12" s="6" t="inlineStr">
        <is>
          <t>5단계</t>
        </is>
      </c>
      <c r="E12" s="5" t="n">
        <v>100</v>
      </c>
      <c r="F12" s="7" t="inlineStr">
        <is>
          <t>조직의 정규직 비율이 80%를 초과하는 경우 * 3개년 이하 데이터 보유 시 해당 데이터로 추세 산정</t>
        </is>
      </c>
    </row>
    <row r="13">
      <c r="A13" s="6" t="inlineStr">
        <is>
          <t>S-2-3</t>
        </is>
      </c>
      <c r="B13" s="6" t="inlineStr">
        <is>
          <t>자발적 이직률</t>
        </is>
      </c>
      <c r="C13" s="5" t="n">
        <v>1</v>
      </c>
      <c r="D13" s="6" t="inlineStr">
        <is>
          <t>1단계</t>
        </is>
      </c>
      <c r="E13" s="5" t="n">
        <v>0</v>
      </c>
      <c r="F13" s="7" t="inlineStr">
        <is>
          <t>지난 4개년 자발적 이직률이 증가 추세</t>
        </is>
      </c>
    </row>
    <row r="14">
      <c r="A14" s="6" t="inlineStr">
        <is>
          <t>S-2-3</t>
        </is>
      </c>
      <c r="B14" s="6" t="inlineStr">
        <is>
          <t>자발적 이직률</t>
        </is>
      </c>
      <c r="C14" s="5" t="n">
        <v>2</v>
      </c>
      <c r="D14" s="6" t="inlineStr">
        <is>
          <t>2단계</t>
        </is>
      </c>
      <c r="E14" s="5" t="n">
        <v>50</v>
      </c>
      <c r="F14" s="7" t="inlineStr">
        <is>
          <t>지난 4개년 자발적 이직률이 변동 없음</t>
        </is>
      </c>
    </row>
    <row r="15">
      <c r="A15" s="6" t="inlineStr">
        <is>
          <t>S-2-3</t>
        </is>
      </c>
      <c r="B15" s="6" t="inlineStr">
        <is>
          <t>자발적 이직률</t>
        </is>
      </c>
      <c r="C15" s="5" t="n">
        <v>3</v>
      </c>
      <c r="D15" s="6" t="inlineStr">
        <is>
          <t>3단계</t>
        </is>
      </c>
      <c r="E15" s="5" t="n">
        <v>100</v>
      </c>
      <c r="F15" s="7" t="inlineStr">
        <is>
          <t>지난 4개년 자발적 이직률이 감소 추세 * 자발적 이직률 데이터를 관리하지 않고 있는 경우 0점 적용 * ‘유지 추세’로 판단할 경우 2단계로 적용하여 평가 * 3개년 이하 데이터 보유 시 해당 데이터로 추세 산정</t>
        </is>
      </c>
    </row>
    <row r="16">
      <c r="A16" s="6" t="inlineStr">
        <is>
          <t>S-2-4</t>
        </is>
      </c>
      <c r="B16" s="6" t="inlineStr">
        <is>
          <t>교육훈련비</t>
        </is>
      </c>
      <c r="C16" s="5" t="n">
        <v>1</v>
      </c>
      <c r="D16" s="6" t="inlineStr">
        <is>
          <t>1단계</t>
        </is>
      </c>
      <c r="E16" s="5" t="n">
        <v>0</v>
      </c>
      <c r="F16" s="7" t="inlineStr">
        <is>
          <t>지난 4개년 1인당 교육훈련비 감소 추세</t>
        </is>
      </c>
    </row>
    <row r="17">
      <c r="A17" s="6" t="inlineStr">
        <is>
          <t>S-2-4</t>
        </is>
      </c>
      <c r="B17" s="6" t="inlineStr">
        <is>
          <t>교육훈련비</t>
        </is>
      </c>
      <c r="C17" s="5" t="n">
        <v>2</v>
      </c>
      <c r="D17" s="6" t="inlineStr">
        <is>
          <t>2단계</t>
        </is>
      </c>
      <c r="E17" s="5" t="n">
        <v>50</v>
      </c>
      <c r="F17" s="7" t="inlineStr">
        <is>
          <t>지난 4개년 1인당 교육훈련비 변동 없음</t>
        </is>
      </c>
    </row>
    <row r="18">
      <c r="A18" s="6" t="inlineStr">
        <is>
          <t>S-2-4</t>
        </is>
      </c>
      <c r="B18" s="6" t="inlineStr">
        <is>
          <t>교육훈련비</t>
        </is>
      </c>
      <c r="C18" s="5" t="n">
        <v>3</v>
      </c>
      <c r="D18" s="6" t="inlineStr">
        <is>
          <t>3단계</t>
        </is>
      </c>
      <c r="E18" s="5" t="n">
        <v>100</v>
      </c>
      <c r="F18" s="7" t="inlineStr">
        <is>
          <t>지난 4개년 1인당 교육훈련비 증가 추세 * 최근 4개년 간 교육훈련비가 없거나, 1인당 교육훈련비 데이터가 관리되지 않는 경우 0점 적용 * ‘유지 추세’로 판단할 경우 2단계로 적용하여 평가 * 3개년 이하 데이터 보유 시 해당 데이터로 추세 산정</t>
        </is>
      </c>
    </row>
    <row r="19">
      <c r="A19" s="6" t="inlineStr">
        <is>
          <t>S-2-5</t>
        </is>
      </c>
      <c r="B19" s="6" t="inlineStr">
        <is>
          <t>복리후생비</t>
        </is>
      </c>
      <c r="C19" s="5" t="n">
        <v>1</v>
      </c>
      <c r="D19" s="6" t="inlineStr">
        <is>
          <t>1단계</t>
        </is>
      </c>
      <c r="E19" s="5" t="n">
        <v>0</v>
      </c>
      <c r="F19" s="7" t="inlineStr">
        <is>
          <t>지난 4개년 1인당 복리후생비 감소 추세</t>
        </is>
      </c>
    </row>
    <row r="20">
      <c r="A20" s="6" t="inlineStr">
        <is>
          <t>S-2-5</t>
        </is>
      </c>
      <c r="B20" s="6" t="inlineStr">
        <is>
          <t>복리후생비</t>
        </is>
      </c>
      <c r="C20" s="5" t="n">
        <v>2</v>
      </c>
      <c r="D20" s="6" t="inlineStr">
        <is>
          <t>2단계</t>
        </is>
      </c>
      <c r="E20" s="5" t="n">
        <v>50</v>
      </c>
      <c r="F20" s="7" t="inlineStr">
        <is>
          <t>지난 4개년 1인당 복리후생비 변동 없음</t>
        </is>
      </c>
    </row>
    <row r="21">
      <c r="A21" s="6" t="inlineStr">
        <is>
          <t>S-2-5</t>
        </is>
      </c>
      <c r="B21" s="6" t="inlineStr">
        <is>
          <t>복리후생비</t>
        </is>
      </c>
      <c r="C21" s="5" t="n">
        <v>3</v>
      </c>
      <c r="D21" s="6" t="inlineStr">
        <is>
          <t>3단계</t>
        </is>
      </c>
      <c r="E21" s="5" t="n">
        <v>100</v>
      </c>
      <c r="F21" s="7" t="inlineStr">
        <is>
          <t>지난 4개년 1인당 복리후생비 증가 추세 * 최근 4개년 간 1인당 복리후생비 정보 없는 경우 0점 적용 * ‘유지 추세’로 판단할 경우 2단계로 적용하여 평가 * 3개년 이하 데이터 보유 시 해당 데이터로 추세 산정</t>
        </is>
      </c>
    </row>
    <row r="22">
      <c r="A22" s="6" t="inlineStr">
        <is>
          <t>S-2-6</t>
        </is>
      </c>
      <c r="B22" s="6" t="inlineStr">
        <is>
          <t>결사의 자유 보장</t>
        </is>
      </c>
      <c r="C22" s="5" t="n">
        <v>1</v>
      </c>
      <c r="D22" s="6" t="inlineStr">
        <is>
          <t>1단계</t>
        </is>
      </c>
      <c r="E22" s="5" t="n">
        <v>0</v>
      </c>
      <c r="F22" s="7" t="inlineStr">
        <is>
          <t>노동조합 가입‧설립, 노사협의회 설치 관련 정보가 모두 없음 (노조 가입‧신설 관련 부당노동행위로 노동위 판정 또는 법원 판결이 유죄로 확정된 경우)</t>
        </is>
      </c>
    </row>
    <row r="23">
      <c r="A23" s="6" t="inlineStr">
        <is>
          <t>S-2-6</t>
        </is>
      </c>
      <c r="B23" s="6" t="inlineStr">
        <is>
          <t>결사의 자유 보장</t>
        </is>
      </c>
      <c r="C23" s="5" t="n">
        <v>2</v>
      </c>
      <c r="D23" s="6" t="inlineStr">
        <is>
          <t>2단계</t>
        </is>
      </c>
      <c r="E23" s="5" t="n">
        <v>25</v>
      </c>
      <c r="F23" s="7" t="inlineStr">
        <is>
          <t>노동조합 가입‧설립 또는 상시근로자 30인 이상인 경우 노사협의회 설치(위원 선임, 협의회규정 제정 등)</t>
        </is>
      </c>
    </row>
    <row r="24">
      <c r="A24" s="6" t="inlineStr">
        <is>
          <t>S-2-6</t>
        </is>
      </c>
      <c r="B24" s="6" t="inlineStr">
        <is>
          <t>결사의 자유 보장</t>
        </is>
      </c>
      <c r="C24" s="5" t="n">
        <v>3</v>
      </c>
      <c r="D24" s="6" t="inlineStr">
        <is>
          <t>3단계</t>
        </is>
      </c>
      <c r="E24" s="5" t="n">
        <v>50</v>
      </c>
      <c r="F24" s="7" t="inlineStr">
        <is>
          <t>2단계 + 과거 또는 현재 적법한 교섭당사자로서의 노동조합과 단체교섭 진행 + 3개월마다 노사협의회 정기회의 개최 (회의록 작성·비치)</t>
        </is>
      </c>
    </row>
    <row r="25">
      <c r="A25" s="6" t="inlineStr">
        <is>
          <t>S-2-6</t>
        </is>
      </c>
      <c r="B25" s="6" t="inlineStr">
        <is>
          <t>결사의 자유 보장</t>
        </is>
      </c>
      <c r="C25" s="5" t="n">
        <v>4</v>
      </c>
      <c r="D25" s="6" t="inlineStr">
        <is>
          <t>4단계</t>
        </is>
      </c>
      <c r="E25" s="5" t="n">
        <v>75</v>
      </c>
      <c r="F25" s="7" t="inlineStr">
        <is>
          <t>3단계 + 노동조합과 단체협약(임금협약 포함) 체결 + 노사협의회 정기회의 외 추가 임시회의(노사 실무협의 포함) 개최</t>
        </is>
      </c>
    </row>
    <row r="26">
      <c r="A26" s="6" t="inlineStr">
        <is>
          <t>S-2-6</t>
        </is>
      </c>
      <c r="B26" s="6" t="inlineStr">
        <is>
          <t>결사의 자유 보장</t>
        </is>
      </c>
      <c r="C26" s="5" t="n">
        <v>5</v>
      </c>
      <c r="D26" s="6" t="inlineStr">
        <is>
          <t>5단계</t>
        </is>
      </c>
      <c r="E26" s="5" t="n">
        <v>100</v>
      </c>
      <c r="F26" s="7" t="inlineStr">
        <is>
          <t>4단계 + 체결된 단체협약의 성실한 이행(단체협약 위반 시 불이행으로 간주) + 노사협의회 의결(합의) 여부</t>
        </is>
      </c>
    </row>
    <row r="27">
      <c r="A27" s="6" t="inlineStr">
        <is>
          <t>S-3-1</t>
        </is>
      </c>
      <c r="B27" s="6" t="inlineStr">
        <is>
          <t>여성 구성원 비율</t>
        </is>
      </c>
      <c r="C27" s="5" t="n">
        <v>1</v>
      </c>
      <c r="D27" s="6" t="inlineStr">
        <is>
          <t>1단계</t>
        </is>
      </c>
      <c r="E27" s="5" t="n">
        <v>0</v>
      </c>
      <c r="F27" s="7" t="inlineStr">
        <is>
          <t>조직의 전체 구성원 중 여성이 차지하는 비율과, 미등기임원 중 여성이 차지하는 비율의 차이가 80%를 초과하는 경우</t>
        </is>
      </c>
    </row>
    <row r="28">
      <c r="A28" s="6" t="inlineStr">
        <is>
          <t>S-3-1</t>
        </is>
      </c>
      <c r="B28" s="6" t="inlineStr">
        <is>
          <t>여성 구성원 비율</t>
        </is>
      </c>
      <c r="C28" s="5" t="n">
        <v>2</v>
      </c>
      <c r="D28" s="6" t="inlineStr">
        <is>
          <t>2단계</t>
        </is>
      </c>
      <c r="E28" s="5" t="n">
        <v>25</v>
      </c>
      <c r="F28" s="7" t="inlineStr">
        <is>
          <t>조직의 전체 구성원 중 여성이 차지하는 비율과, 미등기임원 중 여성이 차지하는 비율의 차이가 60% 초과 ~ 80% 이하인 경우</t>
        </is>
      </c>
    </row>
    <row r="29">
      <c r="A29" s="6" t="inlineStr">
        <is>
          <t>S-3-1</t>
        </is>
      </c>
      <c r="B29" s="6" t="inlineStr">
        <is>
          <t>여성 구성원 비율</t>
        </is>
      </c>
      <c r="C29" s="5" t="n">
        <v>3</v>
      </c>
      <c r="D29" s="6" t="inlineStr">
        <is>
          <t>3단계</t>
        </is>
      </c>
      <c r="E29" s="5" t="n">
        <v>50</v>
      </c>
      <c r="F29" s="7" t="inlineStr">
        <is>
          <t>조직의 전체 구성원 중 여성이 차지하는 비율과, 미등기임원 중 여성이 차지하는 비율의 차이가 40% 초과 ~ 60% 이하인 경우</t>
        </is>
      </c>
    </row>
    <row r="30">
      <c r="A30" s="6" t="inlineStr">
        <is>
          <t>S-3-1</t>
        </is>
      </c>
      <c r="B30" s="6" t="inlineStr">
        <is>
          <t>여성 구성원 비율</t>
        </is>
      </c>
      <c r="C30" s="5" t="n">
        <v>4</v>
      </c>
      <c r="D30" s="6" t="inlineStr">
        <is>
          <t>4단계</t>
        </is>
      </c>
      <c r="E30" s="5" t="n">
        <v>75</v>
      </c>
      <c r="F30" s="7" t="inlineStr">
        <is>
          <t>조직의 전체 구성원 중 여성이 차지하는 비율과, 미등기임원 중 여성이 차지하는 비율의 차이가 20% 초과 ~ 40% 이하인 경우</t>
        </is>
      </c>
    </row>
    <row r="31">
      <c r="A31" s="6" t="inlineStr">
        <is>
          <t>S-3-1</t>
        </is>
      </c>
      <c r="B31" s="6" t="inlineStr">
        <is>
          <t>여성 구성원 비율</t>
        </is>
      </c>
      <c r="C31" s="5" t="n">
        <v>5</v>
      </c>
      <c r="D31" s="6" t="inlineStr">
        <is>
          <t>5단계</t>
        </is>
      </c>
      <c r="E31" s="5" t="n">
        <v>100</v>
      </c>
      <c r="F31" s="7" t="inlineStr">
        <is>
          <t>조직의 전체 구성원 중 여성이 차지하는 비율과, 미등기임원 중 여성이 차지하는 비율의 차이가 20% 이하인 경우 * 단, 결과값이 ‘-’ 일 경우, 본 지표에서 고려한 조직형태와 다른 경우이므로 적용하지 않음</t>
        </is>
      </c>
    </row>
    <row r="32">
      <c r="A32" s="6" t="inlineStr">
        <is>
          <t>S-3-2</t>
        </is>
      </c>
      <c r="B32" s="6" t="inlineStr">
        <is>
          <t>여성 급여 비율 (평균 급여액 대비)</t>
        </is>
      </c>
      <c r="C32" s="5" t="n">
        <v>1</v>
      </c>
      <c r="D32" s="6" t="inlineStr">
        <is>
          <t>1단계</t>
        </is>
      </c>
      <c r="E32" s="5" t="n">
        <v>0</v>
      </c>
      <c r="F32" s="7" t="inlineStr">
        <is>
          <t>조직의 1인 평균 급여액 대비 ‘여성(또는 남성) 1인 평균 급여액’ 비율이 60% 이하인 경우</t>
        </is>
      </c>
    </row>
    <row r="33">
      <c r="A33" s="6" t="inlineStr">
        <is>
          <t>S-3-2</t>
        </is>
      </c>
      <c r="B33" s="6" t="inlineStr">
        <is>
          <t>여성 급여 비율 (평균 급여액 대비)</t>
        </is>
      </c>
      <c r="C33" s="5" t="n">
        <v>2</v>
      </c>
      <c r="D33" s="6" t="inlineStr">
        <is>
          <t>2단계</t>
        </is>
      </c>
      <c r="E33" s="5" t="n">
        <v>25</v>
      </c>
      <c r="F33" s="7" t="inlineStr">
        <is>
          <t>조직의 1인 평균 급여액 대비 ‘여성(또는 남성) 1인 평균 급여액’ 비율이 60% 초과 ~ 70% 이하인 경우</t>
        </is>
      </c>
    </row>
    <row r="34">
      <c r="A34" s="6" t="inlineStr">
        <is>
          <t>S-3-2</t>
        </is>
      </c>
      <c r="B34" s="6" t="inlineStr">
        <is>
          <t>여성 급여 비율 (평균 급여액 대비)</t>
        </is>
      </c>
      <c r="C34" s="5" t="n">
        <v>3</v>
      </c>
      <c r="D34" s="6" t="inlineStr">
        <is>
          <t>3단계</t>
        </is>
      </c>
      <c r="E34" s="5" t="n">
        <v>50</v>
      </c>
      <c r="F34" s="7" t="inlineStr">
        <is>
          <t>조직의 1인 평균 급여액 대비 ‘여성(또는 남성) 1인 평균 급여액’ 비율이 70% 초과 ~ 80% 이하인 경우</t>
        </is>
      </c>
    </row>
    <row r="35">
      <c r="A35" s="6" t="inlineStr">
        <is>
          <t>S-3-2</t>
        </is>
      </c>
      <c r="B35" s="6" t="inlineStr">
        <is>
          <t>여성 급여 비율 (평균 급여액 대비)</t>
        </is>
      </c>
      <c r="C35" s="5" t="n">
        <v>4</v>
      </c>
      <c r="D35" s="6" t="inlineStr">
        <is>
          <t>4단계</t>
        </is>
      </c>
      <c r="E35" s="5" t="n">
        <v>75</v>
      </c>
      <c r="F35" s="7" t="inlineStr">
        <is>
          <t>조직의 1인 평균 급여액 대비 ‘여성(또는 남성) 1인 평균 급여액’ 비율이 80% 초과 ~ 90% 이하인 경우</t>
        </is>
      </c>
    </row>
    <row r="36">
      <c r="A36" s="6" t="inlineStr">
        <is>
          <t>S-3-2</t>
        </is>
      </c>
      <c r="B36" s="6" t="inlineStr">
        <is>
          <t>여성 급여 비율 (평균 급여액 대비)</t>
        </is>
      </c>
      <c r="C36" s="5" t="n">
        <v>5</v>
      </c>
      <c r="D36" s="6" t="inlineStr">
        <is>
          <t>5단계</t>
        </is>
      </c>
      <c r="E36" s="5" t="n">
        <v>100</v>
      </c>
      <c r="F36" s="7" t="inlineStr">
        <is>
          <t>조직의 1인 평균 급여액 대비 ‘여성(또는 남성) 1인 평균 급여액’ 비율이 90%를 초과하는 경우</t>
        </is>
      </c>
    </row>
    <row r="37">
      <c r="A37" s="6" t="inlineStr">
        <is>
          <t>S-3-3</t>
        </is>
      </c>
      <c r="B37" s="6" t="inlineStr">
        <is>
          <t>장애인 고용률</t>
        </is>
      </c>
      <c r="C37" s="5" t="n">
        <v>1</v>
      </c>
      <c r="D37" s="6" t="inlineStr">
        <is>
          <t>1단계</t>
        </is>
      </c>
      <c r="E37" s="5" t="n">
        <v>0</v>
      </c>
      <c r="F37" s="7" t="inlineStr">
        <is>
          <t>직전 1개년도 장애인 의무고용률의 60% 미만일 경우</t>
        </is>
      </c>
    </row>
    <row r="38">
      <c r="A38" s="6" t="inlineStr">
        <is>
          <t>S-3-3</t>
        </is>
      </c>
      <c r="B38" s="6" t="inlineStr">
        <is>
          <t>장애인 고용률</t>
        </is>
      </c>
      <c r="C38" s="5" t="n">
        <v>2</v>
      </c>
      <c r="D38" s="6" t="inlineStr">
        <is>
          <t>2단계</t>
        </is>
      </c>
      <c r="E38" s="5" t="n">
        <v>25</v>
      </c>
      <c r="F38" s="7" t="inlineStr">
        <is>
          <t>직전 1개년도 장애인 고용률이 법적 의무고용률의 60% 이상 80% 미만 수준인 경우</t>
        </is>
      </c>
    </row>
    <row r="39">
      <c r="A39" s="6" t="inlineStr">
        <is>
          <t>S-3-3</t>
        </is>
      </c>
      <c r="B39" s="6" t="inlineStr">
        <is>
          <t>장애인 고용률</t>
        </is>
      </c>
      <c r="C39" s="5" t="n">
        <v>3</v>
      </c>
      <c r="D39" s="6" t="inlineStr">
        <is>
          <t>3단계</t>
        </is>
      </c>
      <c r="E39" s="5" t="n">
        <v>50</v>
      </c>
      <c r="F39" s="7" t="inlineStr">
        <is>
          <t>직전 1개년도 장애인 고용률이 법적 의무고용률의 80% 이상 100% 미만 수준인 경우</t>
        </is>
      </c>
    </row>
    <row r="40">
      <c r="A40" s="6" t="inlineStr">
        <is>
          <t>S-3-3</t>
        </is>
      </c>
      <c r="B40" s="6" t="inlineStr">
        <is>
          <t>장애인 고용률</t>
        </is>
      </c>
      <c r="C40" s="5" t="n">
        <v>4</v>
      </c>
      <c r="D40" s="6" t="inlineStr">
        <is>
          <t>4단계</t>
        </is>
      </c>
      <c r="E40" s="5" t="n">
        <v>75</v>
      </c>
      <c r="F40" s="7" t="inlineStr">
        <is>
          <t>직전 1개년도 장애인 고용률이 법적 의무고용률의 100% 이상 120% 미만 수준인 경우</t>
        </is>
      </c>
    </row>
    <row r="41">
      <c r="A41" s="6" t="inlineStr">
        <is>
          <t>S-3-3</t>
        </is>
      </c>
      <c r="B41" s="6" t="inlineStr">
        <is>
          <t>장애인 고용률</t>
        </is>
      </c>
      <c r="C41" s="5" t="n">
        <v>5</v>
      </c>
      <c r="D41" s="6" t="inlineStr">
        <is>
          <t>5단계</t>
        </is>
      </c>
      <c r="E41" s="5" t="n">
        <v>100</v>
      </c>
      <c r="F41" s="7" t="inlineStr">
        <is>
          <t>직전 1개년도 장애인 고용률이 법적 의무고용률의 120% 이상 수준인 경우 ※ 장애인 미고용 부담금 납부 시에도 실제 고용한 인원을 기준으로 산정 ※ 중증장애인 중 월 임금지급기초일수 16일 이상, 소정근로시간 60시간 이상인 근로자는 2명으로 계산</t>
        </is>
      </c>
    </row>
    <row r="42">
      <c r="A42" s="6" t="inlineStr">
        <is>
          <t>S-4-1</t>
        </is>
      </c>
      <c r="B42" s="6" t="inlineStr">
        <is>
          <t>안전보건 추진체계</t>
        </is>
      </c>
      <c r="C42" s="5" t="n">
        <v>1</v>
      </c>
      <c r="D42" s="6" t="inlineStr">
        <is>
          <t>요건1</t>
        </is>
      </c>
      <c r="E42" s="5" t="n">
        <v>0</v>
      </c>
      <c r="F42" s="7" t="inlineStr">
        <is>
          <t>경영자가 확고한 리더십으로 비전을 제시하고 필요한 자원을 배정하는 경우 (안전경영방침 공표, 인력·시설·장비 등 배정, 구성원에게 책임과 권한 부여)</t>
        </is>
      </c>
    </row>
    <row r="43">
      <c r="A43" s="6" t="inlineStr">
        <is>
          <t>S-4-1</t>
        </is>
      </c>
      <c r="B43" s="6" t="inlineStr">
        <is>
          <t>안전보건 추진체계</t>
        </is>
      </c>
      <c r="C43" s="5" t="n">
        <v>2</v>
      </c>
      <c r="D43" s="6" t="inlineStr">
        <is>
          <t>요건2</t>
        </is>
      </c>
      <c r="E43" s="5" t="n">
        <v>25</v>
      </c>
      <c r="F43" s="7" t="inlineStr">
        <is>
          <t>안전보건관리체계 구축을 위해 근로자의 참여 및 협의를 보장하는 경우 (안전보건 정보공개, 구성원 참여절차 마련, 의견제시 문화 조성 등)</t>
        </is>
      </c>
    </row>
    <row r="44">
      <c r="A44" s="6" t="inlineStr">
        <is>
          <t>S-4-1</t>
        </is>
      </c>
      <c r="B44" s="6" t="inlineStr">
        <is>
          <t>안전보건 추진체계</t>
        </is>
      </c>
      <c r="C44" s="5" t="n">
        <v>3</v>
      </c>
      <c r="D44" s="6" t="inlineStr">
        <is>
          <t>요건3</t>
        </is>
      </c>
      <c r="E44" s="5" t="n">
        <v>50</v>
      </c>
      <c r="F44" s="7" t="inlineStr">
        <is>
          <t>조직의 위험요인 파악과 이에 대한 제거·대체·통제 조치를 하는 경우 (유해위험요인 파악, 위험성 평가, 위험요인 제거·대체·통제 방안 마련, 교육훈련 실시)</t>
        </is>
      </c>
    </row>
    <row r="45">
      <c r="A45" s="6" t="inlineStr">
        <is>
          <t>S-4-1</t>
        </is>
      </c>
      <c r="B45" s="6" t="inlineStr">
        <is>
          <t>안전보건 추진체계</t>
        </is>
      </c>
      <c r="C45" s="5" t="n">
        <v>4</v>
      </c>
      <c r="D45" s="6" t="inlineStr">
        <is>
          <t>요건4</t>
        </is>
      </c>
      <c r="E45" s="5" t="n">
        <v>75</v>
      </c>
      <c r="F45" s="7" t="inlineStr">
        <is>
          <t>중대한 위험요인에 대처할 수 있는 비상 조치계획을 수립한 경우 (위험요인별 시나리오 및 조치계획 수립, 주기적 훈련, 사업장 내 도급 근로자 등 모든 구성원에 대한 보호 여부)</t>
        </is>
      </c>
    </row>
    <row r="46">
      <c r="A46" s="6" t="inlineStr">
        <is>
          <t>S-4-1</t>
        </is>
      </c>
      <c r="B46" s="6" t="inlineStr">
        <is>
          <t>안전보건 추진체계</t>
        </is>
      </c>
      <c r="C46" s="5" t="n">
        <v>5</v>
      </c>
      <c r="D46" s="6" t="inlineStr">
        <is>
          <t>요건5</t>
        </is>
      </c>
      <c r="E46" s="5" t="n">
        <v>100</v>
      </c>
      <c r="F46" s="7" t="inlineStr">
        <is>
          <t>안전보건 과제 및 목표의 이행현황을 평가하고 개선하는 경우 (목표 설정, 계획대비 달성 여부 평가, 문제점에 대한 주기적 검토와 개선)</t>
        </is>
      </c>
    </row>
    <row r="47">
      <c r="A47" s="6" t="inlineStr">
        <is>
          <t>S-4-2</t>
        </is>
      </c>
      <c r="B47" s="6" t="inlineStr">
        <is>
          <t>산업재해율</t>
        </is>
      </c>
      <c r="C47" s="5" t="n">
        <v>1</v>
      </c>
      <c r="D47" s="6" t="inlineStr">
        <is>
          <t>1단계</t>
        </is>
      </c>
      <c r="E47" s="5" t="n">
        <v>0</v>
      </c>
      <c r="F47" s="7" t="inlineStr">
        <is>
          <t>지난 4개년 산업재해율 증가 추세</t>
        </is>
      </c>
    </row>
    <row r="48">
      <c r="A48" s="6" t="inlineStr">
        <is>
          <t>S-4-2</t>
        </is>
      </c>
      <c r="B48" s="6" t="inlineStr">
        <is>
          <t>산업재해율</t>
        </is>
      </c>
      <c r="C48" s="5" t="n">
        <v>2</v>
      </c>
      <c r="D48" s="6" t="inlineStr">
        <is>
          <t>2단계</t>
        </is>
      </c>
      <c r="E48" s="5" t="n">
        <v>50</v>
      </c>
      <c r="F48" s="7" t="inlineStr">
        <is>
          <t>지난 4개년 산업재해율 변동 없음</t>
        </is>
      </c>
    </row>
    <row r="49">
      <c r="A49" s="6" t="inlineStr">
        <is>
          <t>S-4-2</t>
        </is>
      </c>
      <c r="B49" s="6" t="inlineStr">
        <is>
          <t>산업재해율</t>
        </is>
      </c>
      <c r="C49" s="5" t="n">
        <v>3</v>
      </c>
      <c r="D49" s="6" t="inlineStr">
        <is>
          <t>3단계</t>
        </is>
      </c>
      <c r="E49" s="5" t="n">
        <v>100</v>
      </c>
      <c r="F49" s="7" t="inlineStr">
        <is>
          <t>지난 4개년 산업재해율 감소 추세 * 최근 4개년 간 산업재해율 정보를 관리하지 않는 경우 0점 적용 * 무재해의 경우에는 100점 적용 * '유지 추세'로 판단할 경우 2단계로 적용하여 평가 * 3개년 이하 데이터 보유 시 해당 데이터로 추세 산정</t>
        </is>
      </c>
    </row>
    <row r="50">
      <c r="A50" s="6" t="inlineStr">
        <is>
          <t>S-5-1</t>
        </is>
      </c>
      <c r="B50" s="6" t="inlineStr">
        <is>
          <t>인권정책 수립</t>
        </is>
      </c>
      <c r="C50" s="5" t="n">
        <v>1</v>
      </c>
      <c r="D50" s="6" t="inlineStr">
        <is>
          <t>1단계</t>
        </is>
      </c>
      <c r="E50" s="5" t="n">
        <v>0</v>
      </c>
      <c r="F50" s="7" t="inlineStr">
        <is>
          <t>조직의 대외공식적 인권정책이 수립되지 않은 경우. 또는, 인권정책이 있으나, 상기의 이슈 중 1~2개에 대한 조직의 정책적 접근 방향이 설명되어 있는 경우</t>
        </is>
      </c>
    </row>
    <row r="51">
      <c r="A51" s="6" t="inlineStr">
        <is>
          <t>S-5-1</t>
        </is>
      </c>
      <c r="B51" s="6" t="inlineStr">
        <is>
          <t>인권정책 수립</t>
        </is>
      </c>
      <c r="C51" s="5" t="n">
        <v>2</v>
      </c>
      <c r="D51" s="6" t="inlineStr">
        <is>
          <t>2단계</t>
        </is>
      </c>
      <c r="E51" s="5" t="n">
        <v>25</v>
      </c>
      <c r="F51" s="7" t="inlineStr">
        <is>
          <t>상기의 이슈 중 3~4개에 대한 조직의 정책적 접근방향이 설명되어 있는 경우</t>
        </is>
      </c>
    </row>
    <row r="52">
      <c r="A52" s="6" t="inlineStr">
        <is>
          <t>S-5-1</t>
        </is>
      </c>
      <c r="B52" s="6" t="inlineStr">
        <is>
          <t>인권정책 수립</t>
        </is>
      </c>
      <c r="C52" s="5" t="n">
        <v>3</v>
      </c>
      <c r="D52" s="6" t="inlineStr">
        <is>
          <t>3단계</t>
        </is>
      </c>
      <c r="E52" s="5" t="n">
        <v>50</v>
      </c>
      <c r="F52" s="7" t="inlineStr">
        <is>
          <t>상기의 이슈 중 5~6개에 대한 조직의 정책적 접근방향이 설명되어 있는 경우</t>
        </is>
      </c>
    </row>
    <row r="53">
      <c r="A53" s="6" t="inlineStr">
        <is>
          <t>S-5-1</t>
        </is>
      </c>
      <c r="B53" s="6" t="inlineStr">
        <is>
          <t>인권정책 수립</t>
        </is>
      </c>
      <c r="C53" s="5" t="n">
        <v>4</v>
      </c>
      <c r="D53" s="6" t="inlineStr">
        <is>
          <t>4단계</t>
        </is>
      </c>
      <c r="E53" s="5" t="n">
        <v>75</v>
      </c>
      <c r="F53" s="7" t="inlineStr">
        <is>
          <t>상기의 이슈 중 7~8개에 대한 조직의 정책적 접근방향이 설명되어 있는 경우</t>
        </is>
      </c>
    </row>
    <row r="54">
      <c r="A54" s="6" t="inlineStr">
        <is>
          <t>S-5-1</t>
        </is>
      </c>
      <c r="B54" s="6" t="inlineStr">
        <is>
          <t>인권정책 수립</t>
        </is>
      </c>
      <c r="C54" s="5" t="n">
        <v>5</v>
      </c>
      <c r="D54" s="6" t="inlineStr">
        <is>
          <t>5단계</t>
        </is>
      </c>
      <c r="E54" s="5" t="n">
        <v>100</v>
      </c>
      <c r="F54" s="7" t="inlineStr">
        <is>
          <t>상기의 이슈 중 9개 이상에 대한 조직의 정책적 접근방향이 설명되어 있는 경우</t>
        </is>
      </c>
    </row>
    <row r="55">
      <c r="A55" s="6" t="inlineStr">
        <is>
          <t>S-5-2</t>
        </is>
      </c>
      <c r="B55" s="6" t="inlineStr">
        <is>
          <t>인권 리스크 평가</t>
        </is>
      </c>
      <c r="C55" s="5" t="n">
        <v>1</v>
      </c>
      <c r="D55" s="6" t="inlineStr">
        <is>
          <t>1단계</t>
        </is>
      </c>
      <c r="E55" s="5" t="n">
        <v>0</v>
      </c>
      <c r="F55" s="7" t="inlineStr">
        <is>
          <t>인권 리스크 평가 지표, 평가 기준, 평가 일정 등의 체계가 구축되지 않은 경우</t>
        </is>
      </c>
    </row>
    <row r="56">
      <c r="A56" s="6" t="inlineStr">
        <is>
          <t>S-5-2</t>
        </is>
      </c>
      <c r="B56" s="6" t="inlineStr">
        <is>
          <t>인권 리스크 평가</t>
        </is>
      </c>
      <c r="C56" s="5" t="n">
        <v>2</v>
      </c>
      <c r="D56" s="6" t="inlineStr">
        <is>
          <t>2단계</t>
        </is>
      </c>
      <c r="E56" s="5" t="n">
        <v>25</v>
      </c>
      <c r="F56" s="7" t="inlineStr">
        <is>
          <t>인권 리스크 평가 지표, 평가 기준, 평가 일정 등의 체계가 구축되어 있는 경우 단, 해당 인권 리스크 평가 체계를 운용하지 않은 경우</t>
        </is>
      </c>
    </row>
    <row r="57">
      <c r="A57" s="6" t="inlineStr">
        <is>
          <t>S-5-2</t>
        </is>
      </c>
      <c r="B57" s="6" t="inlineStr">
        <is>
          <t>인권 리스크 평가</t>
        </is>
      </c>
      <c r="C57" s="5" t="n">
        <v>3</v>
      </c>
      <c r="D57" s="6" t="inlineStr">
        <is>
          <t>3단계</t>
        </is>
      </c>
      <c r="E57" s="5" t="n">
        <v>50</v>
      </c>
      <c r="F57" s="7" t="inlineStr">
        <is>
          <t>인권 리스크 평가 체계를 구축하고 있으나, 온라인/서면 등 비대면 방식으로 인권 리스크 진단 행위만 실시한 경우</t>
        </is>
      </c>
    </row>
    <row r="58">
      <c r="A58" s="6" t="inlineStr">
        <is>
          <t>S-5-2</t>
        </is>
      </c>
      <c r="B58" s="6" t="inlineStr">
        <is>
          <t>인권 리스크 평가</t>
        </is>
      </c>
      <c r="C58" s="5" t="n">
        <v>4</v>
      </c>
      <c r="D58" s="6" t="inlineStr">
        <is>
          <t>4단계</t>
        </is>
      </c>
      <c r="E58" s="5" t="n">
        <v>75</v>
      </c>
      <c r="F58" s="7" t="inlineStr">
        <is>
          <t>인권 리스크 평가 체계를 구축하고 있으며, 온라인/서면 등 비대면 방식의 진단과 함께, 고위험 인권 리스크에 대해서는 현장실사까지 실시한 경우</t>
        </is>
      </c>
    </row>
    <row r="59">
      <c r="A59" s="6" t="inlineStr">
        <is>
          <t>S-5-2</t>
        </is>
      </c>
      <c r="B59" s="6" t="inlineStr">
        <is>
          <t>인권 리스크 평가</t>
        </is>
      </c>
      <c r="C59" s="5" t="n">
        <v>5</v>
      </c>
      <c r="D59" s="6" t="inlineStr">
        <is>
          <t>5단계</t>
        </is>
      </c>
      <c r="E59" s="5" t="n">
        <v>100</v>
      </c>
      <c r="F59" s="7" t="inlineStr">
        <is>
          <t>인권 리스크 평가 체계를 구축하고 있으며, 비대면 진단 및 현장실사 행위를 실시한 경우. 또한, 확인된 인권 리스크에 대한 개선계획/개선활동을 추진한 경우</t>
        </is>
      </c>
    </row>
    <row r="60">
      <c r="A60" s="6" t="inlineStr">
        <is>
          <t>S-6-1</t>
        </is>
      </c>
      <c r="B60" s="6" t="inlineStr">
        <is>
          <t>협력사 ESG 경영</t>
        </is>
      </c>
      <c r="C60" s="5" t="n">
        <v>1</v>
      </c>
      <c r="D60" s="6" t="inlineStr">
        <is>
          <t>1단계</t>
        </is>
      </c>
      <c r="E60" s="5" t="n">
        <v>0</v>
      </c>
      <c r="F60" s="7" t="inlineStr">
        <is>
          <t>협력사 ESG 리스크 평가 지표, 평가 기준, 평가 일정 등의 관리 체계가 구축되지 않은 경우</t>
        </is>
      </c>
    </row>
    <row r="61">
      <c r="A61" s="6" t="inlineStr">
        <is>
          <t>S-6-1</t>
        </is>
      </c>
      <c r="B61" s="6" t="inlineStr">
        <is>
          <t>협력사 ESG 경영</t>
        </is>
      </c>
      <c r="C61" s="5" t="n">
        <v>2</v>
      </c>
      <c r="D61" s="6" t="inlineStr">
        <is>
          <t>2단계</t>
        </is>
      </c>
      <c r="E61" s="5" t="n">
        <v>25</v>
      </c>
      <c r="F61" s="7" t="inlineStr">
        <is>
          <t>협력사 ESG 리스크 평가 지표, 평가 기준, 평가 일정 등의 관리 체계를 구축하고 있으나, 해당 협력사 ESG 리스크 관리 체계를 운용하지 않은 경우</t>
        </is>
      </c>
    </row>
    <row r="62">
      <c r="A62" s="6" t="inlineStr">
        <is>
          <t>S-6-1</t>
        </is>
      </c>
      <c r="B62" s="6" t="inlineStr">
        <is>
          <t>협력사 ESG 경영</t>
        </is>
      </c>
      <c r="C62" s="5" t="n">
        <v>3</v>
      </c>
      <c r="D62" s="6" t="inlineStr">
        <is>
          <t>3단계</t>
        </is>
      </c>
      <c r="E62" s="5" t="n">
        <v>50</v>
      </c>
      <c r="F62" s="7" t="inlineStr">
        <is>
          <t>협력사 ESG 리스크 관리 체계를 구축하고 있으나, 온라인/서면 등 비대면 방식으로 리스크 진단 행위만 실시한 경우</t>
        </is>
      </c>
    </row>
    <row r="63">
      <c r="A63" s="6" t="inlineStr">
        <is>
          <t>S-6-1</t>
        </is>
      </c>
      <c r="B63" s="6" t="inlineStr">
        <is>
          <t>협력사 ESG 경영</t>
        </is>
      </c>
      <c r="C63" s="5" t="n">
        <v>4</v>
      </c>
      <c r="D63" s="6" t="inlineStr">
        <is>
          <t>4단계</t>
        </is>
      </c>
      <c r="E63" s="5" t="n">
        <v>75</v>
      </c>
      <c r="F63" s="7" t="inlineStr">
        <is>
          <t>협력사 ESG 리스크 관리 체계를 구축하고 있으며, 온라인/서면 등 비대면 방식의 진단과 함께, 고위험 ESG 리스크에 대해서는 현장실사 행위까지 실시한 경우</t>
        </is>
      </c>
    </row>
    <row r="64">
      <c r="A64" s="6" t="inlineStr">
        <is>
          <t>S-6-1</t>
        </is>
      </c>
      <c r="B64" s="6" t="inlineStr">
        <is>
          <t>협력사 ESG 경영</t>
        </is>
      </c>
      <c r="C64" s="5" t="n">
        <v>5</v>
      </c>
      <c r="D64" s="6" t="inlineStr">
        <is>
          <t>5단계</t>
        </is>
      </c>
      <c r="E64" s="5" t="n">
        <v>100</v>
      </c>
      <c r="F64" s="7" t="inlineStr">
        <is>
          <t>협력사 ESG 리스크 관리 체계를 구축하고 있으며, 비대면 진단 및 현장실사 행위를 실시한 경우. 또한, 확인된 리스크에 대한 개선계획/개선활동 추진한 경우</t>
        </is>
      </c>
    </row>
    <row r="65">
      <c r="A65" s="6" t="inlineStr">
        <is>
          <t>S-6-2</t>
        </is>
      </c>
      <c r="B65" s="6" t="inlineStr">
        <is>
          <t>협력사 ESG 지원</t>
        </is>
      </c>
      <c r="C65" s="5" t="n">
        <v>1</v>
      </c>
      <c r="D65" s="6" t="inlineStr">
        <is>
          <t>요건1</t>
        </is>
      </c>
      <c r="E65" s="5" t="n">
        <v>0</v>
      </c>
      <c r="F65" s="7" t="inlineStr">
        <is>
          <t>협력사 ESG 지원에 관한 공식적 선언을 하고 있는 경우</t>
        </is>
      </c>
    </row>
    <row r="66">
      <c r="A66" s="6" t="inlineStr">
        <is>
          <t>S-6-2</t>
        </is>
      </c>
      <c r="B66" s="6" t="inlineStr">
        <is>
          <t>협력사 ESG 지원</t>
        </is>
      </c>
      <c r="C66" s="5" t="n">
        <v>2</v>
      </c>
      <c r="D66" s="6" t="inlineStr">
        <is>
          <t>요건2</t>
        </is>
      </c>
      <c r="E66" s="5" t="n">
        <v>25</v>
      </c>
      <c r="F66" s="7" t="inlineStr">
        <is>
          <t>협력사 ESG 지원 전략방향, 추진영역을 제시하고 있는 경우</t>
        </is>
      </c>
    </row>
    <row r="67">
      <c r="A67" s="6" t="inlineStr">
        <is>
          <t>S-6-2</t>
        </is>
      </c>
      <c r="B67" s="6" t="inlineStr">
        <is>
          <t>협력사 ESG 지원</t>
        </is>
      </c>
      <c r="C67" s="5" t="n">
        <v>3</v>
      </c>
      <c r="D67" s="6" t="inlineStr">
        <is>
          <t>요건3</t>
        </is>
      </c>
      <c r="E67" s="5" t="n">
        <v>50</v>
      </c>
      <c r="F67" s="7" t="inlineStr">
        <is>
          <t>협력사 ESG 지원 전략방향 및 추진영역별 세부 실행과제를 제시하고 있는 경우</t>
        </is>
      </c>
    </row>
    <row r="68">
      <c r="A68" s="6" t="inlineStr">
        <is>
          <t>S-6-2</t>
        </is>
      </c>
      <c r="B68" s="6" t="inlineStr">
        <is>
          <t>협력사 ESG 지원</t>
        </is>
      </c>
      <c r="C68" s="5" t="n">
        <v>4</v>
      </c>
      <c r="D68" s="6" t="inlineStr">
        <is>
          <t>요건4</t>
        </is>
      </c>
      <c r="E68" s="5" t="n">
        <v>75</v>
      </c>
      <c r="F68" s="7" t="inlineStr">
        <is>
          <t>협력사 ESG 지원에 관한 성과관리 지표(KPIs)를 제시하고 있는 경우</t>
        </is>
      </c>
    </row>
    <row r="69">
      <c r="A69" s="6" t="inlineStr">
        <is>
          <t>S-6-2</t>
        </is>
      </c>
      <c r="B69" s="6" t="inlineStr">
        <is>
          <t>협력사 ESG 지원</t>
        </is>
      </c>
      <c r="C69" s="5" t="n">
        <v>5</v>
      </c>
      <c r="D69" s="6" t="inlineStr">
        <is>
          <t>요건5</t>
        </is>
      </c>
      <c r="E69" s="5" t="n">
        <v>100</v>
      </c>
      <c r="F69" s="7" t="inlineStr">
        <is>
          <t>협력사 ESG 지원에 관한 성과관리 지표(KPIs) 달성을 위해 투자재원(예산), 역량투입(인력) 방안을 마련한 경우</t>
        </is>
      </c>
    </row>
    <row r="70">
      <c r="A70" s="6" t="inlineStr">
        <is>
          <t>S-7-1</t>
        </is>
      </c>
      <c r="B70" s="6" t="inlineStr">
        <is>
          <t>전략적 사회공헌</t>
        </is>
      </c>
      <c r="C70" s="5" t="n">
        <v>1</v>
      </c>
      <c r="D70" s="6" t="inlineStr">
        <is>
          <t>요건1</t>
        </is>
      </c>
      <c r="E70" s="5" t="n">
        <v>0</v>
      </c>
      <c r="F70" s="7" t="inlineStr">
        <is>
          <t>조직의 사회공헌을 대표할 수 있으며, 대사회적 메시지로써 활용되는 사회공헌 비전, 미션, 또는 슬로건이 있는 경우</t>
        </is>
      </c>
    </row>
    <row r="71">
      <c r="A71" s="6" t="inlineStr">
        <is>
          <t>S-7-1</t>
        </is>
      </c>
      <c r="B71" s="6" t="inlineStr">
        <is>
          <t>전략적 사회공헌</t>
        </is>
      </c>
      <c r="C71" s="5" t="n">
        <v>2</v>
      </c>
      <c r="D71" s="6" t="inlineStr">
        <is>
          <t>요건2</t>
        </is>
      </c>
      <c r="E71" s="5" t="n">
        <v>25</v>
      </c>
      <c r="F71" s="7" t="inlineStr">
        <is>
          <t>조직의 사회공헌 비전, 미션, 또는 슬로건을 달성하기 위한 사회공헌 추진 분야/영역을 제시하고 있는 경우</t>
        </is>
      </c>
    </row>
    <row r="72">
      <c r="A72" s="6" t="inlineStr">
        <is>
          <t>S-7-1</t>
        </is>
      </c>
      <c r="B72" s="6" t="inlineStr">
        <is>
          <t>전략적 사회공헌</t>
        </is>
      </c>
      <c r="C72" s="5" t="n">
        <v>3</v>
      </c>
      <c r="D72" s="6" t="inlineStr">
        <is>
          <t>요건3</t>
        </is>
      </c>
      <c r="E72" s="5" t="n">
        <v>50</v>
      </c>
      <c r="F72" s="7" t="inlineStr">
        <is>
          <t>조직의 사회공헌 추진 분야/영역별 대표 프로그램을 제시하고 있는 경우</t>
        </is>
      </c>
    </row>
    <row r="73">
      <c r="A73" s="6" t="inlineStr">
        <is>
          <t>S-7-1</t>
        </is>
      </c>
      <c r="B73" s="6" t="inlineStr">
        <is>
          <t>전략적 사회공헌</t>
        </is>
      </c>
      <c r="C73" s="5" t="n">
        <v>4</v>
      </c>
      <c r="D73" s="6" t="inlineStr">
        <is>
          <t>요건4</t>
        </is>
      </c>
      <c r="E73" s="5" t="n">
        <v>75</v>
      </c>
      <c r="F73" s="7" t="inlineStr">
        <is>
          <t>조직의 사회공헌 대표 프로그램별 중장기 실행계획을 마련하고 있는 경우</t>
        </is>
      </c>
    </row>
    <row r="74">
      <c r="A74" s="6" t="inlineStr">
        <is>
          <t>S-7-1</t>
        </is>
      </c>
      <c r="B74" s="6" t="inlineStr">
        <is>
          <t>전략적 사회공헌</t>
        </is>
      </c>
      <c r="C74" s="5" t="n">
        <v>5</v>
      </c>
      <c r="D74" s="6" t="inlineStr">
        <is>
          <t>요건5</t>
        </is>
      </c>
      <c r="E74" s="5" t="n">
        <v>100</v>
      </c>
      <c r="F74" s="7" t="inlineStr">
        <is>
          <t>조직의 대표 사회공헌 프로그램이 사업적 또는 사회적으로 기여하는 성과를 측정할 수 있는 성과관리 지표(KPIs)가 있는 경우</t>
        </is>
      </c>
    </row>
    <row r="75">
      <c r="A75" s="6" t="inlineStr">
        <is>
          <t>S-7-2</t>
        </is>
      </c>
      <c r="B75" s="6" t="inlineStr">
        <is>
          <t>구성원 봉사참여</t>
        </is>
      </c>
      <c r="C75" s="5" t="n">
        <v>1</v>
      </c>
      <c r="D75" s="6" t="inlineStr">
        <is>
          <t>1단계</t>
        </is>
      </c>
      <c r="E75" s="5" t="n">
        <v>0</v>
      </c>
      <c r="F75" s="7" t="inlineStr">
        <is>
          <t>봉사활동 참여 인센티브 제도가 없는 경우</t>
        </is>
      </c>
    </row>
    <row r="76">
      <c r="A76" s="6" t="inlineStr">
        <is>
          <t>S-7-2</t>
        </is>
      </c>
      <c r="B76" s="6" t="inlineStr">
        <is>
          <t>구성원 봉사참여</t>
        </is>
      </c>
      <c r="C76" s="5" t="n">
        <v>2</v>
      </c>
      <c r="D76" s="6" t="inlineStr">
        <is>
          <t>2단계</t>
        </is>
      </c>
      <c r="E76" s="5" t="n">
        <v>25</v>
      </c>
      <c r="F76" s="7" t="inlineStr">
        <is>
          <t>현재, 봉사활동 참여자에 대한 인센티브 제도가 없으나, 향후, 봉사활동 참여 인센티브 제도 도입계획이 수립된 경우</t>
        </is>
      </c>
    </row>
    <row r="77">
      <c r="A77" s="6" t="inlineStr">
        <is>
          <t>S-7-2</t>
        </is>
      </c>
      <c r="B77" s="6" t="inlineStr">
        <is>
          <t>구성원 봉사참여</t>
        </is>
      </c>
      <c r="C77" s="5" t="n">
        <v>3</v>
      </c>
      <c r="D77" s="6" t="inlineStr">
        <is>
          <t>3단계</t>
        </is>
      </c>
      <c r="E77" s="5" t="n">
        <v>50</v>
      </c>
      <c r="F77" s="7" t="inlineStr">
        <is>
          <t>상기 봉사활동 참여 인센티브 제도 중 1개를 도입하고 있는 경우</t>
        </is>
      </c>
    </row>
    <row r="78">
      <c r="A78" s="6" t="inlineStr">
        <is>
          <t>S-7-2</t>
        </is>
      </c>
      <c r="B78" s="6" t="inlineStr">
        <is>
          <t>구성원 봉사참여</t>
        </is>
      </c>
      <c r="C78" s="5" t="n">
        <v>4</v>
      </c>
      <c r="D78" s="6" t="inlineStr">
        <is>
          <t>4단계</t>
        </is>
      </c>
      <c r="E78" s="5" t="n">
        <v>75</v>
      </c>
      <c r="F78" s="7" t="inlineStr">
        <is>
          <t>상기 봉사활동 참여 인센티브 제도 중 2개를 도입하고 있는 경우</t>
        </is>
      </c>
    </row>
    <row r="79">
      <c r="A79" s="6" t="inlineStr">
        <is>
          <t>S-7-2</t>
        </is>
      </c>
      <c r="B79" s="6" t="inlineStr">
        <is>
          <t>구성원 봉사참여</t>
        </is>
      </c>
      <c r="C79" s="5" t="n">
        <v>5</v>
      </c>
      <c r="D79" s="6" t="inlineStr">
        <is>
          <t>5단계</t>
        </is>
      </c>
      <c r="E79" s="5" t="n">
        <v>100</v>
      </c>
      <c r="F79" s="7" t="inlineStr">
        <is>
          <t>상기 봉사활동 참여 인센티브 제도 중 3개 이상을 도입하고 있는 경우</t>
        </is>
      </c>
    </row>
    <row r="80">
      <c r="A80" s="6" t="inlineStr">
        <is>
          <t>S-8-1</t>
        </is>
      </c>
      <c r="B80" s="6" t="inlineStr">
        <is>
          <t>정보보호 시스템 구축</t>
        </is>
      </c>
      <c r="C80" s="5" t="n">
        <v>1</v>
      </c>
      <c r="D80" s="6" t="inlineStr">
        <is>
          <t>요건1</t>
        </is>
      </c>
      <c r="E80" s="5" t="n">
        <v>0</v>
      </c>
      <c r="F80" s="7" t="inlineStr">
        <is>
          <t>등기임원이나 미등기임원(또는 이에 준하는 관리자급 구성원)을 정보보호 최고책임자(CISO)로 선임하고 있는 경우</t>
        </is>
      </c>
    </row>
    <row r="81">
      <c r="A81" s="6" t="inlineStr">
        <is>
          <t>S-8-1</t>
        </is>
      </c>
      <c r="B81" s="6" t="inlineStr">
        <is>
          <t>정보보호 시스템 구축</t>
        </is>
      </c>
      <c r="C81" s="5" t="n">
        <v>2</v>
      </c>
      <c r="D81" s="6" t="inlineStr">
        <is>
          <t>요건2</t>
        </is>
      </c>
      <c r="E81" s="5" t="n">
        <v>25</v>
      </c>
      <c r="F81" s="7" t="inlineStr">
        <is>
          <t>정보보호 시스템의 안정성에 대해 제3자(또는 규제기관)의 인증을 획득하고 있는 경우</t>
        </is>
      </c>
    </row>
    <row r="82">
      <c r="A82" s="6" t="inlineStr">
        <is>
          <t>S-8-1</t>
        </is>
      </c>
      <c r="B82" s="6" t="inlineStr">
        <is>
          <t>정보보호 시스템 구축</t>
        </is>
      </c>
      <c r="C82" s="5" t="n">
        <v>3</v>
      </c>
      <c r="D82" s="6" t="inlineStr">
        <is>
          <t>요건3</t>
        </is>
      </c>
      <c r="E82" s="5" t="n">
        <v>50</v>
      </c>
      <c r="F82" s="7" t="inlineStr">
        <is>
          <t>모의해킹 등 외부공격에 대한 취약성 분석을 실시하고 있는 경우</t>
        </is>
      </c>
    </row>
    <row r="83">
      <c r="A83" s="6" t="inlineStr">
        <is>
          <t>S-8-1</t>
        </is>
      </c>
      <c r="B83" s="6" t="inlineStr">
        <is>
          <t>정보보호 시스템 구축</t>
        </is>
      </c>
      <c r="C83" s="5" t="n">
        <v>4</v>
      </c>
      <c r="D83" s="6" t="inlineStr">
        <is>
          <t>요건4</t>
        </is>
      </c>
      <c r="E83" s="5" t="n">
        <v>75</v>
      </c>
      <c r="F83" s="7" t="inlineStr">
        <is>
          <t>정보보호 공시(의무 또는 자율)사항을 이행하고 있는 경우</t>
        </is>
      </c>
    </row>
    <row r="84">
      <c r="A84" s="6" t="inlineStr">
        <is>
          <t>S-8-1</t>
        </is>
      </c>
      <c r="B84" s="6" t="inlineStr">
        <is>
          <t>정보보호 시스템 구축</t>
        </is>
      </c>
      <c r="C84" s="5" t="n">
        <v>5</v>
      </c>
      <c r="D84" s="6" t="inlineStr">
        <is>
          <t>요건5</t>
        </is>
      </c>
      <c r="E84" s="5" t="n">
        <v>100</v>
      </c>
      <c r="F84" s="7" t="inlineStr">
        <is>
          <t>정보보호 시스템의 손상 또는 외부공격 등 정보보안 관련 사고에 대비하기 위한 보험에 가입하고 있는 경우</t>
        </is>
      </c>
    </row>
    <row r="85">
      <c r="A85" s="6" t="inlineStr">
        <is>
          <t>S-동반성장-추가1</t>
        </is>
      </c>
      <c r="B85" s="6" t="inlineStr">
        <is>
          <t>공급망 안정</t>
        </is>
      </c>
      <c r="C85" s="5" t="n">
        <v>1</v>
      </c>
      <c r="D85" s="6" t="inlineStr">
        <is>
          <t>요건1</t>
        </is>
      </c>
      <c r="E85" s="5" t="n">
        <v>0</v>
      </c>
      <c r="F85" s="7" t="inlineStr">
        <is>
          <t>1차 협력사가 원부자재를 생산 및 공급하는데 영향을 미칠 수 있는 정치, 경제, 사회, 문화 분야의 리스크를 모니터링 하고 있는 경우</t>
        </is>
      </c>
    </row>
    <row r="86">
      <c r="A86" s="6" t="inlineStr">
        <is>
          <t>S-동반성장-추가1</t>
        </is>
      </c>
      <c r="B86" s="6" t="inlineStr">
        <is>
          <t>공급망 안정</t>
        </is>
      </c>
      <c r="C86" s="5" t="n">
        <v>2</v>
      </c>
      <c r="D86" s="6" t="inlineStr">
        <is>
          <t>요건2</t>
        </is>
      </c>
      <c r="E86" s="5" t="n">
        <v>25</v>
      </c>
      <c r="F86" s="7" t="inlineStr">
        <is>
          <t>1차 협력사 外 2차 이하(N차 협력사, 또는 원산지)에 잠재되어 있는 원부자재 생산-공급 차질 리스크를 모니터링 하고 있는 경우</t>
        </is>
      </c>
    </row>
    <row r="87">
      <c r="A87" s="6" t="inlineStr">
        <is>
          <t>S-동반성장-추가1</t>
        </is>
      </c>
      <c r="B87" s="6" t="inlineStr">
        <is>
          <t>공급망 안정</t>
        </is>
      </c>
      <c r="C87" s="5" t="n">
        <v>3</v>
      </c>
      <c r="D87" s="6" t="inlineStr">
        <is>
          <t>요건3</t>
        </is>
      </c>
      <c r="E87" s="5" t="n">
        <v>50</v>
      </c>
      <c r="F87" s="7" t="inlineStr">
        <is>
          <t>특정 지역 및 국가의 협력사에만 의존하지 않고, 공급선을 다변화하였거나, 대체가능한 협력사를 발굴/확보하고 있는 경우</t>
        </is>
      </c>
    </row>
    <row r="88">
      <c r="A88" s="6" t="inlineStr">
        <is>
          <t>S-동반성장-추가1</t>
        </is>
      </c>
      <c r="B88" s="6" t="inlineStr">
        <is>
          <t>공급망 안정</t>
        </is>
      </c>
      <c r="C88" s="5" t="n">
        <v>4</v>
      </c>
      <c r="D88" s="6" t="inlineStr">
        <is>
          <t>요건4</t>
        </is>
      </c>
      <c r="E88" s="5" t="n">
        <v>75</v>
      </c>
      <c r="F88" s="7" t="inlineStr">
        <is>
          <t>특정 물류/유통망에 의존하지 않고, 물류/유통망을 다변화하였거나, 대체 물류/유통망을 발굴/확보하고 있는 경우</t>
        </is>
      </c>
    </row>
    <row r="89">
      <c r="A89" s="6" t="inlineStr">
        <is>
          <t>S-동반성장-추가1</t>
        </is>
      </c>
      <c r="B89" s="6" t="inlineStr">
        <is>
          <t>공급망 안정</t>
        </is>
      </c>
      <c r="C89" s="5" t="n">
        <v>5</v>
      </c>
      <c r="D89" s="6" t="inlineStr">
        <is>
          <t>요건5</t>
        </is>
      </c>
      <c r="E89" s="5" t="n">
        <v>100</v>
      </c>
      <c r="F89" s="7" t="inlineStr">
        <is>
          <t>공급망 불안정 발생에 대비하여 충분한 원부자재 재고를 확보하고 있거나, 원부자재 생산을 조직이 내재화한 경우</t>
        </is>
      </c>
    </row>
    <row r="90">
      <c r="A90" s="6" t="inlineStr">
        <is>
          <t>S-소비자-추가2</t>
        </is>
      </c>
      <c r="B90" s="6" t="inlineStr">
        <is>
          <t>소비자 안전</t>
        </is>
      </c>
      <c r="C90" s="5" t="n">
        <v>1</v>
      </c>
      <c r="D90" s="6" t="inlineStr">
        <is>
          <t>1단계</t>
        </is>
      </c>
      <c r="E90" s="5" t="n">
        <v>0</v>
      </c>
      <c r="F90" s="7" t="inlineStr">
        <is>
          <t>소비자안전 관련 규정 및 활동이 없음</t>
        </is>
      </c>
    </row>
    <row r="91">
      <c r="A91" s="6" t="inlineStr">
        <is>
          <t>S-소비자-추가2</t>
        </is>
      </c>
      <c r="B91" s="6" t="inlineStr">
        <is>
          <t>소비자 안전</t>
        </is>
      </c>
      <c r="C91" s="5" t="n">
        <v>2</v>
      </c>
      <c r="D91" s="6" t="inlineStr">
        <is>
          <t>2단계</t>
        </is>
      </c>
      <c r="E91" s="5" t="n">
        <v>25</v>
      </c>
      <c r="F91" s="7" t="inlineStr">
        <is>
          <t>소비자안전 관련 규정이 있으나 활동이 없음</t>
        </is>
      </c>
    </row>
    <row r="92">
      <c r="A92" s="6" t="inlineStr">
        <is>
          <t>S-소비자-추가2</t>
        </is>
      </c>
      <c r="B92" s="6" t="inlineStr">
        <is>
          <t>소비자 안전</t>
        </is>
      </c>
      <c r="C92" s="5" t="n">
        <v>3</v>
      </c>
      <c r="D92" s="6" t="inlineStr">
        <is>
          <t>3단계</t>
        </is>
      </c>
      <c r="E92" s="5" t="n">
        <v>50</v>
      </c>
      <c r="F92" s="7" t="inlineStr">
        <is>
          <t>소비자안전 관련 규정이 있고, 계획을 수립하고 있으나, 운영 실적이 미흡함</t>
        </is>
      </c>
    </row>
    <row r="93">
      <c r="A93" s="6" t="inlineStr">
        <is>
          <t>S-소비자-추가2</t>
        </is>
      </c>
      <c r="B93" s="6" t="inlineStr">
        <is>
          <t>소비자 안전</t>
        </is>
      </c>
      <c r="C93" s="5" t="n">
        <v>4</v>
      </c>
      <c r="D93" s="6" t="inlineStr">
        <is>
          <t>4단계</t>
        </is>
      </c>
      <c r="E93" s="5" t="n">
        <v>75</v>
      </c>
      <c r="F93" s="7" t="inlineStr">
        <is>
          <t>소비자안전 관련 규정이 있고, 소비자안전 보장을 위한 계획을 수립하고 운영하고 있음</t>
        </is>
      </c>
    </row>
    <row r="94">
      <c r="A94" s="6" t="inlineStr">
        <is>
          <t>S-소비자-추가2</t>
        </is>
      </c>
      <c r="B94" s="6" t="inlineStr">
        <is>
          <t>소비자 안전</t>
        </is>
      </c>
      <c r="C94" s="5" t="n">
        <v>5</v>
      </c>
      <c r="D94" s="6" t="inlineStr">
        <is>
          <t>5단계</t>
        </is>
      </c>
      <c r="E94" s="5" t="n">
        <v>100</v>
      </c>
      <c r="F94" s="7" t="inlineStr">
        <is>
          <t>소비자안전 관련 규정이 있고, 소비자안전 보장을 위한 계획을 수립하고 운영하고 있으며, 소비자안전 확보 노력이 지속적으로 진행되고 있음</t>
        </is>
      </c>
    </row>
    <row r="95">
      <c r="A95" s="6" t="inlineStr">
        <is>
          <t>S-노동-추가1</t>
        </is>
      </c>
      <c r="B95" s="6" t="inlineStr">
        <is>
          <t>정규직 중 고졸자 비율</t>
        </is>
      </c>
      <c r="C95" s="5" t="n">
        <v>1</v>
      </c>
      <c r="D95" s="6" t="inlineStr">
        <is>
          <t>1단계</t>
        </is>
      </c>
      <c r="E95" s="5" t="n">
        <v>0</v>
      </c>
      <c r="F95" s="7" t="inlineStr">
        <is>
          <t>정규직(무기계약직 포함) 중 고졸자 비율을 공시하지 않는 경우</t>
        </is>
      </c>
    </row>
    <row r="96">
      <c r="A96" s="6" t="inlineStr">
        <is>
          <t>S-노동-추가1</t>
        </is>
      </c>
      <c r="B96" s="6" t="inlineStr">
        <is>
          <t>정규직 중 고졸자 비율</t>
        </is>
      </c>
      <c r="C96" s="5" t="n">
        <v>2</v>
      </c>
      <c r="D96" s="6" t="inlineStr">
        <is>
          <t>2단계</t>
        </is>
      </c>
      <c r="E96" s="5" t="n">
        <v>25</v>
      </c>
      <c r="F96" s="7" t="inlineStr">
        <is>
          <t>정규직(무기계약직 포함) 중 고졸자 비율을 공시하고 공공기관 평균 대비 고졸자 비율이 적은 경우 (공공기관의 50% 미만)</t>
        </is>
      </c>
    </row>
    <row r="97">
      <c r="A97" s="6" t="inlineStr">
        <is>
          <t>S-노동-추가1</t>
        </is>
      </c>
      <c r="B97" s="6" t="inlineStr">
        <is>
          <t>정규직 중 고졸자 비율</t>
        </is>
      </c>
      <c r="C97" s="5" t="n">
        <v>3</v>
      </c>
      <c r="D97" s="6" t="inlineStr">
        <is>
          <t>3단계</t>
        </is>
      </c>
      <c r="E97" s="5" t="n">
        <v>50</v>
      </c>
      <c r="F97" s="7" t="inlineStr">
        <is>
          <t>정규직(무기계약직 포함) 중 고졸자 비율을 공시하고 공공기관 평균 대비 고졸자 비율이 적은 경우 (공공기관의 50% 이상 ~100% 미만)</t>
        </is>
      </c>
    </row>
    <row r="98">
      <c r="A98" s="6" t="inlineStr">
        <is>
          <t>S-노동-추가1</t>
        </is>
      </c>
      <c r="B98" s="6" t="inlineStr">
        <is>
          <t>정규직 중 고졸자 비율</t>
        </is>
      </c>
      <c r="C98" s="5" t="n">
        <v>4</v>
      </c>
      <c r="D98" s="6" t="inlineStr">
        <is>
          <t>4단계</t>
        </is>
      </c>
      <c r="E98" s="5" t="n">
        <v>75</v>
      </c>
      <c r="F98" s="7" t="inlineStr">
        <is>
          <t>정규직(무기계약직 포함) 중 고졸자 비율을 공시하고 공공기관 평균 대비 고졸자 비율이 동일하거나 높은 경우 (공공기관의 100% 이상 ~150% 미만)</t>
        </is>
      </c>
    </row>
    <row r="99">
      <c r="A99" s="6" t="inlineStr">
        <is>
          <t>S-노동-추가1</t>
        </is>
      </c>
      <c r="B99" s="6" t="inlineStr">
        <is>
          <t>정규직 중 고졸자 비율</t>
        </is>
      </c>
      <c r="C99" s="5" t="n">
        <v>5</v>
      </c>
      <c r="D99" s="6" t="inlineStr">
        <is>
          <t>5단계</t>
        </is>
      </c>
      <c r="E99" s="5" t="n">
        <v>100</v>
      </c>
      <c r="F99" s="7" t="inlineStr">
        <is>
          <t>정규직(무기계약직 포함) 중 고졸자 비율을 공시하고 공공기관 평균 대비 고졸자 비율이 높은 경우 (공공기관의 150% 이상)</t>
        </is>
      </c>
    </row>
    <row r="100">
      <c r="A100" s="6" t="inlineStr">
        <is>
          <t>S-노동-추가2</t>
        </is>
      </c>
      <c r="B100" s="6" t="inlineStr">
        <is>
          <t>여가친화 경영</t>
        </is>
      </c>
      <c r="C100" s="5" t="n">
        <v>1</v>
      </c>
      <c r="D100" s="6" t="inlineStr">
        <is>
          <t>1단계</t>
        </is>
      </c>
      <c r="E100" s="5" t="n">
        <v>0</v>
      </c>
      <c r="F100" s="7" t="inlineStr">
        <is>
          <t>여가친화인증 미획득</t>
        </is>
      </c>
    </row>
    <row r="101">
      <c r="A101" s="6" t="inlineStr">
        <is>
          <t>S-노동-추가2</t>
        </is>
      </c>
      <c r="B101" s="6" t="inlineStr">
        <is>
          <t>여가친화 경영</t>
        </is>
      </c>
      <c r="C101" s="5" t="n">
        <v>2</v>
      </c>
      <c r="D101" s="6" t="inlineStr">
        <is>
          <t>2단계</t>
        </is>
      </c>
      <c r="E101" s="5" t="n">
        <v>100</v>
      </c>
      <c r="F101" s="7" t="inlineStr">
        <is>
          <t>여가친화인증 획득</t>
        </is>
      </c>
    </row>
    <row r="102">
      <c r="A102" s="6" t="inlineStr">
        <is>
          <t>S-노동-추가3</t>
        </is>
      </c>
      <c r="B102" s="6" t="inlineStr">
        <is>
          <t>50세 이상 비자발적 이직예정자 중 재취업지원 제공 비율</t>
        </is>
      </c>
      <c r="C102" s="5" t="n">
        <v>1</v>
      </c>
      <c r="D102" s="6" t="inlineStr">
        <is>
          <t>1단계</t>
        </is>
      </c>
      <c r="E102" s="5" t="n">
        <v>0</v>
      </c>
      <c r="F102" s="7" t="inlineStr">
        <is>
          <t>재취업지원서비스 미제공 또는 제공 비율 감소 추세</t>
        </is>
      </c>
    </row>
    <row r="103">
      <c r="A103" s="6" t="inlineStr">
        <is>
          <t>S-노동-추가3</t>
        </is>
      </c>
      <c r="B103" s="6" t="inlineStr">
        <is>
          <t>50세 이상 비자발적 이직예정자 중 재취업지원 제공 비율</t>
        </is>
      </c>
      <c r="C103" s="5" t="n">
        <v>2</v>
      </c>
      <c r="D103" s="6" t="inlineStr">
        <is>
          <t>2단계</t>
        </is>
      </c>
      <c r="E103" s="5" t="n">
        <v>50</v>
      </c>
      <c r="F103" s="7" t="inlineStr">
        <is>
          <t>재취업지원서비스 제공 비율 유지 추세</t>
        </is>
      </c>
    </row>
    <row r="104">
      <c r="A104" s="6" t="inlineStr">
        <is>
          <t>S-노동-추가3</t>
        </is>
      </c>
      <c r="B104" s="6" t="inlineStr">
        <is>
          <t>50세 이상 비자발적 이직예정자 중 재취업지원 제공 비율</t>
        </is>
      </c>
      <c r="C104" s="5" t="n">
        <v>3</v>
      </c>
      <c r="D104" s="6" t="inlineStr">
        <is>
          <t>3단계</t>
        </is>
      </c>
      <c r="E104" s="5" t="n">
        <v>100</v>
      </c>
      <c r="F104" s="7" t="inlineStr">
        <is>
          <t>재취업지원서비스 제공 비율 증가 추세</t>
        </is>
      </c>
    </row>
    <row r="105">
      <c r="A105" s="6" t="inlineStr">
        <is>
          <t>S-지역사회-추가2</t>
        </is>
      </c>
      <c r="B105" s="6" t="inlineStr">
        <is>
          <t>산학협력 활성화 기여</t>
        </is>
      </c>
      <c r="C105" s="5" t="n">
        <v>1</v>
      </c>
      <c r="D105" s="6" t="inlineStr">
        <is>
          <t>1단계</t>
        </is>
      </c>
      <c r="E105" s="5" t="n">
        <v>0</v>
      </c>
      <c r="F105" s="7" t="inlineStr">
        <is>
          <t>산학협력 활동에 관한 정보공시가 없는 경우</t>
        </is>
      </c>
    </row>
    <row r="106">
      <c r="A106" s="6" t="inlineStr">
        <is>
          <t>S-지역사회-추가2</t>
        </is>
      </c>
      <c r="B106" s="6" t="inlineStr">
        <is>
          <t>산학협력 활성화 기여</t>
        </is>
      </c>
      <c r="C106" s="5" t="n">
        <v>2</v>
      </c>
      <c r="D106" s="6" t="inlineStr">
        <is>
          <t>2단계</t>
        </is>
      </c>
      <c r="E106" s="5" t="n">
        <v>25</v>
      </c>
      <c r="F106" s="7" t="inlineStr">
        <is>
          <t>산학협력 활동 내용은 공시하나 ‘산학협력 마일리지’ 점수에 대한 정보공시가 없는 경우</t>
        </is>
      </c>
    </row>
    <row r="107">
      <c r="A107" s="6" t="inlineStr">
        <is>
          <t>S-지역사회-추가2</t>
        </is>
      </c>
      <c r="B107" s="6" t="inlineStr">
        <is>
          <t>산학협력 활성화 기여</t>
        </is>
      </c>
      <c r="C107" s="5" t="n">
        <v>3</v>
      </c>
      <c r="D107" s="6" t="inlineStr">
        <is>
          <t>3단계</t>
        </is>
      </c>
      <c r="E107" s="5" t="n">
        <v>50</v>
      </c>
      <c r="F107" s="7" t="inlineStr">
        <is>
          <t>산학협력 활동 내용, 마일리지 점수에 대한 정보공시가 있으나, 최근 4개년 매출액 대비 마일리지 점수 변동을 알 수 없거나 감소 추세인 경우</t>
        </is>
      </c>
    </row>
    <row r="108">
      <c r="A108" s="6" t="inlineStr">
        <is>
          <t>S-지역사회-추가2</t>
        </is>
      </c>
      <c r="B108" s="6" t="inlineStr">
        <is>
          <t>산학협력 활성화 기여</t>
        </is>
      </c>
      <c r="C108" s="5" t="n">
        <v>4</v>
      </c>
      <c r="D108" s="6" t="inlineStr">
        <is>
          <t>4단계</t>
        </is>
      </c>
      <c r="E108" s="5" t="n">
        <v>75</v>
      </c>
      <c r="F108" s="7" t="inlineStr">
        <is>
          <t>산학협력 활동 내용, 마일리지 점수에 대한 정보를 공시하며, 최근 4개년 매출액 대비 마일리지 점수가 유지되는 경우</t>
        </is>
      </c>
    </row>
    <row r="109">
      <c r="A109" s="6" t="inlineStr">
        <is>
          <t>S-지역사회-추가2</t>
        </is>
      </c>
      <c r="B109" s="6" t="inlineStr">
        <is>
          <t>산학협력 활성화 기여</t>
        </is>
      </c>
      <c r="C109" s="5" t="n">
        <v>5</v>
      </c>
      <c r="D109" s="6" t="inlineStr">
        <is>
          <t>5단계</t>
        </is>
      </c>
      <c r="E109" s="5" t="n">
        <v>100</v>
      </c>
      <c r="F109" s="7" t="inlineStr">
        <is>
          <t>산학협력 활동 내용, 마일리지 점수에 대한 정보를 공시하며, 최근 4개년 매출액 대비 마일리지 점수가 증가 추세인 경우 * 3개년 이하 데이터 보유 시 해당 데이터로 추세 산정</t>
        </is>
      </c>
    </row>
    <row r="110">
      <c r="A110" s="6" t="inlineStr">
        <is>
          <t>S-지역사회-추가3</t>
        </is>
      </c>
      <c r="B110" s="6" t="inlineStr">
        <is>
          <t>미래세대 성장 및 교육 기여</t>
        </is>
      </c>
      <c r="C110" s="5" t="n">
        <v>1</v>
      </c>
      <c r="D110" s="6" t="inlineStr">
        <is>
          <t>1단계</t>
        </is>
      </c>
      <c r="E110" s="5" t="n">
        <v>0</v>
      </c>
      <c r="F110" s="7" t="inlineStr">
        <is>
          <t>미래세대 성장 및 교육 기여 활동에 관한 정보공시가 없는 경우</t>
        </is>
      </c>
    </row>
    <row r="111">
      <c r="A111" s="6" t="inlineStr">
        <is>
          <t>S-지역사회-추가3</t>
        </is>
      </c>
      <c r="B111" s="6" t="inlineStr">
        <is>
          <t>미래세대 성장 및 교육 기여</t>
        </is>
      </c>
      <c r="C111" s="5" t="n">
        <v>2</v>
      </c>
      <c r="D111" s="6" t="inlineStr">
        <is>
          <t>2단계</t>
        </is>
      </c>
      <c r="E111" s="5" t="n">
        <v>25</v>
      </c>
      <c r="F111" s="7" t="inlineStr">
        <is>
          <t>미래세대 성장 및 교육 기여 활동 내용은 공시하나 지출액이나 수혜인원에 대한 정보공시가 없는 경우</t>
        </is>
      </c>
    </row>
    <row r="112">
      <c r="A112" s="6" t="inlineStr">
        <is>
          <t>S-지역사회-추가3</t>
        </is>
      </c>
      <c r="B112" s="6" t="inlineStr">
        <is>
          <t>미래세대 성장 및 교육 기여</t>
        </is>
      </c>
      <c r="C112" s="5" t="n">
        <v>3</v>
      </c>
      <c r="D112" s="6" t="inlineStr">
        <is>
          <t>3단계</t>
        </is>
      </c>
      <c r="E112" s="5" t="n">
        <v>50</v>
      </c>
      <c r="F112" s="7" t="inlineStr">
        <is>
          <t>미래세대 성장 및 교육 기여 활동 내용, 지출액, 수혜규모에 대한 정보공시가 있으나, 최근 4년간 매출액 증감폭 대비 미래세대 성장 기여 활동 지출액 또는 수혜규모 변동을 알 수 없거나 감소 추세인 경우</t>
        </is>
      </c>
    </row>
    <row r="113">
      <c r="A113" s="6" t="inlineStr">
        <is>
          <t>S-지역사회-추가3</t>
        </is>
      </c>
      <c r="B113" s="6" t="inlineStr">
        <is>
          <t>미래세대 성장 및 교육 기여</t>
        </is>
      </c>
      <c r="C113" s="5" t="n">
        <v>4</v>
      </c>
      <c r="D113" s="6" t="inlineStr">
        <is>
          <t>4단계</t>
        </is>
      </c>
      <c r="E113" s="5" t="n">
        <v>75</v>
      </c>
      <c r="F113" s="7" t="inlineStr">
        <is>
          <t>미래세대 성장 및 교육 기여 활동 내용, 지출액, 수혜규모에 대한 정보를 공시하며, 최근 4년간 매출액 증감폭 대비 미래세대 성장 기여 활동 지출액 또는 수혜규모가 유지되고 있는 경우</t>
        </is>
      </c>
    </row>
    <row r="114">
      <c r="A114" s="6" t="inlineStr">
        <is>
          <t>S-지역사회-추가3</t>
        </is>
      </c>
      <c r="B114" s="6" t="inlineStr">
        <is>
          <t>미래세대 성장 및 교육 기여</t>
        </is>
      </c>
      <c r="C114" s="5" t="n">
        <v>5</v>
      </c>
      <c r="D114" s="6" t="inlineStr">
        <is>
          <t>5단계</t>
        </is>
      </c>
      <c r="E114" s="5" t="n">
        <v>100</v>
      </c>
      <c r="F114" s="7" t="inlineStr">
        <is>
          <t>미래세대 성장 및 교육 기여 활동 내용, 지출액, 수혜규모에 대한 정보를 공시하며, 최근 4년간 매출액 증감폭 대비 미래세대 성장 기여 활동 지출액 또는 수혜규모가 증가 추세인 경우 * 3개년 이하 데이터 보유 시 해당 데이터로 추세 산정</t>
        </is>
      </c>
    </row>
    <row r="115">
      <c r="A115" s="6" t="inlineStr">
        <is>
          <t>S-6-3</t>
        </is>
      </c>
      <c r="B115" s="6" t="inlineStr">
        <is>
          <t>협력사 ESG 협약사항</t>
        </is>
      </c>
      <c r="C115" s="5" t="n">
        <v>1</v>
      </c>
      <c r="D115" s="6" t="inlineStr">
        <is>
          <t>요건1</t>
        </is>
      </c>
      <c r="E115" s="5" t="n">
        <v>0</v>
      </c>
      <c r="F115" s="7" t="inlineStr">
        <is>
          <t>협력사의 ESG 추진에 필요한 교육 운영 지원 협약 체결</t>
        </is>
      </c>
    </row>
    <row r="116">
      <c r="A116" s="6" t="inlineStr">
        <is>
          <t>S-6-3</t>
        </is>
      </c>
      <c r="B116" s="6" t="inlineStr">
        <is>
          <t>협력사 ESG 협약사항</t>
        </is>
      </c>
      <c r="C116" s="5" t="n">
        <v>2</v>
      </c>
      <c r="D116" s="6" t="inlineStr">
        <is>
          <t>요건2</t>
        </is>
      </c>
      <c r="E116" s="5" t="n">
        <v>25</v>
      </c>
      <c r="F116" s="7" t="inlineStr">
        <is>
          <t>협력사의 ESG 추진에 필요한 기술 및 R&amp;D 지원 협약 체결</t>
        </is>
      </c>
    </row>
    <row r="117">
      <c r="A117" s="6" t="inlineStr">
        <is>
          <t>S-6-3</t>
        </is>
      </c>
      <c r="B117" s="6" t="inlineStr">
        <is>
          <t>협력사 ESG 협약사항</t>
        </is>
      </c>
      <c r="C117" s="5" t="n">
        <v>3</v>
      </c>
      <c r="D117" s="6" t="inlineStr">
        <is>
          <t>요건3</t>
        </is>
      </c>
      <c r="E117" s="5" t="n">
        <v>50</v>
      </c>
      <c r="F117" s="7" t="inlineStr">
        <is>
          <t>협력사의 ESG 추진에 필요한 금융 및 자금 지원 협약 체결</t>
        </is>
      </c>
    </row>
    <row r="118">
      <c r="A118" s="6" t="inlineStr">
        <is>
          <t>S-6-3</t>
        </is>
      </c>
      <c r="B118" s="6" t="inlineStr">
        <is>
          <t>협력사 ESG 협약사항</t>
        </is>
      </c>
      <c r="C118" s="5" t="n">
        <v>4</v>
      </c>
      <c r="D118" s="6" t="inlineStr">
        <is>
          <t>요건4</t>
        </is>
      </c>
      <c r="E118" s="5" t="n">
        <v>75</v>
      </c>
      <c r="F118" s="7" t="inlineStr">
        <is>
          <t>협력사의 ESG 추진에 필요한 인허가 획득 지원 협약 체결</t>
        </is>
      </c>
    </row>
    <row r="119">
      <c r="A119" s="6" t="inlineStr">
        <is>
          <t>S-6-3</t>
        </is>
      </c>
      <c r="B119" s="6" t="inlineStr">
        <is>
          <t>협력사 ESG 협약사항</t>
        </is>
      </c>
      <c r="C119" s="5" t="n">
        <v>5</v>
      </c>
      <c r="D119" s="6" t="inlineStr">
        <is>
          <t>요건5</t>
        </is>
      </c>
      <c r="E119" s="5" t="n">
        <v>100</v>
      </c>
      <c r="F119" s="7" t="inlineStr">
        <is>
          <t>협력사의 ESG 추진에 필요한 설비/장치 도입 지원 협약 체결</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G8"/>
  <sheetViews>
    <sheetView workbookViewId="0">
      <selection activeCell="A1" sqref="A1"/>
    </sheetView>
  </sheetViews>
  <sheetFormatPr baseColWidth="8" defaultRowHeight="15"/>
  <cols>
    <col width="3" customWidth="1" min="1" max="1"/>
    <col width="30" customWidth="1" min="2" max="2"/>
    <col width="12" customWidth="1" min="3" max="3"/>
    <col width="12" customWidth="1" min="4" max="4"/>
    <col width="18" customWidth="1" min="5" max="5"/>
    <col width="12" customWidth="1" min="6" max="6"/>
    <col width="12" customWidth="1" min="7" max="7"/>
  </cols>
  <sheetData>
    <row r="2">
      <c r="B2" s="15" t="inlineStr">
        <is>
          <t>KSSB 대비 GAP 분석 (분리본: S(사회))</t>
        </is>
      </c>
    </row>
    <row r="3">
      <c r="B3" t="inlineStr">
        <is>
          <t>KSSB(한국지속가능성기준위원회) 지속가능성 공시기준서 제1호(일반요구사항)·제2호(기후) 대비 K-ESG 가이드라인 v2.0의 대응 현황</t>
        </is>
      </c>
    </row>
    <row r="4">
      <c r="B4" s="1" t="inlineStr">
        <is>
          <t>※ 「ESG_핵심지표_채점기준표_전체」 01시트를 S(사회) 기준으로 재분류한 파일입니다. 아래 표는 01시트 입력값에 실시간 연동되는 수식입니다 (반도체특화문항은 영역과 무관하게 G 파일에 포함).</t>
        </is>
      </c>
    </row>
    <row r="6">
      <c r="A6" s="16" t="n"/>
      <c r="B6" s="17" t="inlineStr">
        <is>
          <t>영역</t>
        </is>
      </c>
      <c r="C6" s="17" t="inlineStr">
        <is>
          <t>완전대응</t>
        </is>
      </c>
      <c r="D6" s="17" t="inlineStr">
        <is>
          <t>부분대응</t>
        </is>
      </c>
      <c r="E6" s="17" t="inlineStr">
        <is>
          <t>GAP(대응지표 없음)</t>
        </is>
      </c>
      <c r="F6" s="17" t="inlineStr">
        <is>
          <t>항목수 합계</t>
        </is>
      </c>
      <c r="G6" s="17" t="inlineStr">
        <is>
          <t>완전대응율</t>
        </is>
      </c>
    </row>
    <row r="7">
      <c r="A7" s="18" t="n"/>
      <c r="B7" s="18" t="inlineStr">
        <is>
          <t>사회(S)</t>
        </is>
      </c>
      <c r="C7" s="18">
        <f>COUNTIFS('01_ESG통합진단마스터'!$P$3:$P$36,"완전대응")</f>
        <v/>
      </c>
      <c r="D7" s="18">
        <f>COUNTIFS('01_ESG통합진단마스터'!$P$3:$P$36,"부분대응")</f>
        <v/>
      </c>
      <c r="E7" s="18">
        <f>COUNTIFS('01_ESG통합진단마스터'!$P$3:$P$36,"GAP(대응지표 없음)")</f>
        <v/>
      </c>
      <c r="F7" s="18">
        <f>C7+D7+E7</f>
        <v/>
      </c>
      <c r="G7" s="19">
        <f>IFERROR(C7/F7,0)</f>
        <v/>
      </c>
    </row>
    <row r="8">
      <c r="A8" s="18" t="n"/>
      <c r="B8" s="20" t="inlineStr">
        <is>
          <t>전체(S(사회))</t>
        </is>
      </c>
      <c r="C8" s="20">
        <f>SUM(C7:C7)</f>
        <v/>
      </c>
      <c r="D8" s="20">
        <f>SUM(D7:D7)</f>
        <v/>
      </c>
      <c r="E8" s="20">
        <f>SUM(E7:E7)</f>
        <v/>
      </c>
      <c r="F8" s="20">
        <f>SUM(F7:F7)</f>
        <v/>
      </c>
      <c r="G8" s="21">
        <f>IFERROR(C8/F8,0)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G25"/>
  <sheetViews>
    <sheetView workbookViewId="0">
      <selection activeCell="A1" sqref="A1"/>
    </sheetView>
  </sheetViews>
  <sheetFormatPr baseColWidth="8" defaultRowHeight="15"/>
  <cols>
    <col width="3" customWidth="1" min="1" max="1"/>
    <col width="30" customWidth="1" min="2" max="2"/>
    <col width="12" customWidth="1" min="3" max="3"/>
    <col width="14" customWidth="1" min="4" max="4"/>
    <col width="16" customWidth="1" min="5" max="5"/>
    <col width="14" customWidth="1" min="6" max="6"/>
    <col width="14" customWidth="1" min="7" max="7"/>
  </cols>
  <sheetData>
    <row r="2">
      <c r="B2" s="15" t="inlineStr">
        <is>
          <t>ESG 통합진단 요약 대시보드 (분리본: S(사회))</t>
        </is>
      </c>
    </row>
    <row r="3">
      <c r="B3" s="1" t="inlineStr">
        <is>
          <t>01_ESG통합진단마스터 시트의 입력값에 실시간 연동되는 수식입니다 (해당 시트에 점수를 입력하면 아래 표가 자동 갱신됩니다)</t>
        </is>
      </c>
    </row>
    <row r="5">
      <c r="B5" s="22" t="inlineStr">
        <is>
          <t>1. 진단 완료 현황</t>
        </is>
      </c>
    </row>
    <row r="6">
      <c r="B6" t="inlineStr">
        <is>
          <t>전체 진단항목 수</t>
        </is>
      </c>
      <c r="C6">
        <f>COUNTA('01_ESG통합진단마스터'!$B$3:$B$36)</f>
        <v/>
      </c>
    </row>
    <row r="7">
      <c r="B7" t="inlineStr">
        <is>
          <t>점수 입력 완료 항목 수</t>
        </is>
      </c>
      <c r="C7">
        <f>COUNT('01_ESG통합진단마스터'!$X$3:$X$36)</f>
        <v/>
      </c>
    </row>
    <row r="8">
      <c r="B8" t="inlineStr">
        <is>
          <t>입력 완료율</t>
        </is>
      </c>
      <c r="C8" s="23">
        <f>IFERROR(C7/C6,0)</f>
        <v/>
      </c>
    </row>
    <row r="10">
      <c r="B10" s="22" t="inlineStr">
        <is>
          <t>2. 영역별 평균 점수 (S(사회) 기준, 동일가중 단순평균 — 각 항목 100점 기준)</t>
        </is>
      </c>
    </row>
    <row r="11">
      <c r="A11" s="16" t="n"/>
      <c r="B11" s="17" t="inlineStr">
        <is>
          <t>영역</t>
        </is>
      </c>
      <c r="C11" s="17" t="inlineStr">
        <is>
          <t>항목 수</t>
        </is>
      </c>
      <c r="D11" s="17" t="inlineStr">
        <is>
          <t>점수입력 완료수</t>
        </is>
      </c>
      <c r="E11" s="17" t="inlineStr">
        <is>
          <t>평균점수(100점 환산)</t>
        </is>
      </c>
      <c r="F11" s="17" t="inlineStr">
        <is>
          <t>완전대응(KSSB)</t>
        </is>
      </c>
      <c r="G11" s="17" t="inlineStr">
        <is>
          <t>GAP(KSSB)</t>
        </is>
      </c>
    </row>
    <row r="12">
      <c r="A12" s="18" t="n"/>
      <c r="B12" s="18" t="inlineStr">
        <is>
          <t>사회(S)</t>
        </is>
      </c>
      <c r="C12" s="18">
        <f>COUNTIFS('01_ESG통합진단마스터'!$D$3:$D$36,"사회")</f>
        <v/>
      </c>
      <c r="D12" s="18">
        <f>SUMPRODUCT(('01_ESG통합진단마스터'!$D$3:$D$36="사회")*ISNUMBER('01_ESG통합진단마스터'!$X$3:$X$36))</f>
        <v/>
      </c>
      <c r="E12" s="18">
        <f>IFERROR(AVERAGEIFS('01_ESG통합진단마스터'!$X$3:$X$36,'01_ESG통합진단마스터'!$D$3:$D$36,"사회"),"미입력")</f>
        <v/>
      </c>
      <c r="F12" s="18">
        <f>COUNTIFS('01_ESG통합진단마스터'!$D$3:$D$36,"사회",'01_ESG통합진단마스터'!$P$3:$P$36,"완전대응")</f>
        <v/>
      </c>
      <c r="G12" s="18">
        <f>COUNTIFS('01_ESG통합진단마스터'!$D$3:$D$36,"사회",'01_ESG통합진단마스터'!$P$3:$P$36,"GAP(대응지표 없음)")</f>
        <v/>
      </c>
    </row>
    <row r="13">
      <c r="A13" s="18" t="n"/>
      <c r="B13" s="20" t="inlineStr">
        <is>
          <t>전체(종합)</t>
        </is>
      </c>
      <c r="C13" s="20">
        <f>SUM(C12:C12)</f>
        <v/>
      </c>
      <c r="D13" s="20">
        <f>SUM(D12:D12)</f>
        <v/>
      </c>
      <c r="E13" s="20">
        <f>IFERROR(AVERAGE('01_ESG통합진단마스터'!$X$3:$X$36),"미입력")</f>
        <v/>
      </c>
      <c r="F13" s="20">
        <f>SUM(F12:F12)</f>
        <v/>
      </c>
      <c r="G13" s="20">
        <f>SUM(G12:G12)</f>
        <v/>
      </c>
    </row>
    <row r="16">
      <c r="B16" s="22" t="inlineStr">
        <is>
          <t>3. 적용구분별 항목 수 (기본/추가/업종특화)</t>
        </is>
      </c>
    </row>
    <row r="17">
      <c r="A17" s="16" t="n"/>
      <c r="B17" s="17" t="inlineStr">
        <is>
          <t>적용구분</t>
        </is>
      </c>
      <c r="C17" s="17" t="inlineStr">
        <is>
          <t>항목 수</t>
        </is>
      </c>
      <c r="D17" s="17" t="inlineStr">
        <is>
          <t>점수입력 완료수</t>
        </is>
      </c>
      <c r="E17" s="17" t="inlineStr">
        <is>
          <t>평균점수</t>
        </is>
      </c>
    </row>
    <row r="18">
      <c r="A18" s="18" t="n"/>
      <c r="B18" s="18" t="inlineStr">
        <is>
          <t>기본진단항목(v2.0)</t>
        </is>
      </c>
      <c r="C18" s="18">
        <f>COUNTIF('01_ESG통합진단마스터'!$C$3:$C$36,"기본진단항목(v2.0)")</f>
        <v/>
      </c>
      <c r="D18" s="18">
        <f>SUMPRODUCT(('01_ESG통합진단마스터'!$C$3:$C$36="기본진단항목(v2.0)")*ISNUMBER('01_ESG통합진단마스터'!$X$3:$X$36))</f>
        <v/>
      </c>
      <c r="E18" s="18">
        <f>IFERROR(AVERAGEIFS('01_ESG통합진단마스터'!$X$3:$X$36,'01_ESG통합진단마스터'!$C$3:$C$36,"기본진단항목(v2.0)"),"미입력")</f>
        <v/>
      </c>
    </row>
    <row r="19">
      <c r="A19" s="18" t="n"/>
      <c r="B19" s="18" t="inlineStr">
        <is>
          <t>추가진단항목(v2.0)</t>
        </is>
      </c>
      <c r="C19" s="18">
        <f>COUNTIF('01_ESG통합진단마스터'!$C$3:$C$36,"추가진단항목(v2.0)")</f>
        <v/>
      </c>
      <c r="D19" s="18">
        <f>SUMPRODUCT(('01_ESG통합진단마스터'!$C$3:$C$36="추가진단항목(v2.0)")*ISNUMBER('01_ESG통합진단마스터'!$X$3:$X$36))</f>
        <v/>
      </c>
      <c r="E19" s="18">
        <f>IFERROR(AVERAGEIFS('01_ESG통합진단마스터'!$X$3:$X$36,'01_ESG통합진단마스터'!$C$3:$C$36,"추가진단항목(v2.0)"),"미입력")</f>
        <v/>
      </c>
    </row>
    <row r="20">
      <c r="A20" s="18" t="n"/>
      <c r="B20" s="18" t="inlineStr">
        <is>
          <t>업종특화(반도체 v1.0)</t>
        </is>
      </c>
      <c r="C20" s="18">
        <f>COUNTIF('01_ESG통합진단마스터'!$C$3:$C$36,"업종특화(반도체 v1.0)")</f>
        <v/>
      </c>
      <c r="D20" s="18">
        <f>SUMPRODUCT(('01_ESG통합진단마스터'!$C$3:$C$36="업종특화(반도체 v1.0)")*ISNUMBER('01_ESG통합진단마스터'!$X$3:$X$36))</f>
        <v/>
      </c>
      <c r="E20" s="18">
        <f>IFERROR(AVERAGEIFS('01_ESG통합진단마스터'!$X$3:$X$36,'01_ESG통합진단마스터'!$C$3:$C$36,"업종특화(반도체 v1.0)"),"미입력")</f>
        <v/>
      </c>
    </row>
    <row r="23">
      <c r="B23" s="22" t="inlineStr">
        <is>
          <t>4. 참고</t>
        </is>
      </c>
    </row>
    <row r="24">
      <c r="B24" t="inlineStr">
        <is>
          <t>평균점수는 각 영역 내 모든 항목에 동일 가중치(1/N)를 부여한 단순평균이며, 점수 미입력 항목은 제외하고 계산합니다.</t>
        </is>
      </c>
    </row>
    <row r="25">
      <c r="B25" t="inlineStr">
        <is>
          <t>본 파일은 「ESG_핵심지표_채점기준표_전체」에서 S(사회) 기준으로 분리된 작업본입니다.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2026-08-31T12:06:20Z</dcterms:created>
  <dcterms:modified xsi:type="dcterms:W3CDTF">2026-09-03T08:01:55Z</dcterms:modified>
</cp:coreProperties>
</file>