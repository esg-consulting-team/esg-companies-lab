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1" activeTab="1" autoFilterDateGrouping="1"/>
  </bookViews>
  <sheets>
    <sheet name="00_사용안내" sheetId="1" state="visible" r:id="rId1"/>
    <sheet name="01_ESG통합진단마스터" sheetId="2" state="visible" r:id="rId2"/>
    <sheet name="02_점수산정참고표" sheetId="3" state="visible" r:id="rId3"/>
    <sheet name="03_지배구조세부점검(KRX)" sheetId="4" state="visible" r:id="rId4"/>
    <sheet name="04_KSSB갭분석" sheetId="5" state="visible" r:id="rId5"/>
    <sheet name="05_요약대시보드" sheetId="6" state="visible" r:id="rId6"/>
  </sheets>
  <definedNames/>
  <calcPr calcId="191029" fullCalcOnLoad="1" iterateDelta="0.0001"/>
</workbook>
</file>

<file path=xl/styles.xml><?xml version="1.0" encoding="utf-8"?>
<styleSheet xmlns="http://schemas.openxmlformats.org/spreadsheetml/2006/main">
  <numFmts count="1">
    <numFmt numFmtId="164" formatCode="0.0"/>
  </numFmts>
  <fonts count="29">
    <font>
      <name val="Calibri"/>
      <charset val="1"/>
      <family val="2"/>
      <color theme="1"/>
      <sz val="11"/>
    </font>
    <font>
      <name val="Arial"/>
      <family val="2"/>
      <sz val="10"/>
    </font>
    <font>
      <name val="Arial"/>
      <family val="2"/>
      <b val="1"/>
      <color rgb="FF1F4E78"/>
      <sz val="20"/>
    </font>
    <font>
      <name val="Noto Sans CJK SC"/>
      <family val="2"/>
      <b val="1"/>
      <color rgb="FF1F4E78"/>
      <sz val="20"/>
    </font>
    <font>
      <name val="Arial"/>
      <family val="2"/>
      <i val="1"/>
      <color rgb="FF555555"/>
      <sz val="11"/>
    </font>
    <font>
      <name val="Noto Sans CJK SC"/>
      <family val="2"/>
      <i val="1"/>
      <color rgb="FF555555"/>
      <sz val="11"/>
    </font>
    <font>
      <name val="Arial"/>
      <family val="2"/>
      <b val="1"/>
      <color rgb="FF1F4E78"/>
      <sz val="12"/>
    </font>
    <font>
      <name val="Noto Sans CJK SC"/>
      <family val="2"/>
      <b val="1"/>
      <color rgb="FF1F4E78"/>
      <sz val="12"/>
    </font>
    <font>
      <name val="Noto Sans CJK SC"/>
      <family val="2"/>
      <sz val="9.5"/>
    </font>
    <font>
      <name val="Arial"/>
      <family val="2"/>
      <sz val="9.5"/>
    </font>
    <font>
      <name val="Noto Sans CJK SC"/>
      <charset val="1"/>
      <family val="2"/>
      <sz val="9.5"/>
    </font>
    <font>
      <name val="Noto Sans CJK SC"/>
      <charset val="1"/>
      <color rgb="FF777777"/>
      <sz val="9"/>
    </font>
    <font>
      <name val="Noto Sans CJK SC"/>
      <charset val="1"/>
      <family val="2"/>
      <i val="1"/>
      <color rgb="FF777777"/>
      <sz val="9"/>
    </font>
    <font>
      <name val="Arial"/>
      <family val="2"/>
      <b val="1"/>
      <color rgb="FFFFFFFF"/>
      <sz val="9.5"/>
    </font>
    <font>
      <name val="Noto Sans CJK SC"/>
      <charset val="1"/>
      <family val="2"/>
      <b val="1"/>
      <color rgb="FFFFFFFF"/>
      <sz val="9.5"/>
    </font>
    <font>
      <name val="Noto Sans CJK SC"/>
      <family val="2"/>
      <b val="1"/>
      <color rgb="FFFFFFFF"/>
      <sz val="9.5"/>
    </font>
    <font>
      <name val="Noto Sans CJK SC"/>
      <charset val="1"/>
      <family val="2"/>
      <b val="1"/>
      <sz val="9.5"/>
    </font>
    <font>
      <name val="Arial"/>
      <family val="2"/>
      <b val="1"/>
      <color rgb="FF0000FF"/>
      <sz val="9.5"/>
    </font>
    <font>
      <name val="Arial"/>
      <family val="2"/>
      <b val="1"/>
      <color rgb="FF1F4E78"/>
      <sz val="10"/>
    </font>
    <font>
      <name val="Noto Sans CJK SC"/>
      <family val="2"/>
      <sz val="10"/>
    </font>
    <font>
      <name val="Arial"/>
      <family val="2"/>
      <i val="1"/>
      <color rgb="FF777777"/>
      <sz val="9"/>
    </font>
    <font>
      <name val="Noto Sans CJK SC"/>
      <family val="2"/>
      <i val="1"/>
      <color rgb="FF777777"/>
      <sz val="9"/>
    </font>
    <font>
      <name val="Arial"/>
      <family val="2"/>
      <b val="1"/>
      <color rgb="FF1F4E78"/>
      <sz val="16"/>
    </font>
    <font>
      <name val="Noto Sans CJK SC"/>
      <family val="2"/>
      <b val="1"/>
      <color rgb="FF1F4E78"/>
      <sz val="16"/>
    </font>
    <font>
      <name val="Noto Sans CJK SC"/>
      <charset val="1"/>
      <i val="1"/>
      <color rgb="FFC00000"/>
      <sz val="9"/>
    </font>
    <font>
      <name val="Arial"/>
      <family val="2"/>
      <b val="1"/>
      <sz val="9.5"/>
    </font>
    <font>
      <name val="돋움"/>
      <charset val="129"/>
      <family val="3"/>
      <sz val="8"/>
    </font>
    <font>
      <name val="맑은 고딕"/>
      <charset val="129"/>
      <family val="3"/>
      <sz val="9.5"/>
    </font>
    <font>
      <name val="Noto Sans CJK SC"/>
      <charset val="129"/>
      <family val="3"/>
      <sz val="9.5"/>
    </font>
  </fonts>
  <fills count="13">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C6EFCE"/>
        <bgColor rgb="FFE2EFD9"/>
      </patternFill>
    </fill>
    <fill>
      <patternFill patternType="solid">
        <fgColor rgb="FFD9E6F2"/>
        <bgColor rgb="FFE2EFD9"/>
      </patternFill>
    </fill>
    <fill>
      <patternFill patternType="solid">
        <fgColor rgb="FFFFC7CE"/>
        <bgColor rgb="FFFCE4D6"/>
      </patternFill>
    </fill>
    <fill>
      <patternFill patternType="solid">
        <fgColor rgb="FFE2EFD9"/>
        <bgColor rgb="FFD9E6F2"/>
      </patternFill>
    </fill>
    <fill>
      <patternFill patternType="solid">
        <fgColor rgb="FFFCE4D6"/>
        <bgColor rgb="FFFFF2CC"/>
      </patternFill>
    </fill>
    <fill>
      <patternFill patternType="solid">
        <fgColor rgb="FFD9D9D9"/>
        <bgColor rgb="FFD9E6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2" borderId="1" applyAlignment="1" pivotButton="0" quotePrefix="0" xfId="0">
      <alignment horizontal="center" vertical="top" wrapText="1"/>
    </xf>
    <xf numFmtId="0" fontId="14" fillId="2" borderId="1" applyAlignment="1" pivotButton="0" quotePrefix="0" xfId="0">
      <alignment horizontal="center" vertical="top" wrapText="1"/>
    </xf>
    <xf numFmtId="0" fontId="14" fillId="2" borderId="0" applyAlignment="1" pivotButton="0" quotePrefix="0" xfId="0">
      <alignment horizontal="center" vertical="top" wrapText="1"/>
    </xf>
    <xf numFmtId="0" fontId="9" fillId="3" borderId="1" applyAlignment="1" pivotButton="0" quotePrefix="0" xfId="0">
      <alignment horizontal="center" vertical="center"/>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16" fillId="4" borderId="1" applyAlignment="1" pivotButton="0" quotePrefix="0" xfId="0">
      <alignment horizontal="center" vertical="top" wrapText="1"/>
    </xf>
    <xf numFmtId="0" fontId="10" fillId="3" borderId="1" applyAlignment="1" pivotButton="0" quotePrefix="0" xfId="0">
      <alignment horizontal="center" vertical="top" wrapText="1"/>
    </xf>
    <xf numFmtId="0" fontId="10" fillId="5" borderId="1" applyAlignment="1" pivotButton="0" quotePrefix="0" xfId="0">
      <alignment horizontal="center" vertical="top" wrapText="1"/>
    </xf>
    <xf numFmtId="0" fontId="17" fillId="6" borderId="1" applyAlignment="1" pivotButton="0" quotePrefix="0" xfId="0">
      <alignment horizontal="center" vertical="center"/>
    </xf>
    <xf numFmtId="0" fontId="17" fillId="3" borderId="1" applyAlignment="1" pivotButton="0" quotePrefix="0" xfId="0">
      <alignment horizontal="center" vertical="center"/>
    </xf>
    <xf numFmtId="1" fontId="18" fillId="3"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1" fontId="18" fillId="0" borderId="1" applyAlignment="1" pivotButton="0" quotePrefix="0" xfId="0">
      <alignment horizontal="center" vertical="center"/>
    </xf>
    <xf numFmtId="0" fontId="10" fillId="7" borderId="1" applyAlignment="1" pivotButton="0" quotePrefix="0" xfId="0">
      <alignment horizontal="center" vertical="top" wrapText="1"/>
    </xf>
    <xf numFmtId="0" fontId="16" fillId="8" borderId="1" applyAlignment="1" pivotButton="0" quotePrefix="0" xfId="0">
      <alignment horizontal="center" vertical="top" wrapText="1"/>
    </xf>
    <xf numFmtId="0" fontId="9" fillId="9" borderId="1" applyAlignment="1" pivotButton="0" quotePrefix="0" xfId="0">
      <alignment horizontal="center" vertical="top" wrapText="1"/>
    </xf>
    <xf numFmtId="0" fontId="12" fillId="3" borderId="1" applyAlignment="1" pivotButton="0" quotePrefix="0" xfId="0">
      <alignment horizontal="center" vertical="center"/>
    </xf>
    <xf numFmtId="1" fontId="17" fillId="6" borderId="1" applyAlignment="1" pivotButton="0" quotePrefix="0" xfId="0">
      <alignment horizontal="center" vertical="center"/>
    </xf>
    <xf numFmtId="0" fontId="16" fillId="10" borderId="1" applyAlignment="1" pivotButton="0" quotePrefix="0" xfId="0">
      <alignment horizontal="center" vertical="top" wrapText="1"/>
    </xf>
    <xf numFmtId="0" fontId="16" fillId="11" borderId="1" applyAlignment="1" pivotButton="0" quotePrefix="0" xfId="0">
      <alignment horizontal="center" vertical="top" wrapText="1"/>
    </xf>
    <xf numFmtId="0" fontId="9" fillId="3" borderId="1" applyAlignment="1" pivotButton="0" quotePrefix="0" xfId="0">
      <alignment horizontal="center" vertical="top" wrapText="1"/>
    </xf>
    <xf numFmtId="0" fontId="17" fillId="6" borderId="1" applyAlignment="1" pivotButton="0" quotePrefix="0" xfId="0">
      <alignment horizontal="left"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0" fontId="20" fillId="0" borderId="0" pivotButton="0" quotePrefix="0" xfId="0"/>
    <xf numFmtId="0" fontId="22" fillId="0" borderId="0" pivotButton="0" quotePrefix="0" xfId="0"/>
    <xf numFmtId="0" fontId="24" fillId="0" borderId="0" pivotButton="0" quotePrefix="0" xfId="0"/>
    <xf numFmtId="0" fontId="14" fillId="2" borderId="1" applyAlignment="1" pivotButton="0" quotePrefix="0" xfId="0">
      <alignment horizontal="center" vertical="center"/>
    </xf>
    <xf numFmtId="0" fontId="13" fillId="2" borderId="1" applyAlignment="1" pivotButton="0" quotePrefix="0" xfId="0">
      <alignment horizontal="center" vertical="center"/>
    </xf>
    <xf numFmtId="0" fontId="16" fillId="4" borderId="1" applyAlignment="1" pivotButton="0" quotePrefix="0" xfId="0">
      <alignment horizontal="center" vertical="center"/>
    </xf>
    <xf numFmtId="9" fontId="9" fillId="0" borderId="1" applyAlignment="1" pivotButton="0" quotePrefix="0" xfId="0">
      <alignment horizontal="center" vertical="center"/>
    </xf>
    <xf numFmtId="0" fontId="16" fillId="8" borderId="1" applyAlignment="1" pivotButton="0" quotePrefix="0" xfId="0">
      <alignment horizontal="center" vertical="center"/>
    </xf>
    <xf numFmtId="0" fontId="16" fillId="10" borderId="1" applyAlignment="1" pivotButton="0" quotePrefix="0" xfId="0">
      <alignment horizontal="center" vertical="center"/>
    </xf>
    <xf numFmtId="0" fontId="16" fillId="11" borderId="1" applyAlignment="1" pivotButton="0" quotePrefix="0" xfId="0">
      <alignment horizontal="center" vertical="center"/>
    </xf>
    <xf numFmtId="0" fontId="16" fillId="12" borderId="1" applyAlignment="1" pivotButton="0" quotePrefix="0" xfId="0">
      <alignment horizontal="center" vertical="center"/>
    </xf>
    <xf numFmtId="9" fontId="25" fillId="12" borderId="1" applyAlignment="1" pivotButton="0" quotePrefix="0" xfId="0">
      <alignment horizontal="center" vertical="center"/>
    </xf>
    <xf numFmtId="0" fontId="25" fillId="0" borderId="0" pivotButton="0" quotePrefix="0" xfId="0"/>
    <xf numFmtId="9" fontId="25" fillId="0" borderId="0" pivotButton="0" quotePrefix="0" xfId="0"/>
    <xf numFmtId="164" fontId="9" fillId="0" borderId="1" applyAlignment="1" pivotButton="0" quotePrefix="0" xfId="0">
      <alignment horizontal="center" vertical="center"/>
    </xf>
    <xf numFmtId="164" fontId="25" fillId="12" borderId="1" applyAlignment="1" pivotButton="0" quotePrefix="0" xfId="0">
      <alignment horizontal="center" vertical="center"/>
    </xf>
    <xf numFmtId="0" fontId="10" fillId="0" borderId="1" applyAlignment="1" pivotButton="0" quotePrefix="0" xfId="0">
      <alignment horizontal="center" vertical="center"/>
    </xf>
    <xf numFmtId="0" fontId="28" fillId="3" borderId="1" applyAlignment="1" pivotButton="0" quotePrefix="0" xfId="0">
      <alignment horizontal="left" vertical="top" wrapText="1"/>
    </xf>
    <xf numFmtId="164" fontId="9" fillId="0" borderId="1" applyAlignment="1" pivotButton="0" quotePrefix="0" xfId="0">
      <alignment horizontal="center" vertical="center"/>
    </xf>
    <xf numFmtId="164" fontId="25" fillId="12" borderId="1" applyAlignment="1" pivotButton="0" quotePrefix="0" xfId="0">
      <alignment horizontal="center" vertical="center"/>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800000"/>
      <rgbColor rgb="FF008000"/>
      <rgbColor rgb="FF000080"/>
      <rgbColor rgb="FF548235"/>
      <rgbColor rgb="FF800080"/>
      <rgbColor rgb="FF008080"/>
      <rgbColor rgb="FFBFBFBF"/>
      <rgbColor rgb="FF777777"/>
      <rgbColor rgb="FF9999FF"/>
      <rgbColor rgb="FF993366"/>
      <rgbColor rgb="FFFFFDE7"/>
      <rgbColor rgb="FFD9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9"/>
      <rgbColor rgb="FFC6EFCE"/>
      <rgbColor rgb="FFFFEB9C"/>
      <rgbColor rgb="FFF5F8FC"/>
      <rgbColor rgb="FFFCE4D6"/>
      <rgbColor rgb="FFCC99FF"/>
      <rgbColor rgb="FFFFC7CE"/>
      <rgbColor rgb="FF2E75B6"/>
      <rgbColor rgb="FF33CCCC"/>
      <rgbColor rgb="FF99CC00"/>
      <rgbColor rgb="FFFFCC00"/>
      <rgbColor rgb="FFFF9900"/>
      <rgbColor rgb="FFED7D31"/>
      <rgbColor rgb="FF555555"/>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Unknown Author</author>
  </authors>
  <commentList>
    <comment ref="X12" authorId="0" shapeId="0">
      <text>
        <t>복합가중형 항목: 점검기준 상세를 참고해 0~100 사이 점수를 직접 입력하세요.</t>
      </text>
    </comment>
    <comment ref="X25" authorId="0" shapeId="0">
      <text>
        <t>복합가중형 항목: 점검기준 상세를 참고해 0~100 사이 점수를 직접 입력하세요.</t>
      </text>
    </comment>
    <comment ref="X28" authorId="0" shapeId="0">
      <text>
        <t>복합가중형 항목: 점검기준 상세를 참고해 0~100 사이 점수를 직접 입력하세요.</t>
      </text>
    </comment>
    <comment ref="X33" authorId="0" shapeId="0">
      <text>
        <t>복합가중형 항목: 점검기준 상세를 참고해 0~100 사이 점수를 직접 입력하세요.</t>
      </text>
    </comment>
    <comment ref="X54" authorId="0" shapeId="0">
      <text>
        <t>복합가중형 항목: 점검기준 상세를 참고해 0~100 사이 점수를 직접 입력하세요.</t>
      </text>
    </comment>
    <comment ref="X65" authorId="0" shapeId="0">
      <text>
        <t>복합가중형 항목: 점검기준 상세를 참고해 0~100 사이 점수를 직접 입력하세요.</t>
      </text>
    </comment>
    <comment ref="X74" authorId="0" shapeId="0">
      <text>
        <t>복합가중형 항목: 점검기준 상세를 참고해 0~100 사이 점수를 직접 입력하세요.</t>
      </text>
    </comment>
    <comment ref="X75" authorId="0" shapeId="0">
      <text>
        <t>복합가중형 항목: 점검기준 상세를 참고해 0~100 사이 점수를 직접 입력하세요.</t>
      </text>
    </comment>
    <comment ref="X77" authorId="0" shapeId="0">
      <text>
        <t>복합가중형 항목: 점검기준 상세를 참고해 0~100 사이 점수를 직접 입력하세요.</t>
      </text>
    </comment>
    <comment ref="X81" authorId="0" shapeId="0">
      <text>
        <t>복합가중형 항목: 점검기준 상세를 참고해 0~100 사이 점수를 직접 입력하세요.</t>
      </text>
    </comment>
    <comment ref="X82" authorId="0" shapeId="0">
      <text>
        <t>복합가중형 항목: 점검기준 상세를 참고해 0~100 사이 점수를 직접 입력하세요.</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4E78"/>
    <outlinePr summaryBelow="1" summaryRight="1"/>
    <pageSetUpPr/>
  </sheetPr>
  <dimension ref="B2:B61"/>
  <sheetViews>
    <sheetView showGridLines="0" zoomScaleNormal="100" workbookViewId="0">
      <selection activeCell="A1" sqref="A1"/>
    </sheetView>
  </sheetViews>
  <sheetFormatPr baseColWidth="8" defaultColWidth="8.6640625" defaultRowHeight="14.4"/>
  <cols>
    <col width="3" customWidth="1" min="1" max="1"/>
    <col width="100" customWidth="1" min="2" max="2"/>
  </cols>
  <sheetData>
    <row r="2" ht="39.75" customHeight="1">
      <c r="B2" s="1" t="inlineStr">
        <is>
          <t>ESG 핵심지표 채점 기준표</t>
        </is>
      </c>
    </row>
    <row r="3" ht="16.5" customHeight="1">
      <c r="B3" s="2" t="inlineStr">
        <is>
          <t>K-ESG 가이드라인 v2.0 기반 통합 채점 도구</t>
        </is>
      </c>
    </row>
    <row r="5" ht="18.75" customHeight="1">
      <c r="B5" s="3" t="inlineStr">
        <is>
          <t>1. 목적</t>
        </is>
      </c>
    </row>
    <row r="6" ht="15.75" customHeight="1">
      <c r="B6" s="4" t="inlineStr">
        <is>
          <t>기업의 ESG 현황을 공식 가이드라인 기준으로 정량 진단·채점하고, KSSB 공시기준 대비 GAP을 분석하는 컨설팅용 도구입니다.</t>
        </is>
      </c>
    </row>
    <row r="7" ht="15.75" customHeight="1">
      <c r="B7" s="5" t="n"/>
    </row>
    <row r="8" ht="15.75" customHeight="1">
      <c r="B8" s="6" t="inlineStr">
        <is>
          <t>2. 적용 기준 (공식 출처)</t>
        </is>
      </c>
    </row>
    <row r="9" ht="15" customHeight="1">
      <c r="B9" s="7" t="inlineStr">
        <is>
          <t>· 기본 69 + 추가 16개(85개) 배점: K-ESG 가이드라인 v2.0 (산업통상자원부·한국생산성본부, 2024.12)</t>
        </is>
      </c>
    </row>
    <row r="10" ht="18.75" customHeight="1">
      <c r="B10" s="7" t="inlineStr">
        <is>
          <t>· 반도체 특화 6개: 업종별 K-ESG 가이드라인(반도체, 2023.12) — v2.0 기본체계에 보완지표로 적용</t>
        </is>
      </c>
    </row>
    <row r="11" ht="15.75" customHeight="1">
      <c r="B11" s="8" t="inlineStr">
        <is>
          <t>· 지배구조 세부지표(129개, 03번 시트): 한국거래소 기업지배구조보고서 가이드라인(2025.2 개정본)</t>
        </is>
      </c>
    </row>
    <row r="12" ht="15.75" customHeight="1">
      <c r="B12" s="8" t="inlineStr">
        <is>
          <t>· 공시 GAP 분석(04번 시트): KSSB(한국회계기준원 산하) 지속가능성 공시기준서 제1호·제2호(2026.2.26 최종 제정)</t>
        </is>
      </c>
    </row>
    <row r="13" ht="15.75" customHeight="1">
      <c r="B13" s="6" t="n"/>
    </row>
    <row r="14" ht="15.75" customHeight="1">
      <c r="B14" s="6" t="inlineStr">
        <is>
          <t>3. 점수 체계</t>
        </is>
      </c>
    </row>
    <row r="15" ht="15.75" customHeight="1">
      <c r="B15" s="8" t="inlineStr">
        <is>
          <t>· 채점 유형 구성: 단계형·선택형 74개 / 복합가중형 11개 / 감점형 6개 (총 91개)</t>
        </is>
      </c>
    </row>
    <row r="16" ht="15.75" customHeight="1">
      <c r="B16" s="8" t="inlineStr">
        <is>
          <t>· 단계형/선택형: 단계 수에 따라 0~100점 균등 배분 (원문 그대로)</t>
        </is>
      </c>
    </row>
    <row r="17" ht="15.75" customHeight="1">
      <c r="B17" s="8" t="inlineStr">
        <is>
          <t>· 감점형(6개): 기준 100점에서 위반유형별 차감(-50/-30/-10점, 중복 합산), 최저 0점</t>
        </is>
      </c>
    </row>
    <row r="18" ht="15.75" customHeight="1">
      <c r="B18" s="8" t="inlineStr">
        <is>
          <t>· 복합가중형(11개): 세부요소 균등가중평균 — X열에 자사취득점수 수동 입력</t>
        </is>
      </c>
    </row>
    <row r="19" ht="15.75" customHeight="1">
      <c r="B19" s="8" t="inlineStr">
        <is>
          <t>· 가중치: 항목당 동일가중(1/N) 적용 — K-ESG v2.0은 별도 기본 가중치를 규정하지 않으며, 동일가중은</t>
        </is>
      </c>
    </row>
    <row r="20" ht="15" customHeight="1">
      <c r="B20" s="9" t="inlineStr">
        <is>
          <t xml:space="preserve">   원문이 허용하는 채택 가능 방식 중 하나입니다.</t>
        </is>
      </c>
    </row>
    <row r="21" ht="18.75" customHeight="1">
      <c r="B21" s="10" t="n"/>
    </row>
    <row r="22" ht="15.75" customHeight="1">
      <c r="B22" s="6" t="inlineStr">
        <is>
          <t>4. KSSB 대비 GAP 분석</t>
        </is>
      </c>
    </row>
    <row r="23" ht="15.75" customHeight="1">
      <c r="B23" s="8" t="inlineStr">
        <is>
          <t>K-ESG 항목과 KSSB 제1호·제2호 공시기준서를 대조해 완전대응/부분대응/GAP 여부를 항목별로 표기했습니다.</t>
        </is>
      </c>
    </row>
    <row r="24" ht="15.75" customHeight="1">
      <c r="B24" s="4" t="inlineStr">
        <is>
          <t>대응 지표가 없는 9건은 04번 시트에 정리했으며, KSSB 외 GRI·TNFD·한국거래소 기준도 일부 포함됩니다.</t>
        </is>
      </c>
    </row>
    <row r="25" ht="15.75" customHeight="1">
      <c r="B25" s="4" t="n"/>
    </row>
    <row r="26" ht="15.75" customHeight="1">
      <c r="B26" s="6" t="inlineStr">
        <is>
          <t>5. 사용 방법</t>
        </is>
      </c>
    </row>
    <row r="27" ht="15.75" customHeight="1">
      <c r="B27" s="8" t="inlineStr">
        <is>
          <t>① 01번 시트 파란 글씨(입력 셀)에 자사 현황 입력: T열(단계) · U~W열(위반유형) · X열(복합가중형 수동점수)</t>
        </is>
      </c>
    </row>
    <row r="28" ht="15.75" customHeight="1">
      <c r="B28" s="8" t="inlineStr">
        <is>
          <t>② X열 점수가 자동 계산되며, AA열의 실사 진단 질문으로 현장 확인·자료요청을 진행하세요.</t>
        </is>
      </c>
    </row>
    <row r="29" ht="15.75" customHeight="1">
      <c r="B29" s="8" t="inlineStr">
        <is>
          <t>③ 05번 시트에서 영역별(E/S/G/P) 평균 점수, KSSB 대응 현황, 입력 완료율을 확인하세요.</t>
        </is>
      </c>
    </row>
    <row r="30" ht="15.75" customHeight="1">
      <c r="B30" s="4" t="inlineStr">
        <is>
          <t>④ 본 워크북은 컨설팅 참고용 자가진단 도구이며, 공식 K-ESG 인증·평가 결과를 대체하지 않습니다.</t>
        </is>
      </c>
    </row>
    <row r="31" ht="15.75" customHeight="1">
      <c r="B31" s="5" t="n"/>
    </row>
    <row r="33" ht="18.75" customHeight="1">
      <c r="B33" s="11" t="inlineStr">
        <is>
          <t>문서 구성: 00_사용안내 · 01_ESG통합진단마스터 · 02_점수산정참고표 · 03_지배구조세부점검(KRX) · 04_KSSB갭분석 · 05_요약대시보드</t>
        </is>
      </c>
    </row>
    <row r="34" ht="15.75" customHeight="1">
      <c r="B34" s="5" t="n"/>
    </row>
    <row r="35" ht="15.75" customHeight="1">
      <c r="B35" s="5" t="n"/>
    </row>
    <row r="36" ht="15.75" customHeight="1">
      <c r="B36" s="5" t="n"/>
    </row>
    <row r="37" ht="15.75" customHeight="1">
      <c r="B37" s="5" t="n"/>
    </row>
    <row r="38" ht="15.75" customHeight="1">
      <c r="B38" s="5" t="n"/>
    </row>
    <row r="39" ht="15.75" customHeight="1">
      <c r="B39" s="5" t="n"/>
    </row>
    <row r="41" ht="18.75" customHeight="1">
      <c r="B41" s="3" t="n"/>
    </row>
    <row r="42" ht="15.75" customHeight="1">
      <c r="B42" s="5" t="n"/>
    </row>
    <row r="43" ht="15.75" customHeight="1">
      <c r="B43" s="5" t="n"/>
    </row>
    <row r="44" ht="15.75" customHeight="1">
      <c r="B44" s="5" t="n"/>
    </row>
    <row r="45" ht="15.75" customHeight="1">
      <c r="B45" s="5" t="n"/>
    </row>
    <row r="46" ht="15.75" customHeight="1">
      <c r="B46" s="5" t="n"/>
    </row>
    <row r="47" ht="15.75" customHeight="1">
      <c r="B47" s="5" t="n"/>
    </row>
    <row r="48" ht="15.75" customHeight="1">
      <c r="B48" s="5" t="n"/>
    </row>
    <row r="49" ht="15" customHeight="1">
      <c r="B49" s="10" t="n"/>
    </row>
    <row r="50" ht="15" customHeight="1">
      <c r="B50" s="10" t="n"/>
    </row>
    <row r="51" ht="15" customHeight="1"/>
    <row r="52" ht="18.75" customHeight="1">
      <c r="B52" s="3" t="n"/>
    </row>
    <row r="53" ht="15" customHeight="1">
      <c r="B53" s="10" t="n"/>
    </row>
    <row r="54" ht="15" customHeight="1">
      <c r="B54" s="10" t="n"/>
    </row>
    <row r="55" ht="15" customHeight="1">
      <c r="B55" s="10" t="n"/>
    </row>
    <row r="56" ht="15" customHeight="1">
      <c r="B56" s="10" t="n"/>
    </row>
    <row r="57" ht="15" customHeight="1">
      <c r="B57" s="10" t="n"/>
    </row>
    <row r="58" ht="15" customHeight="1">
      <c r="B58" s="10" t="n"/>
    </row>
    <row r="61" ht="15" customHeight="1">
      <c r="B61" s="12"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E75B6"/>
    <outlinePr summaryBelow="1" summaryRight="1"/>
    <pageSetUpPr/>
  </sheetPr>
  <dimension ref="A1:AB92"/>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E8" sqref="E8"/>
    </sheetView>
  </sheetViews>
  <sheetFormatPr baseColWidth="8" defaultColWidth="8.6640625" defaultRowHeight="14.4"/>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3"/>
    <col width="12" customWidth="1" min="24" max="24"/>
    <col width="34" customWidth="1" min="25" max="25"/>
    <col width="14" customWidth="1" min="26" max="26"/>
    <col width="42" customWidth="1" min="27" max="27"/>
    <col width="18" customWidth="1" min="28" max="28"/>
    <col width="30" customWidth="1" min="29" max="29"/>
  </cols>
  <sheetData>
    <row r="1" ht="45.75" customHeight="1">
      <c r="A1" s="13" t="inlineStr">
        <is>
          <t>No</t>
        </is>
      </c>
      <c r="B1" s="14" t="inlineStr">
        <is>
          <t>분류코드</t>
        </is>
      </c>
      <c r="C1" s="14" t="inlineStr">
        <is>
          <t>적용구분</t>
        </is>
      </c>
      <c r="D1" s="14" t="inlineStr">
        <is>
          <t>영역</t>
        </is>
      </c>
      <c r="E1" s="14" t="inlineStr">
        <is>
          <t>범주</t>
        </is>
      </c>
      <c r="F1" s="14" t="inlineStr">
        <is>
          <t>진단항목명</t>
        </is>
      </c>
      <c r="G1" s="14" t="inlineStr">
        <is>
          <t>항목설명</t>
        </is>
      </c>
      <c r="H1" s="14" t="inlineStr">
        <is>
          <t>데이터원천(수집처)</t>
        </is>
      </c>
      <c r="I1" s="14" t="inlineStr">
        <is>
          <t>데이터기간</t>
        </is>
      </c>
      <c r="J1" s="14" t="inlineStr">
        <is>
          <t>데이터범위</t>
        </is>
      </c>
      <c r="K1" s="14" t="inlineStr">
        <is>
          <t>데이터산식(정량화공식)</t>
        </is>
      </c>
      <c r="L1" s="14" t="inlineStr">
        <is>
          <t>채점유형</t>
        </is>
      </c>
      <c r="M1" s="14" t="inlineStr">
        <is>
          <t>최대단계수</t>
        </is>
      </c>
      <c r="N1" s="14" t="inlineStr">
        <is>
          <t>배점구조 요약</t>
        </is>
      </c>
      <c r="O1" s="14" t="inlineStr">
        <is>
          <t>점검기준 상세(K-ESG v2.0 원문)</t>
        </is>
      </c>
      <c r="P1" s="13" t="inlineStr">
        <is>
          <t>KSSB 대응현황</t>
        </is>
      </c>
      <c r="Q1" s="13" t="inlineStr">
        <is>
          <t>KSSB 참고근거</t>
        </is>
      </c>
      <c r="R1" s="14" t="inlineStr">
        <is>
          <t>기타 참고기준(GRI/SASB/TCFD/KCGS 등)</t>
        </is>
      </c>
      <c r="S1" s="14" t="inlineStr">
        <is>
          <t>원본 출처파일</t>
        </is>
      </c>
      <c r="T1" s="13" t="inlineStr">
        <is>
          <t>[입력]충족단계/요건수</t>
        </is>
      </c>
      <c r="U1" s="13" t="inlineStr">
        <is>
          <t>[입력]위반유형1</t>
        </is>
      </c>
      <c r="V1" s="13" t="inlineStr">
        <is>
          <t>[입력]위반유형2</t>
        </is>
      </c>
      <c r="W1" s="13" t="inlineStr">
        <is>
          <t>[입력]위반유형3</t>
        </is>
      </c>
      <c r="X1" s="14" t="inlineStr">
        <is>
          <t>자사취득점수(0~100)</t>
        </is>
      </c>
      <c r="Y1" s="14" t="inlineStr">
        <is>
          <t>개선 가이드</t>
        </is>
      </c>
      <c r="Z1" s="14" t="inlineStr">
        <is>
          <t>비고</t>
        </is>
      </c>
      <c r="AA1" s="15" t="inlineStr">
        <is>
          <t>실사 진단 질문</t>
        </is>
      </c>
      <c r="AB1" s="15" t="inlineStr">
        <is>
          <t>답변형식</t>
        </is>
      </c>
    </row>
    <row r="2" ht="91.5" customHeight="1">
      <c r="A2" s="16" t="n">
        <v>1</v>
      </c>
      <c r="B2" s="17" t="inlineStr">
        <is>
          <t>P-1-1</t>
        </is>
      </c>
      <c r="C2" s="18" t="inlineStr">
        <is>
          <t>기본진단항목(v2.0)</t>
        </is>
      </c>
      <c r="D2" s="19" t="inlineStr">
        <is>
          <t>정보공시</t>
        </is>
      </c>
      <c r="E2" s="18" t="inlineStr">
        <is>
          <t>정보공시 형식</t>
        </is>
      </c>
      <c r="F2" s="17" t="inlineStr">
        <is>
          <t>ESG 정보공시 방식</t>
        </is>
      </c>
      <c r="G2" s="18" t="inlineStr">
        <is>
          <t> 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is>
      </c>
      <c r="H2" s="18" t="inlineStr">
        <is>
          <t>홈페이지, 지속가능경영보고서, 사업보고서, 기타간행물, 전자공시시스템 上 ‘자율공시’</t>
        </is>
      </c>
      <c r="I2" s="18" t="inlineStr">
        <is>
          <t>직전 회계연도</t>
        </is>
      </c>
      <c r="J2" s="17" t="inlineStr">
        <is>
          <t>N/A</t>
        </is>
      </c>
      <c r="K2" s="17" t="inlineStr">
        <is>
          <t>N/A</t>
        </is>
      </c>
      <c r="L2" s="20" t="inlineStr">
        <is>
          <t>단계형</t>
        </is>
      </c>
      <c r="M2" s="16" t="n">
        <v>5</v>
      </c>
      <c r="N2" s="18" t="inlineStr">
        <is>
          <t>단계형: 1단계=0점 / 2단계=25점 / 3단계=50점 / 4단계=75점 / 5단계=100점</t>
        </is>
      </c>
      <c r="O2" s="17" t="inlineStr">
        <is>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is>
      </c>
      <c r="P2" s="21" t="inlineStr">
        <is>
          <t>부분대응</t>
        </is>
      </c>
      <c r="Q2" s="17" t="inlineStr">
        <is>
          <t>KSSB 제1호 문단 64~70(보고시기·장소), 21~24(연계된 정보)</t>
        </is>
      </c>
      <c r="R2" s="17" t="inlineStr">
        <is>
          <t>GRI 2-3</t>
        </is>
      </c>
      <c r="S2" s="17" t="inlineStr">
        <is>
          <t>1_2_0_업종별 K-ESG 가이드라인(v2.0) 진단항목</t>
        </is>
      </c>
      <c r="T2" s="22" t="n">
        <v>5</v>
      </c>
      <c r="U2" s="23" t="n"/>
      <c r="V2" s="23" t="n"/>
      <c r="W2" s="23" t="n"/>
      <c r="X2" s="24" t="n">
        <v>100</v>
      </c>
      <c r="Y2" s="17" t="inlineStr">
        <is>
          <t> 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 ESG 정보란 중대성 평가(Materiality Test) 결과에 따른 핵심이슈, 또는 조직의 사업운영 과정에서 지속적 관리가 필요한 ESG 이슈별로 ‘전략’, ‘조직’,…</t>
        </is>
      </c>
      <c r="Z2" s="18" t="inlineStr">
        <is>
          <t>[자동채점] | 근거충분성: 충분 | 근거페이지: [2, 11, 13, 25, 43] | 근거: [지배구조보고서] 13p. 당사는 홈페이지(www.skhynix.com), 금융감독원 전자공시시스템(dart.fss.or.kr), 한국거래소 기업공시채널(kind.krx.co.kr) 등 공시 조회 시스템을 통해 기업 정보를 제공하고 있으며(2번째 줄) → 지속가능경영보고서 및 다양한 ESG 관련 정책을 홈페이지에 통합 공시하고 있으며, 이를 금융감독원 전자공시시스템(DART) 등을 통해 공시하여 5단계 요건을 충족함.</t>
        </is>
      </c>
      <c r="AA2" s="25" t="inlineStr">
        <is>
          <t>정보 수요자의 접근성을 고려하여 홈페이지, 지속가능경영보고서 등을 통해 ESG 정보를 통합 공시하고 있습니까?</t>
        </is>
      </c>
      <c r="AB2" s="25" t="inlineStr">
        <is>
          <t>단계(1~5)</t>
        </is>
      </c>
    </row>
    <row r="3" ht="91.5" customHeight="1">
      <c r="A3" s="26" t="n">
        <v>2</v>
      </c>
      <c r="B3" s="27" t="inlineStr">
        <is>
          <t>P-1-2</t>
        </is>
      </c>
      <c r="C3" s="28" t="inlineStr">
        <is>
          <t>기본진단항목(v2.0)</t>
        </is>
      </c>
      <c r="D3" s="19" t="inlineStr">
        <is>
          <t>정보공시</t>
        </is>
      </c>
      <c r="E3" s="28" t="inlineStr">
        <is>
          <t>정보공시 형식</t>
        </is>
      </c>
      <c r="F3" s="27" t="inlineStr">
        <is>
          <t>ESG 정보공시 주기</t>
        </is>
      </c>
      <c r="G3" s="28" t="inlineStr">
        <is>
          <t> 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is>
      </c>
      <c r="H3" s="27" t="inlineStr">
        <is>
          <t>ESG 정보공시 일자, 지속가능경영보고서 발간 주기</t>
        </is>
      </c>
      <c r="I3" s="28" t="inlineStr">
        <is>
          <t>최근 4개년 회계연도 * 3개년 이하 데이터 보유 시 해당 데이터로 추세 산정</t>
        </is>
      </c>
      <c r="J3" s="27" t="inlineStr">
        <is>
          <t>N/A</t>
        </is>
      </c>
      <c r="K3" s="27" t="inlineStr">
        <is>
          <t>N/A</t>
        </is>
      </c>
      <c r="L3" s="29" t="inlineStr">
        <is>
          <t>단계형</t>
        </is>
      </c>
      <c r="M3" s="26" t="n">
        <v>3</v>
      </c>
      <c r="N3" s="28" t="inlineStr">
        <is>
          <t>단계형: 1단계=0점 / 2단계=50점 / 3단계=100점</t>
        </is>
      </c>
      <c r="O3" s="27" t="inlineStr">
        <is>
          <t>1단계 |  ESG 정보공시 주기를 특정할 수 없거나, 명시하고 있지 않는 경우 |  2단계 |  2년 단위로 보고서 발간 및 ESG 정보를 공시하는 경우 |  3단계 |  1년 단위로 보고서 발간 및 ESG 정보를 공시하는 경우</t>
        </is>
      </c>
      <c r="P3" s="21" t="inlineStr">
        <is>
          <t>부분대응</t>
        </is>
      </c>
      <c r="Q3" s="27" t="inlineStr">
        <is>
          <t>KSSB 제1호 문단 60~63(보고빈도)</t>
        </is>
      </c>
      <c r="R3" s="27" t="inlineStr">
        <is>
          <t>GRI 2-3</t>
        </is>
      </c>
      <c r="S3" s="27" t="inlineStr">
        <is>
          <t>1_2_0_업종별 K-ESG 가이드라인(v2.0) 진단항목</t>
        </is>
      </c>
      <c r="T3" s="22" t="n">
        <v>3</v>
      </c>
      <c r="U3" s="23" t="n"/>
      <c r="V3" s="23" t="n"/>
      <c r="W3" s="23" t="n"/>
      <c r="X3" s="30" t="n">
        <v>100</v>
      </c>
      <c r="Y3" s="27" t="inlineStr">
        <is>
          <t> 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is>
      </c>
      <c r="Z3" s="28" t="inlineStr">
        <is>
          <t>[자동채점] | 근거충분성: 충분 | 근거페이지: [2, 14, 29, 43, 82] | 근거: [지배구조보고서] 43p. 2008년 이후 매년 지속가능경영보고서를 발간하고 있습니다.(5번째 줄) → 2008년부터 매년 지속가능경영보고서를 발간하고 있어 1년 단위의 ESG 정보공시 주기를 충족합니다.</t>
        </is>
      </c>
      <c r="AA3" s="25" t="inlineStr">
        <is>
          <t>최신 ESG 정보를 적시에 제공하기 위해 1년 단위로 정기 공시합니까?</t>
        </is>
      </c>
      <c r="AB3" s="25" t="inlineStr">
        <is>
          <t>단계(1~5)</t>
        </is>
      </c>
    </row>
    <row r="4" ht="91.5" customHeight="1">
      <c r="A4" s="16" t="n">
        <v>3</v>
      </c>
      <c r="B4" s="17" t="inlineStr">
        <is>
          <t>P-1-3</t>
        </is>
      </c>
      <c r="C4" s="18" t="inlineStr">
        <is>
          <t>기본진단항목(v2.0)</t>
        </is>
      </c>
      <c r="D4" s="19" t="inlineStr">
        <is>
          <t>정보공시</t>
        </is>
      </c>
      <c r="E4" s="18" t="inlineStr">
        <is>
          <t>정보공시 형식</t>
        </is>
      </c>
      <c r="F4" s="17" t="inlineStr">
        <is>
          <t>ESG 정보공시 범위</t>
        </is>
      </c>
      <c r="G4" s="17" t="inlineStr">
        <is>
          <t> 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is>
      </c>
      <c r="H4" s="18" t="inlineStr">
        <is>
          <t>홈페이지, 지속가능경영보고서, 사업보고서, 전자공시시스템 上 ‘자율공시’</t>
        </is>
      </c>
      <c r="I4" s="18" t="inlineStr">
        <is>
          <t>직전 회계연도</t>
        </is>
      </c>
      <c r="J4" s="18" t="inlineStr">
        <is>
          <t>사업적 영향력 및 통제력을 행사하는 사업장 및 기타 연결실체</t>
        </is>
      </c>
      <c r="K4" s="17" t="inlineStr">
        <is>
          <t>ESG 정보공시 범위 = ESG 정보공시에 포함된 사업장 등의 (매출액 등) / 전체 조직의 (매출액 등)</t>
        </is>
      </c>
      <c r="L4" s="20" t="inlineStr">
        <is>
          <t>단계형</t>
        </is>
      </c>
      <c r="M4" s="16" t="n">
        <v>5</v>
      </c>
      <c r="N4" s="18" t="inlineStr">
        <is>
          <t>단계형: 1단계=0점 / 2단계=25점 / 3단계=50점 / 4단계=75점 / 5단계=100점</t>
        </is>
      </c>
      <c r="O4" s="17" t="inlineStr">
        <is>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is>
      </c>
      <c r="P4" s="21" t="inlineStr">
        <is>
          <t>부분대응</t>
        </is>
      </c>
      <c r="Q4" s="17" t="inlineStr">
        <is>
          <t>KSSB 제1호 문단 21~24(연계된 정보)</t>
        </is>
      </c>
      <c r="R4" s="17" t="inlineStr">
        <is>
          <t>GRI 2-2</t>
        </is>
      </c>
      <c r="S4" s="17" t="inlineStr">
        <is>
          <t>1_2_0_업종별 K-ESG 가이드라인(v2.0) 진단항목</t>
        </is>
      </c>
      <c r="T4" s="22" t="n">
        <v>4</v>
      </c>
      <c r="U4" s="23" t="n"/>
      <c r="V4" s="23" t="n"/>
      <c r="W4" s="23" t="n"/>
      <c r="X4" s="24" t="n">
        <v>75</v>
      </c>
      <c r="Y4" s="18" t="inlineStr">
        <is>
          <t> 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is>
      </c>
      <c r="Z4" s="18" t="inlineStr">
        <is>
          <t>[자동채점] | 근거충분성: 충분 | 근거페이지: [16, 29, 127] | 근거: [지속가능경영보고서] 29p. 범위를 단계적으로 확대 검토할 계획이며, 투자 사업 등 경영 활동 전반의 ESG 실천 강화를 위해 지속 노력하겠습니다.(2번째 줄) → 연결 종속기업의 산업군을 고려한 공시 준비 및 ESG 정보공시 범위를 단계적으로 확대하겠다는 계획을 명시하고 있어 4단계 요건을 충족함.</t>
        </is>
      </c>
      <c r="AA4" s="25" t="inlineStr">
        <is>
          <t>조직 통제력이 미치는 종속/연결실체 등 최대 범위를 공시합니까?</t>
        </is>
      </c>
      <c r="AB4" s="25" t="inlineStr">
        <is>
          <t>단계(1~5)</t>
        </is>
      </c>
    </row>
    <row r="5" ht="91.5" customHeight="1">
      <c r="A5" s="26" t="n">
        <v>4</v>
      </c>
      <c r="B5" s="27" t="inlineStr">
        <is>
          <t>P-2-1</t>
        </is>
      </c>
      <c r="C5" s="28" t="inlineStr">
        <is>
          <t>기본진단항목(v2.0)</t>
        </is>
      </c>
      <c r="D5" s="19" t="inlineStr">
        <is>
          <t>정보공시</t>
        </is>
      </c>
      <c r="E5" s="28" t="inlineStr">
        <is>
          <t>정보공시 내용</t>
        </is>
      </c>
      <c r="F5" s="27" t="inlineStr">
        <is>
          <t>ESG 핵심이슈 및 KPI</t>
        </is>
      </c>
      <c r="G5" s="28" t="inlineStr">
        <is>
          <t> 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is>
      </c>
      <c r="H5" s="28" t="inlineStr">
        <is>
          <t>홈페이지, 지속가능경영보고서, 사업보고서, 전자공시시스템 上 ‘자율공시’</t>
        </is>
      </c>
      <c r="I5" s="28" t="inlineStr">
        <is>
          <t>직전 회계연도</t>
        </is>
      </c>
      <c r="J5" s="27" t="inlineStr">
        <is>
          <t>N/A</t>
        </is>
      </c>
      <c r="K5" s="27" t="inlineStr">
        <is>
          <t>N/A</t>
        </is>
      </c>
      <c r="L5" s="29" t="inlineStr">
        <is>
          <t>단계형</t>
        </is>
      </c>
      <c r="M5" s="26" t="n">
        <v>5</v>
      </c>
      <c r="N5" s="28" t="inlineStr">
        <is>
          <t>단계형: 1단계=0점 / 2단계=25점 / 3단계=50점 / 4단계=75점 / 5단계=100점</t>
        </is>
      </c>
      <c r="O5" s="27" t="inlineStr">
        <is>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  (예를 들어, 기후변화가 핵심이슈일 경우, 온실가스 배출량 데이터 제시) |  4단계 |  3단계 + 핵심이슈가 사업적/사회적 관점에서 중요한 사유를 설명하고 있는 경우 |  (예를 들어, 사업적/사회적 관점의 기회 요인과 리스크 요인 등) |  5단계 |  4단계 + 핵심이슈를 관리하기 위한 시스템 및 절차를 설명하고 있는 경우 |  (조직, 전략 및 계획, 고충처리체계, 활동 및 교육 등)</t>
        </is>
      </c>
      <c r="P5" s="21" t="inlineStr">
        <is>
          <t>부분대응</t>
        </is>
      </c>
      <c r="Q5" s="27" t="inlineStr">
        <is>
          <t>KSSB 제1호 문단 17~19(중요성 판단, 이중중대성 개념 미흡)</t>
        </is>
      </c>
      <c r="R5" s="27" t="inlineStr">
        <is>
          <t>GRI 3(중대성평가)</t>
        </is>
      </c>
      <c r="S5" s="27" t="inlineStr">
        <is>
          <t>1_2_0_업종별 K-ESG 가이드라인(v2.0) 진단항목</t>
        </is>
      </c>
      <c r="T5" s="22" t="n">
        <v>2</v>
      </c>
      <c r="U5" s="23" t="n"/>
      <c r="V5" s="23" t="n"/>
      <c r="W5" s="23" t="n"/>
      <c r="X5" s="30" t="n">
        <v>25</v>
      </c>
      <c r="Y5" s="28" t="inlineStr">
        <is>
          <t> 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is>
      </c>
      <c r="Z5" s="28" t="inlineStr">
        <is>
          <t>[자동채점] | 근거충분성: 부분적 | 근거페이지: [16, 17] | 근거: [지속가능경영보고서] 17p. 설문조사와 빅데이터 분석 결과를 기반으로 한 ‘비즈니스 임팩트’(X축)와 ‘이해관계자 중요도’(Y축)를 바탕으로 중대 이슈를 도출했습니다.(19번째 줄) → 중대성 평가 절차와 도출된 중대 이슈를 정의하고 있으나, 핵심이슈별 구체적인 성과지표(KPI)나 사업적/사회적 중요 사유에 대한 상세 설명이 부족하여 2단계에 해당함.</t>
        </is>
      </c>
      <c r="AA5" s="25" t="inlineStr">
        <is>
          <t>이중 중대성 평가 기반 핵심이슈, 위기/기회, KPI를 공시합니까?</t>
        </is>
      </c>
      <c r="AB5" s="25" t="inlineStr">
        <is>
          <t>단계(1~5)</t>
        </is>
      </c>
    </row>
    <row r="6" ht="91.5" customHeight="1">
      <c r="A6" s="16" t="n">
        <v>5</v>
      </c>
      <c r="B6" s="17" t="inlineStr">
        <is>
          <t>P-3-1</t>
        </is>
      </c>
      <c r="C6" s="18" t="inlineStr">
        <is>
          <t>기본진단항목(v2.0)</t>
        </is>
      </c>
      <c r="D6" s="19" t="inlineStr">
        <is>
          <t>정보공시</t>
        </is>
      </c>
      <c r="E6" s="18" t="inlineStr">
        <is>
          <t>정보공시 검증</t>
        </is>
      </c>
      <c r="F6" s="17" t="inlineStr">
        <is>
          <t>ESG 정보공시 검증</t>
        </is>
      </c>
      <c r="G6" s="18" t="inlineStr">
        <is>
          <t> 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is>
      </c>
      <c r="H6" s="17" t="inlineStr">
        <is>
          <t>ESG 정보 검증의견서, 지속가능경영보고서 검증의견서</t>
        </is>
      </c>
      <c r="I6" s="18" t="inlineStr">
        <is>
          <t>직전 회계연도</t>
        </is>
      </c>
      <c r="J6" s="17" t="inlineStr">
        <is>
          <t>N/A</t>
        </is>
      </c>
      <c r="K6" s="17" t="inlineStr">
        <is>
          <t>N/A</t>
        </is>
      </c>
      <c r="L6" s="20" t="inlineStr">
        <is>
          <t>선택형</t>
        </is>
      </c>
      <c r="M6" s="16" t="n">
        <v>5</v>
      </c>
      <c r="N6" s="18" t="inlineStr">
        <is>
          <t>선택형: 요건1=0점 / 요건2=25점 / 요건3=50점 / 요건4=75점 / 요건5=100점</t>
        </is>
      </c>
      <c r="O6" s="18" t="inlineStr">
        <is>
          <t>요건1 |  검증의견서에 검증기관(또는 검증인)이 명시되어 있는 경우 |  (또는, 검증기관이 License Number를 보유하고 있는 경우) |  요건2 |  검증의견서에 검증기관과의 독립성 성명이 포함되어 있는 경우 |  (즉, 검증기관과 검증받는 조직간 이해관계 상충이 없음을 선언한 경우) |  요건3 |  검증의견서에 검증표준(방법론)이 제시되어 있는 경우 |  (AA1000AS, ISAE3000, 또는 제3자 검증기관이 개발한 자체 검증표준 등) |  요건4 |  검증의견서에 ESG 정보 검증수준을 공개하고 있는 경우 |  (Type1/Type2, Moderate/High, 제한적/합리적 등) |  요건5 |  검증의견서에 제3자 검증기관이 검증한 정보공시 지표가 적시되어 있는 경우 |  (즉, 조직의 모든 ESG 정보 중 어떠한 정보를 검증하였는지 명시하는 경우)</t>
        </is>
      </c>
      <c r="P6" s="31" t="inlineStr">
        <is>
          <t>완전대응</t>
        </is>
      </c>
      <c r="Q6" s="17" t="inlineStr">
        <is>
          <t>KSSB 제1호 문단 50(3)(외부검증)</t>
        </is>
      </c>
      <c r="R6" s="17" t="inlineStr">
        <is>
          <t>GRI 2-5, AA1000AS, ISAE3000</t>
        </is>
      </c>
      <c r="S6" s="17" t="inlineStr">
        <is>
          <t>1_2_0_업종별 K-ESG 가이드라인(v2.0) 진단항목</t>
        </is>
      </c>
      <c r="T6" s="22" t="n">
        <v>5</v>
      </c>
      <c r="U6" s="23" t="n"/>
      <c r="V6" s="23" t="n"/>
      <c r="W6" s="23" t="n"/>
      <c r="X6" s="24" t="n">
        <v>100</v>
      </c>
      <c r="Y6" s="18" t="inlineStr">
        <is>
          <t> 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 ESG 정보 검증의 타당성과 신뢰성을 확인하기 위한 기준은 ‘검증기관의 적격성’, ‘검증기관과의 독립성’, ‘검증방법론의 합리성’, ‘검증수준의 명확성’, ‘검증지표의 구체성’으로 구분할 수 있다.  글로벌 시장에서 통용되는 ESG 검증표준에는 1) 지속가능경영 관련 국제표준 제정기관인…</t>
        </is>
      </c>
      <c r="Z6" s="18" t="inlineStr">
        <is>
          <t>[자동채점] | 근거충분성: 충분 | 근거페이지: [2, 94, 95] | 근거: [지속가능경영보고서] 94p. 로이드인증원(LRQA)은 SK하이닉스로부터 ‘SK하이닉스 지속가능경영보고서 2024’ (이하 “보고서”)에 대한 독립적인 검증 제공 요청을 받았습니다. 본 검증은 아래 검증 기준에 따라 AA1000AS v3를 활용해 Moderate Level 및 전문가적 판단(Professional Judgement)의 중요성 기준으로 수행됐으며, 범위는 Type 2이었습니다.(줄 위치 특정 실패) → 검증기관 명시, 독립성 선언, 검증표준(AA1000AS v3) 제시, 검증수준(Moderate Level) 공개, 검증범위(Type 2) 및 검증 대상 정보공시 지표를 명시하여 5단계 요건을 모두 충족함.</t>
        </is>
      </c>
      <c r="AA6" s="25" t="inlineStr">
        <is>
          <t>적격/독립된 제3자 검증기관으로부터 인증을 획득했습니까?</t>
        </is>
      </c>
      <c r="AB6" s="25" t="inlineStr">
        <is>
          <t>단계(1~5)</t>
        </is>
      </c>
    </row>
    <row r="7" ht="91.5" customHeight="1">
      <c r="A7" s="26" t="n">
        <v>6</v>
      </c>
      <c r="B7" s="27" t="inlineStr">
        <is>
          <t>E-1-1</t>
        </is>
      </c>
      <c r="C7" s="28" t="inlineStr">
        <is>
          <t>기본진단항목(v2.0)</t>
        </is>
      </c>
      <c r="D7" s="32" t="inlineStr">
        <is>
          <t>환경</t>
        </is>
      </c>
      <c r="E7" s="28" t="inlineStr">
        <is>
          <t>환경경영 목표</t>
        </is>
      </c>
      <c r="F7" s="28" t="inlineStr">
        <is>
          <t>환경경영 목표 수립</t>
        </is>
      </c>
      <c r="G7" s="28" t="inlineStr">
        <is>
          <t> 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is>
      </c>
      <c r="H7" s="28" t="inlineStr">
        <is>
          <t>환경 분야 목표 수립 현황</t>
        </is>
      </c>
      <c r="I7" s="28" t="inlineStr">
        <is>
          <t>직전 회계연도</t>
        </is>
      </c>
      <c r="J7" s="27" t="inlineStr">
        <is>
          <t>N/A</t>
        </is>
      </c>
      <c r="K7" s="27" t="inlineStr">
        <is>
          <t>N/A</t>
        </is>
      </c>
      <c r="L7" s="29" t="inlineStr">
        <is>
          <t>단계형</t>
        </is>
      </c>
      <c r="M7" s="26" t="n">
        <v>5</v>
      </c>
      <c r="N7" s="28" t="inlineStr">
        <is>
          <t>단계형: 1단계=0점 / 2단계=25점 / 3단계=50점 / 4단계=75점 / 5단계=100점</t>
        </is>
      </c>
      <c r="O7" s="27" t="inlineStr">
        <is>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is>
      </c>
      <c r="P7" s="21" t="inlineStr">
        <is>
          <t>부분대응</t>
        </is>
      </c>
      <c r="Q7" s="27" t="inlineStr">
        <is>
          <t>KSSB 제2호 문단 33~36(목표) 준용 가능</t>
        </is>
      </c>
      <c r="R7" s="27" t="inlineStr">
        <is>
          <t>GRI 2-27</t>
        </is>
      </c>
      <c r="S7" s="27" t="inlineStr">
        <is>
          <t>1_2_0_업종별 K-ESG 가이드라인(v2.0) 진단항목</t>
        </is>
      </c>
      <c r="T7" s="22" t="n">
        <v>5</v>
      </c>
      <c r="U7" s="23" t="n"/>
      <c r="V7" s="23" t="n"/>
      <c r="W7" s="23" t="n"/>
      <c r="X7" s="30" t="n">
        <v>100</v>
      </c>
      <c r="Y7" s="28" t="inlineStr">
        <is>
          <t> 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is>
      </c>
      <c r="Z7" s="28" t="inlineStr">
        <is>
          <t>[자동채점] | 근거충분성: 충분 | 근거페이지: [20, 21, 22, 59, 60] | 근거: [지속가능경영보고서] 20p. SK하이닉스는 27개의 PRISM 2030 중장기 목표(Goals)와 함께 매년 달성해야 할 연간 목표(Targets)를 수립하고 목표 달성을 위한 노력과 그 결과를 공개하고 있습니다.(13번째 줄) → 2030년까지의 중장기 목표와 매년 달성해야 할 연간 목표를 수립하고, ESG경영위원회를 통해 성과를 분석 및 점검하고 있으므로 5단계 요건을 충족합니다.</t>
        </is>
      </c>
      <c r="AA7" s="25" t="inlineStr">
        <is>
          <t>단기/중장기 환경경영 정량 목표 및 점검 지표를 수립했습니까?</t>
        </is>
      </c>
      <c r="AB7" s="25" t="inlineStr">
        <is>
          <t>단계(1~5)</t>
        </is>
      </c>
    </row>
    <row r="8" ht="91.5" customHeight="1">
      <c r="A8" s="16" t="n">
        <v>7</v>
      </c>
      <c r="B8" s="17" t="inlineStr">
        <is>
          <t>E-1-2</t>
        </is>
      </c>
      <c r="C8" s="18" t="inlineStr">
        <is>
          <t>기본진단항목(v2.0)</t>
        </is>
      </c>
      <c r="D8" s="32" t="inlineStr">
        <is>
          <t>환경</t>
        </is>
      </c>
      <c r="E8" s="18" t="inlineStr">
        <is>
          <t>환경경영 목표</t>
        </is>
      </c>
      <c r="F8" s="18" t="inlineStr">
        <is>
          <t>환경경영 추진체계</t>
        </is>
      </c>
      <c r="G8" s="18" t="inlineStr">
        <is>
          <t> 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is>
      </c>
      <c r="H8" s="18" t="inlineStr">
        <is>
          <t>환경경영시스템, 환경경영 정책, 환경경영 가이던스</t>
        </is>
      </c>
      <c r="I8" s="18" t="inlineStr">
        <is>
          <t>직전 회계연도</t>
        </is>
      </c>
      <c r="J8" s="17" t="inlineStr">
        <is>
          <t>N/A</t>
        </is>
      </c>
      <c r="K8" s="17" t="inlineStr">
        <is>
          <t>N/A</t>
        </is>
      </c>
      <c r="L8" s="20" t="inlineStr">
        <is>
          <t>선택형</t>
        </is>
      </c>
      <c r="M8" s="16" t="n">
        <v>5</v>
      </c>
      <c r="N8" s="18" t="inlineStr">
        <is>
          <t>선택형: 요건1=0점 / 요건2=25점 / 요건3=50점 / 요건4=75점 / 요건5=100점</t>
        </is>
      </c>
      <c r="O8" s="18" t="inlineStr">
        <is>
          <t>요건1 |  환경경영 추진을 위한 전사 거버넌스 체계를 구축하고 있는 경우 |  (전담조직, 실무협의회, 경영회의 및 내부점검체계 등) |  요건2 |  환경경영 추진을 위한 전사 전담조직을 운영하고 있는 경우 |  (전사 환경경영 기획, 점검, 성과관리 등 실행업무 담당) |  요건3 |  환경경영 과제 실행에 필요한 자원을 투입하고 있는 경우 |  (환경투자 예산, 역량강화 교육, 내외부 전문인력 등) |  요건4 |  환경경영 추진 현황을 점검/분석/평가하는 시스템이 있는 경우 |  (IT기반 모니터링 시스템, 과제점검 회의, 제3자 의견수렴 등) |  요건5 |  환경경영 과제 이행현황이 경영진 포함 관련 구성원의 |  성과평가지표(KPIs)에 반영되어 있는 경우 |  * 선택 항목의 합산값으로 평가</t>
        </is>
      </c>
      <c r="P8" s="21" t="inlineStr">
        <is>
          <t>부분대응</t>
        </is>
      </c>
      <c r="Q8" s="17" t="inlineStr">
        <is>
          <t>KSSB 제2호 문단 6(거버넌스) 준용 가능</t>
        </is>
      </c>
      <c r="R8" s="17" t="inlineStr">
        <is>
          <t>GRI 2-27, K-ESG</t>
        </is>
      </c>
      <c r="S8" s="17" t="inlineStr">
        <is>
          <t>1_2_0_업종별 K-ESG 가이드라인(v2.0) 진단항목</t>
        </is>
      </c>
      <c r="T8" s="22" t="n">
        <v>5</v>
      </c>
      <c r="U8" s="23" t="n"/>
      <c r="V8" s="23" t="n"/>
      <c r="W8" s="23" t="n"/>
      <c r="X8" s="24" t="n">
        <v>100</v>
      </c>
      <c r="Y8" s="18" t="inlineStr">
        <is>
          <t> 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is>
      </c>
      <c r="Z8" s="18" t="inlineStr">
        <is>
          <t>[자동채점] | 근거충분성: 충분 | 근거페이지: [10, 29, 30, 37] | 근거: [지속가능경영보고서] 10p. ESG경영위원회의 의사결정을 통해 주요 경영진의 KPI로 반영하며 목표 달성을 위한 실행력을 높였습니다.(줄 위치 특정 실패) → ESG경영위원회 산하 탄소관리위원회 등 거버넌스 체계가 구축되어 있고, 환경경영 과제 이행현황이 경영진의 KPI에 반영되어 있어 5단계 요건을 모두 충족합니다.</t>
        </is>
      </c>
      <c r="AA8" s="25" t="inlineStr">
        <is>
          <t>거버넌스, 전담조직, 예산 투입, 구성원 KPI 연계 체계가 있습니까?</t>
        </is>
      </c>
      <c r="AB8" s="25" t="inlineStr">
        <is>
          <t>단계(1~5)</t>
        </is>
      </c>
    </row>
    <row r="9" ht="91.5" customHeight="1">
      <c r="A9" s="26" t="n">
        <v>8</v>
      </c>
      <c r="B9" s="27" t="inlineStr">
        <is>
          <t>E-2-1</t>
        </is>
      </c>
      <c r="C9" s="28" t="inlineStr">
        <is>
          <t>기본진단항목(v2.0)</t>
        </is>
      </c>
      <c r="D9" s="32" t="inlineStr">
        <is>
          <t>환경</t>
        </is>
      </c>
      <c r="E9" s="28" t="inlineStr">
        <is>
          <t>원부자재</t>
        </is>
      </c>
      <c r="F9" s="28" t="inlineStr">
        <is>
          <t>원부자재 사용량</t>
        </is>
      </c>
      <c r="G9" s="28" t="inlineStr">
        <is>
          <t> 조직이 이윤을 창출하기 위한 재화를 생산하는 과정에서 자연으로부터 가져온 원부자재를 효율적으로 관리하고 있는지 점검  조직 규모 차이(매출액, 생산량 등) 또는 사업 변동(구조조정, 인수합병 등)을 고려하여 상대적 비교가능성이 높은 ‘원단위’ 개념을 기반으로 원부자재의 물리적·화학적 특성을 포괄한 사용량을 점검</t>
        </is>
      </c>
      <c r="H9" s="28" t="inlineStr">
        <is>
          <t>‘조직별 홈페이지’ 上 지속가능경영보고서, 환경정보공개시스템&gt;자원/에너지&gt;원부자재 사용량, 조직의 원부자재 구매 및 사용량 실적</t>
        </is>
      </c>
      <c r="I9" s="28" t="inlineStr">
        <is>
          <t>최근 4개 회계연도</t>
        </is>
      </c>
      <c r="J9" s="28" t="inlineStr">
        <is>
          <t>국내외 사업장 및 기타 연결실체</t>
        </is>
      </c>
      <c r="K9" s="28" t="inlineStr">
        <is>
          <t>총 원단위 원부자재 사용량 = 총 원부자재 사용량(재생불가능한, 재생가능한, 재생/재활용) / 원단위 활용 분모 (매출액 등)</t>
        </is>
      </c>
      <c r="L9" s="29" t="inlineStr">
        <is>
          <t>단계형</t>
        </is>
      </c>
      <c r="M9" s="26" t="n">
        <v>3</v>
      </c>
      <c r="N9" s="28" t="inlineStr">
        <is>
          <t>단계형: 1단계=0점 / 2단계=50점 / 3단계=100점</t>
        </is>
      </c>
      <c r="O9" s="27" t="inlineStr">
        <is>
          <t>1단계 |  지난 4개년 원단위 원부자재 사용량 증가 추세 |  2단계 |  지난 4개년 원단위 원부자재 사용량 변동 없음 |  3단계 |  지난 4개년 원단위 원부자재 사용량 감소 추세 |  * 원단위 원부자재 사용량을 관리하지 않는 경우 0점 적용 |  * 3개년 이하 데이터 보유 시 해당 데이터로 추세 산정 |  * '유지 추세'로 판단할 경우 2단계로 적용하여 평가</t>
        </is>
      </c>
      <c r="P9" s="33" t="inlineStr">
        <is>
          <t>GAP(대응지표 없음)</t>
        </is>
      </c>
      <c r="Q9" s="27" t="inlineStr">
        <is>
          <t>KSSB 원부자재 지표 미규정</t>
        </is>
      </c>
      <c r="R9" s="27" t="inlineStr">
        <is>
          <t>GRI 301</t>
        </is>
      </c>
      <c r="S9" s="27" t="inlineStr">
        <is>
          <t>1_2_0_업종별 K-ESG 가이드라인(v2.0) 진단항목</t>
        </is>
      </c>
      <c r="T9" s="22" t="n">
        <v>1</v>
      </c>
      <c r="U9" s="23" t="n"/>
      <c r="V9" s="23" t="n"/>
      <c r="W9" s="23" t="n"/>
      <c r="X9" s="30" t="n">
        <v>1</v>
      </c>
      <c r="Y9" s="28" t="inlineStr">
        <is>
          <t> 본 ‘원부자재 사용량’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 확대할 수 있다.  원부자재는 기본적으로 재생가능 여부에 따라 재생가능한 원부자재, 재생불가능한 원부자재로 분류되며, 해당 원부자재의 원천(Source)에 따라 재생/재활용 원부자재, 천연 원부자재로 분류된다. 아래 분류별 예시를 참고하되 절대적인 기준은 아니므로 원료 특성 및 가공 방법에 따라 보편적·합리적…</t>
        </is>
      </c>
      <c r="Z9" s="28" t="inlineStr">
        <is>
          <t>[자동채점] | 근거충분성: 불충분 | 근거페이지: [34, 80, 81, 294] | 근거: [지속가능경영보고서] 81p. 근거부족(줄 위치 특정 실패) → 제시된 근거 자료에는 원부자재 사용량에 대한 총량이나 원단위 데이터가 포함되어 있지 않아 추세를 산정할 수 없습니다. | [AI검토필요] LLM이 유효범위(1~3) 밖의 값(0)을 답해 1로 보정함</t>
        </is>
      </c>
      <c r="AA9" s="25" t="inlineStr">
        <is>
          <t>원단위 원부자재 사용량이 4개년 간 감소 추세입니까?</t>
        </is>
      </c>
      <c r="AB9" s="25" t="inlineStr">
        <is>
          <t>단계(1~5)</t>
        </is>
      </c>
    </row>
    <row r="10" ht="91.5" customHeight="1">
      <c r="A10" s="16" t="n">
        <v>9</v>
      </c>
      <c r="B10" s="17" t="inlineStr">
        <is>
          <t>E-2-2</t>
        </is>
      </c>
      <c r="C10" s="18" t="inlineStr">
        <is>
          <t>기본진단항목(v2.0)</t>
        </is>
      </c>
      <c r="D10" s="32" t="inlineStr">
        <is>
          <t>환경</t>
        </is>
      </c>
      <c r="E10" s="18" t="inlineStr">
        <is>
          <t>원부자재</t>
        </is>
      </c>
      <c r="F10" s="18" t="inlineStr">
        <is>
          <t>재생 원부자재 비율</t>
        </is>
      </c>
      <c r="G10" s="18" t="inlineStr">
        <is>
          <t> 지속적인 경제 성장으로 인한 천연자원 고갈 이슈가 증가함에 따라, 원부자재 조달-투입 방식을 자원순환형 체계로 전환하고 있는지 점검  조직이 생산하는 제품 중 재생 원부자재를 적용할 수 있는 부분을 실제 재생 원부자재로 대체하는 등의 자원순환 이행성과를 확인</t>
        </is>
      </c>
      <c r="H10" s="18" t="inlineStr">
        <is>
          <t>‘전자공시시스템’ 上 사업보고서, ‘조직별 홈페이지’ 上 지속가능경영보고서, 조직의 원부자재 구매 및 사용량 실적</t>
        </is>
      </c>
      <c r="I10" s="18" t="inlineStr">
        <is>
          <t>최근 4개 회계연도</t>
        </is>
      </c>
      <c r="J10" s="18" t="inlineStr">
        <is>
          <t>국내외 사업장 및 기타 연결실체</t>
        </is>
      </c>
      <c r="K10" s="18" t="inlineStr">
        <is>
          <t>재생 원부자재 사용 비율 = 총 재생 원부자재 사용량 / 총 원부자재 사용량</t>
        </is>
      </c>
      <c r="L10" s="20" t="inlineStr">
        <is>
          <t>단계형</t>
        </is>
      </c>
      <c r="M10" s="16" t="n">
        <v>3</v>
      </c>
      <c r="N10" s="18" t="inlineStr">
        <is>
          <t>단계형: 1단계=0점 / 2단계=50점 / 3단계=100점</t>
        </is>
      </c>
      <c r="O10" s="17" t="inlineStr">
        <is>
          <t>1단계 |  지난 4개년 재생 원부자재 사용 비율 감소 추세 |  2단계 |  지난 4개년 재생 원부자재 사용 비율 변동 없음 |  3단계 |  지난 4개년 재생 원부자재 사용 비율 증가 추세 |  * 재생 원부자재를 사용하지 않는 경우 0점 적용 |  * 국내 및 해외 모든 사업장에서 재생 원부자재를 100% 사용하는 경우 100점 적용 |  * 3개년 이하 데이터 보유 시 해당 데이터로 추세 산정 |  * '유지 추세'로 판단할 경우 2단계로 적용하여 평가</t>
        </is>
      </c>
      <c r="P10" s="33" t="inlineStr">
        <is>
          <t>GAP(대응지표 없음)</t>
        </is>
      </c>
      <c r="Q10" s="17" t="inlineStr">
        <is>
          <t>KSSB 원부자재 지표 미규정</t>
        </is>
      </c>
      <c r="R10" s="17" t="inlineStr">
        <is>
          <t>GRI 301</t>
        </is>
      </c>
      <c r="S10" s="17" t="inlineStr">
        <is>
          <t>1_2_0_업종별 K-ESG 가이드라인(v2.0) 진단항목</t>
        </is>
      </c>
      <c r="T10" s="22" t="n">
        <v>1</v>
      </c>
      <c r="U10" s="23" t="n"/>
      <c r="V10" s="23" t="n"/>
      <c r="W10" s="23" t="n"/>
      <c r="X10" s="24" t="n">
        <v>1</v>
      </c>
      <c r="Y10" s="18" t="inlineStr">
        <is>
          <t> 원료, 생산, 소비, 폐기로 이어지는 기존의 선형 경제 대안으로 유럽연합 등 선진국을 중심으로 자원순환 경제 모델(3R: Reduce, Recycle, Reuse)이 확산되고 있다. 자원순환 경제는 폐기 이후의 재활용, 자원의 절약 등을 통해 사회 전반의 순환성을 높이고 지속가능성을 추구하는 모델이다.  본 ‘재생 원부자재 비율’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t>
        </is>
      </c>
      <c r="Z10" s="18" t="inlineStr">
        <is>
          <t>[자동채점] | 근거충분성: 불충분 | 근거페이지: [21, 39, 80, 91] | 근거: [지속가능경영보고서] 39p. 근거부족(줄 위치 특정 실패) → 제공된 보고서 내에 재생 원부자재 사용 비율에 대한 데이터가 존재하지 않아 평가가 불가능합니다.</t>
        </is>
      </c>
      <c r="AA10" s="25" t="inlineStr">
        <is>
          <t>재생/재활용 투입 원부자재 비율이 4개년 간 증가 추세입니까?</t>
        </is>
      </c>
      <c r="AB10" s="25" t="inlineStr">
        <is>
          <t>단계(1~5)</t>
        </is>
      </c>
    </row>
    <row r="11" ht="91.5" customHeight="1">
      <c r="A11" s="26" t="n">
        <v>10</v>
      </c>
      <c r="B11" s="27" t="inlineStr">
        <is>
          <t>E-3-1</t>
        </is>
      </c>
      <c r="C11" s="28" t="inlineStr">
        <is>
          <t>기본진단항목(v2.0)</t>
        </is>
      </c>
      <c r="D11" s="32" t="inlineStr">
        <is>
          <t>환경</t>
        </is>
      </c>
      <c r="E11" s="28" t="inlineStr">
        <is>
          <t>온실가스</t>
        </is>
      </c>
      <c r="F11" s="28" t="inlineStr">
        <is>
          <t>온실가스 배출량 (Scope1 &amp; Scope2)</t>
        </is>
      </c>
      <c r="G11" s="28" t="inlineStr">
        <is>
          <t> 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is>
      </c>
      <c r="H11" s="28" t="inlineStr">
        <is>
          <t>‘전자공시시스템’ 上 사업보고서, ‘조직별 홈페이지’ 上 지속가능경영보고서, ‘국가온실가스종합관리 시스템’ 上 명세서배출량통계</t>
        </is>
      </c>
      <c r="I11" s="28" t="inlineStr">
        <is>
          <t>최근 4개 회계연도</t>
        </is>
      </c>
      <c r="J11" s="28" t="inlineStr">
        <is>
          <t>국내외 사업장 및 기타 연결실체</t>
        </is>
      </c>
      <c r="K11" s="28" t="inlineStr">
        <is>
          <t>원단위 온실가스 배출량 = 총 온실가스 배출량 / 원단위 활용 분모</t>
        </is>
      </c>
      <c r="L11" s="29" t="inlineStr">
        <is>
          <t>단계형</t>
        </is>
      </c>
      <c r="M11" s="26" t="n">
        <v>3</v>
      </c>
      <c r="N11" s="28" t="inlineStr">
        <is>
          <t>단계형: 1단계=0점 / 2단계=50점 / 3단계=100점</t>
        </is>
      </c>
      <c r="O11" s="27" t="inlineStr">
        <is>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t>
        </is>
      </c>
      <c r="P11" s="31" t="inlineStr">
        <is>
          <t>완전대응</t>
        </is>
      </c>
      <c r="Q11" s="27" t="inlineStr">
        <is>
          <t>KSSB 제2호 문단 29(1) — Scope1·2 배출량</t>
        </is>
      </c>
      <c r="R11" s="27" t="inlineStr">
        <is>
          <t>GHG Protocol, GRI 305-1,2</t>
        </is>
      </c>
      <c r="S11" s="27" t="inlineStr">
        <is>
          <t>1_2_0_업종별 K-ESG 가이드라인(v2.0) 진단항목</t>
        </is>
      </c>
      <c r="T11" s="22" t="n">
        <v>3</v>
      </c>
      <c r="U11" s="23" t="n"/>
      <c r="V11" s="23" t="n"/>
      <c r="W11" s="23" t="n"/>
      <c r="X11" s="30" t="n">
        <v>100</v>
      </c>
      <c r="Y11" s="27" t="inlineStr">
        <is>
          <t> 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is>
      </c>
      <c r="Z11" s="28" t="inlineStr">
        <is>
          <t>[자동채점] | 근거충분성: 충분 | 근거페이지: [80, 91, 96] | 근거: [지속가능경영보고서] 91p. market-based Scope 1&amp;2 배출량: 2020년 7,548,327 tCO2eq, 2021년 7,648,465 tCO2eq, 2022년 7,176,550 tCO2eq, 2023년 5,415,283 tCO2eq.(4번째 줄) → 제시된 4개년(2020~2023) Scope 1 &amp; 2 온실가스 배출량 데이터를 확인한 결과, 2021년 이후 지속적인 감소 추세를 보이고 있어 3단계 요건을 충족함.</t>
        </is>
      </c>
      <c r="AA11" s="25" t="inlineStr">
        <is>
          <t>온실가스 배출량 (Scope1 &amp; Scope2)에 대한 현황을 관리·공시하고 있습니까?</t>
        </is>
      </c>
      <c r="AB11" s="25" t="inlineStr">
        <is>
          <t>단계(1~5)</t>
        </is>
      </c>
    </row>
    <row r="12" ht="91.5" customHeight="1">
      <c r="A12" s="16" t="n">
        <v>11</v>
      </c>
      <c r="B12" s="17" t="inlineStr">
        <is>
          <t>E-3-2</t>
        </is>
      </c>
      <c r="C12" s="18" t="inlineStr">
        <is>
          <t>기본진단항목(v2.0)</t>
        </is>
      </c>
      <c r="D12" s="32" t="inlineStr">
        <is>
          <t>환경</t>
        </is>
      </c>
      <c r="E12" s="18" t="inlineStr">
        <is>
          <t>온실가스</t>
        </is>
      </c>
      <c r="F12" s="18" t="inlineStr">
        <is>
          <t>온실가스 배출량 (Scope3)</t>
        </is>
      </c>
      <c r="G12" s="18" t="inlineStr">
        <is>
          <t> 조직이 온실가스 배출량 감축 목표를 달성하기 위해 물리적 경계 내에서 발생하는 Scope1 &amp; Scope2 배출량뿐만 아니라, 조직의 외부에서 발생하는 Scope3 배출량의 감축도 관리하고 있는지 점검  Scope3는 조직이 통제할 수 없는 범주에 속하기 때문에, 조직이 Scope3를 직접 감축하고 있는지를 확인하기보다는 Scope3의 인식/산정/검증 등 성과를 관리하는 노력 수준을 확인</t>
        </is>
      </c>
      <c r="H12" s="17" t="inlineStr">
        <is>
          <t>Scope3 측정 범주, Scope3 배출 데이터, Scope3 검증의견서</t>
        </is>
      </c>
      <c r="I12" s="18" t="inlineStr">
        <is>
          <t>직전 회계연도</t>
        </is>
      </c>
      <c r="J12" s="18" t="inlineStr">
        <is>
          <t>국내외 사업장 및 기타 연결실체</t>
        </is>
      </c>
      <c r="K12" s="17" t="inlineStr">
        <is>
          <t>N/A</t>
        </is>
      </c>
      <c r="L12" s="20" t="inlineStr">
        <is>
          <t>복합가중형</t>
        </is>
      </c>
      <c r="M12" s="16" t="n"/>
      <c r="N12" s="18" t="inlineStr">
        <is>
          <t>복합가중형: 2~3개 세부요소를 균등가중평균(예: 1/2+1/2, 1/3×3) — 세부 배점은 점검기준 상세 참조, 자사취득점수는 수동 산정</t>
        </is>
      </c>
      <c r="O12" s="17" t="inlineStr">
        <is>
          <t>Scope3 범주 인식 Scope3 배출량 산정 Scope3 배출량 검증 |  (1/3) (1/3) (1/3) |  1단계 조직의 Scope3 범주를 인식하고 조직의 Scope3 배출량을 Scope3 배출량에 대한 제3자 |  있지 않는 경우 측정하고 있지 않는 경우 검증을 하지 않는 경우 |  2단계 조직의 가치사슬 관련 일부 국내 등 일부 사업장의 일부 Scope3 범주 및 측정값에 |  Scope3 범주만 인식하고 Scope3 배출량만 측정하고 대해서만 제3자 검증을 하는 경우 |  있는 경우 있는 경우 |  3단계 조직의 가치사슬 관련 모든 조직의 모든 사업장의 Scope3 모든 Scope3 범주 및 측정값에 |  Scope3 범주를 인식하고 배출량을 측정하고 있는 경우 대해 제3자 검증을 하는 경우 |  있는 경우</t>
        </is>
      </c>
      <c r="P12" s="21" t="inlineStr">
        <is>
          <t>부분대응</t>
        </is>
      </c>
      <c r="Q12" s="17" t="inlineStr">
        <is>
          <t>KSSB 제2호 문단 29(1)(사) — Scope3 15개 카테고리 요구(K-ESG는 범주인식·산정·검증 3단계로 단순화)</t>
        </is>
      </c>
      <c r="R12" s="17" t="inlineStr">
        <is>
          <t>GHG Protocol, GRI 305-3</t>
        </is>
      </c>
      <c r="S12" s="17" t="inlineStr">
        <is>
          <t>1_2_0_업종별 K-ESG 가이드라인(v2.0) 진단항목</t>
        </is>
      </c>
      <c r="T12" s="34" t="inlineStr">
        <is>
          <t>해당없음(복합가중형)</t>
        </is>
      </c>
      <c r="U12" s="23" t="n"/>
      <c r="V12" s="23" t="n"/>
      <c r="W12" s="23" t="n"/>
      <c r="X12" s="35" t="n">
        <v>100</v>
      </c>
      <c r="Y12" s="17" t="inlineStr">
        <is>
          <t> Scope3 온실가스란 조직이 소유하고 관리하는 사업장(경계) 외 가치사슬에서 발생하는 간접적인 온실가스 배출이다. 조직의 경계 내에서 직접 배출되는 Scope1과 외부 전력 및 열 소비로 인해 배출되는 Scope2에 비해 감축의무 대상은 아니지만, 기후변화 이슈가 가속화됨에 따라 Scope3 관리 필요성도 증가하고 있다. 특히, [조달-개발-생산-유통-판매- 유지-폐기] 등 경영활동 전반을 내재화한 조직과 달리, 사업 운영의 대부분을 외주화(Outsourcing)한 조직은 Scope1 &amp; Scope2 못지않게, Scope3 관리가 중요하다. GreenHouse Gas Protocol이 제시한 ‘Corporate Value Chain(Scope3) Accounting…</t>
        </is>
      </c>
      <c r="Z12" s="18" t="inlineStr">
        <is>
          <t>[자동채점] | 근거충분성: 충분 | 근거페이지: [38, 80, 96] | 근거: [Scope3 범주 인식] [지속가능경영보고서] 96p. SK하이닉스는 Scope 3 온실가스 배출량은 회사의 생산 활동에서 직접 배출하는 온실가스가 아닌 가치사슬에서 배출하는 기타 간접 배출이지만 SK하이닉스는 Scope 3 배출량 또한 SK하이닉스의 직접 배출 온실가스와 동일하게 인식하고 있으며(줄 위치 특정 실패) → 가치사슬 전반의 Scope 3 배출량을 직접 배출과 동일하게 인식하고 관리하고 있습니다. / [Scope3 배출량 산정] [지속가능경영보고서] 96p. AR5의 GWP가 적용된 2023년 Scope 3에 해당되는 온실가스 배출량은 다음과 같습니다. Scope 3 분야별 배출량 범위 및 산정방법은 검증보고서에 기술돼 있습니다. (중략) Scope3 배출량 합계 2,404,126(3번째 줄) → 2023년 기준 Scope 3의 주요 범주별 배출량을 산정하여 보고서에 명시하고 있습니다. / [Scope3 배출량 검증] [지속가능경영보고서] 96p. 국내 사업장에 대한 Scope1 &amp; Scope2 배출량 검증은 ‘온실가스 배출권거래제의 배출량 보고 및 인증에 관한 지침’ 등에 의해 합리적 보증 수준의 검증을 제공하기 위해 수행됐으며 Scope3 배출량은 제한적 보증수준으로 검증됐습니다.(1번째 줄) → 제3자 검증기관(BSI)을 통해 Scope 3 배출량에 대한 제한적 보증 수준의 검증을 수행하였습니다. | [AI검토필요] 복합가중형 - 표본검증 권장</t>
        </is>
      </c>
      <c r="AA12" s="25" t="inlineStr">
        <is>
          <t>가치사슬 전반 Scope 3 15개 범주를 인식/산정/검증합니까?</t>
        </is>
      </c>
      <c r="AB12" s="25" t="inlineStr">
        <is>
          <t>단계(1~5)</t>
        </is>
      </c>
    </row>
    <row r="13" ht="91.5" customHeight="1">
      <c r="A13" s="26" t="n">
        <v>12</v>
      </c>
      <c r="B13" s="27" t="inlineStr">
        <is>
          <t>E-3-3</t>
        </is>
      </c>
      <c r="C13" s="28" t="inlineStr">
        <is>
          <t>기본진단항목(v2.0)</t>
        </is>
      </c>
      <c r="D13" s="32" t="inlineStr">
        <is>
          <t>환경</t>
        </is>
      </c>
      <c r="E13" s="28" t="inlineStr">
        <is>
          <t>온실가스</t>
        </is>
      </c>
      <c r="F13" s="28" t="inlineStr">
        <is>
          <t>온실가스 배출량 검증</t>
        </is>
      </c>
      <c r="G13" s="28" t="inlineStr">
        <is>
          <t> 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is>
      </c>
      <c r="H13" s="28" t="inlineStr">
        <is>
          <t>온실가스 배출량 검증의견서</t>
        </is>
      </c>
      <c r="I13" s="28" t="inlineStr">
        <is>
          <t>직전 회계연도</t>
        </is>
      </c>
      <c r="J13" s="27" t="inlineStr">
        <is>
          <t>N/A</t>
        </is>
      </c>
      <c r="K13" s="27" t="inlineStr">
        <is>
          <t>N/A</t>
        </is>
      </c>
      <c r="L13" s="29" t="inlineStr">
        <is>
          <t>선택형</t>
        </is>
      </c>
      <c r="M13" s="26" t="n">
        <v>5</v>
      </c>
      <c r="N13" s="28" t="inlineStr">
        <is>
          <t>선택형: 요건1=0점 / 요건2=25점 / 요건3=50점 / 요건4=75점 / 요건5=100점</t>
        </is>
      </c>
      <c r="O13" s="28" t="inlineStr">
        <is>
          <t>요건1 |  검증의견서에 검증기관(또는 검증인)이 명시되어 있는 경우 |  (또는, 검증기관이 License Number를 갖추고 있는 경우) |  요건2 |  검증의견서에 검증표준(방법론)이 제시되어 있는 경우 |  (온실가스 배출권거래제의 배출량 보고 및 인증에 관한 지침, GHG Protocol, ISO14064-1 등) |  요건3 |  검증의견서에 ESG 정보 검증수준을 공개하고 있는 경우 |  (전체/일부 데이터 검증, 제한적/합리적 보증 등) |  요건4 |  제3자 검증기관이 검증한 온실가스 배출량 검증 범위가 적시되어 있는 경우 |  (즉, 조직의 사업장 중 온실가스 배출량을 검증받은 사업장 및 지역 등) |  요건5 |  조직의 온실가스 관리에 관한 제3자 검증기관 의견이 명시되어 있는 경우 |  (온실가스 관리 시스템 개선, 향후 검증값의 변동가능성 등)</t>
        </is>
      </c>
      <c r="P13" s="31" t="inlineStr">
        <is>
          <t>완전대응</t>
        </is>
      </c>
      <c r="Q13" s="27" t="inlineStr">
        <is>
          <t>KSSB 제1호 문단 50(3)(검증)</t>
        </is>
      </c>
      <c r="R13" s="27" t="inlineStr">
        <is>
          <t>GRI 305</t>
        </is>
      </c>
      <c r="S13" s="27" t="inlineStr">
        <is>
          <t>1_2_0_업종별 K-ESG 가이드라인(v2.0) 진단항목</t>
        </is>
      </c>
      <c r="T13" s="22" t="n">
        <v>5</v>
      </c>
      <c r="U13" s="23" t="n"/>
      <c r="V13" s="23" t="n"/>
      <c r="W13" s="23" t="n"/>
      <c r="X13" s="30" t="n">
        <v>100</v>
      </c>
      <c r="Y13" s="28" t="inlineStr">
        <is>
          <t> ｢기후위기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is>
      </c>
      <c r="Z13" s="28" t="inlineStr">
        <is>
          <t>[자동채점] | 근거충분성: 충분 | 근거페이지: [94, 96, 97, 416] | 근거: [지속가능경영보고서] 96p. 검증과정 중 온실가스 배출량 산정에 중대한 오류가 발견되지 않았고, 관련 활동자료와 증빙이 적정하게 관리되고 있음을 확인했습니다.(5번째 줄) → 검증기관인 BSI가 온실가스 배출량 산정의 적정성 및 데이터 관리 상태에 대한 의견을 명시하고 있어 5단계 요건을 충족합니다.</t>
        </is>
      </c>
      <c r="AA13" s="25" t="inlineStr">
        <is>
          <t>온실가스 배출량에 대해 적격한 제3자 검증을 획득했습니까?</t>
        </is>
      </c>
      <c r="AB13" s="25" t="inlineStr">
        <is>
          <t>단계(1~5)</t>
        </is>
      </c>
    </row>
    <row r="14" ht="91.5" customHeight="1">
      <c r="A14" s="16" t="n">
        <v>13</v>
      </c>
      <c r="B14" s="17" t="inlineStr">
        <is>
          <t>E-4-1</t>
        </is>
      </c>
      <c r="C14" s="18" t="inlineStr">
        <is>
          <t>기본진단항목(v2.0)</t>
        </is>
      </c>
      <c r="D14" s="32" t="inlineStr">
        <is>
          <t>환경</t>
        </is>
      </c>
      <c r="E14" s="18" t="inlineStr">
        <is>
          <t>에너지</t>
        </is>
      </c>
      <c r="F14" s="18" t="inlineStr">
        <is>
          <t>에너지 사용량</t>
        </is>
      </c>
      <c r="G14" s="18" t="inlineStr">
        <is>
          <t> 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is>
      </c>
      <c r="H14" s="18" t="inlineStr">
        <is>
          <t>‘전자공시시스템’ 上 사업보고서, ‘조직별 홈페이지’ 上 지속가능경영보고서, ‘한국에너지공단 홈페이지’ 上 산업부문 에너지 사용 및 온실가스 배출량 통계</t>
        </is>
      </c>
      <c r="I14" s="18" t="inlineStr">
        <is>
          <t>최근 4개 회계연도</t>
        </is>
      </c>
      <c r="J14" s="18" t="inlineStr">
        <is>
          <t>국내외 사업장 및 기타 연결실체</t>
        </is>
      </c>
      <c r="K14" s="18" t="inlineStr">
        <is>
          <t>원단위 에너지 사용량 = 총 에너지 사용량 / 원단위 활용 분모</t>
        </is>
      </c>
      <c r="L14" s="20" t="inlineStr">
        <is>
          <t>단계형</t>
        </is>
      </c>
      <c r="M14" s="16" t="n">
        <v>3</v>
      </c>
      <c r="N14" s="18" t="inlineStr">
        <is>
          <t>단계형: 1단계=0점 / 2단계=50점 / 3단계=100점</t>
        </is>
      </c>
      <c r="O14" s="17" t="inlineStr">
        <is>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t>
        </is>
      </c>
      <c r="P14" s="21" t="inlineStr">
        <is>
          <t>부분대응</t>
        </is>
      </c>
      <c r="Q14" s="17" t="inlineStr">
        <is>
          <t>KSSB 제2호 문단 29 부속 에너지 사용 관련 준용</t>
        </is>
      </c>
      <c r="R14" s="17" t="inlineStr">
        <is>
          <t>GRI 302-1</t>
        </is>
      </c>
      <c r="S14" s="17" t="inlineStr">
        <is>
          <t>1_2_0_업종별 K-ESG 가이드라인(v2.0) 진단항목</t>
        </is>
      </c>
      <c r="T14" s="22" t="n">
        <v>1</v>
      </c>
      <c r="U14" s="23" t="n"/>
      <c r="V14" s="23" t="n"/>
      <c r="W14" s="23" t="n"/>
      <c r="X14" s="24" t="n">
        <v>1</v>
      </c>
      <c r="Y14" s="18" t="inlineStr">
        <is>
          <t> 에너지 사용량 = ‘조직에서 직접 사용한 화석연료’ + ‘조직에서 직접 사용한 재생연료’ + ‘외부로부터 구매한 전기, 열 등’ + ‘조직에서 생산한 전기, 열(스팀) 등’ - ‘조직에서 사용하지 않고 외부로 판매한 전기, 열 등’  (고체, 기체, 액체 연료) 에너지 사용량 환산방법 = 연료 사용량 × 총발열량  (전기) 에너지 사용량 환산방법 = 전력사용량 × 발열량(소비) 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is>
      </c>
      <c r="Z14" s="18" t="inlineStr">
        <is>
          <t>[자동채점] | 근거충분성: 충분 | 근거페이지: [40, 44, 81, 91, 415] | 근거: [지속가능경영보고서] 81p. 원단위 사용량2) GWh/십억 원 0.31 0.25 0.27 0.37(줄 위치 특정 실패) → 제시된 4개년(2020~2023) 원단위 에너지 사용량이 0.31에서 0.37로 전반적인 증가 추세를 보이고 있어 1단계에 해당합니다.</t>
        </is>
      </c>
      <c r="AA14" s="25" t="inlineStr">
        <is>
          <t>원단위 에너지 사용량이 최근 4개년 간 절감 추세입니까?</t>
        </is>
      </c>
      <c r="AB14" s="25" t="inlineStr">
        <is>
          <t>단계(1~5)</t>
        </is>
      </c>
    </row>
    <row r="15" ht="91.5" customHeight="1">
      <c r="A15" s="26" t="n">
        <v>14</v>
      </c>
      <c r="B15" s="27" t="inlineStr">
        <is>
          <t>E-4-2</t>
        </is>
      </c>
      <c r="C15" s="28" t="inlineStr">
        <is>
          <t>기본진단항목(v2.0)</t>
        </is>
      </c>
      <c r="D15" s="32" t="inlineStr">
        <is>
          <t>환경</t>
        </is>
      </c>
      <c r="E15" s="28" t="inlineStr">
        <is>
          <t>에너지</t>
        </is>
      </c>
      <c r="F15" s="28" t="inlineStr">
        <is>
          <t>재생에너지 사용 비율</t>
        </is>
      </c>
      <c r="G15" s="28" t="inlineStr">
        <is>
          <t> 조직이 에너지 체계를 재생에너지로 전환하고 있는지 확인  조직의 총 에너지 사용량 대비 신에너지 및 재생에너지가 차지하는 비율로 해당 항목을 점검  국내 ‘신에너지 및 재생에너지 개발·이용·보급촉진법’ 上 2025년까지 대규모 발전소가 공급하는 신재생에너지공급의무비율 (RPS)은 25%로써 수요 대비 한계가 있으므로, 해당 지표에서 다루는 재생에너지 범위는 ‘자가 재생에너지 발전’, ‘녹색프리미엄 요금제 사용’, ‘재생에너지 크레딧 구매’, ‘재생에너지 발전사업 지분 참여’, ‘제3자 전력구매계약’ 등을 포괄함</t>
        </is>
      </c>
      <c r="H15" s="28" t="inlineStr">
        <is>
          <t>‘조직별 홈페이지’ 上 지속가능경영보고서</t>
        </is>
      </c>
      <c r="I15" s="28" t="inlineStr">
        <is>
          <t>최근 4개 회계연도</t>
        </is>
      </c>
      <c r="J15" s="28" t="inlineStr">
        <is>
          <t>국내외 사업장 및 기타 연결실체</t>
        </is>
      </c>
      <c r="K15" s="28" t="inlineStr">
        <is>
          <t>재생에너지 사용 비율 = 총 재생에너지 사용량 / 총 에너지 사용량 * 신에너지 사용량 포함</t>
        </is>
      </c>
      <c r="L15" s="29" t="inlineStr">
        <is>
          <t>단계형</t>
        </is>
      </c>
      <c r="M15" s="26" t="n">
        <v>3</v>
      </c>
      <c r="N15" s="28" t="inlineStr">
        <is>
          <t>단계형: 1단계=0점 / 2단계=50점 / 3단계=100점</t>
        </is>
      </c>
      <c r="O15" s="27" t="inlineStr">
        <is>
          <t>1단계 |  지난 4개년 재생에너지 사용비율이 감소 추세 |  2단계 |  지난 4개년 재생에너지 사용비율이 변동 없음 |  3단계 |  지난 4개년 재생에너지 사용비율이 증가 추세 |  * 재생에너지를 사용하고 있지 않은 경우 0점 적용 |  * 국내 및 해외 모든 사업장에서 재생에너지를 100% 사용하는 경우 100점 적용 |  * 3개년 이하 데이터 보유 시 해당 데이터로 추세 산정 |  * '유지 추세'로 판단할 경우 2단계로 적용하여 평가</t>
        </is>
      </c>
      <c r="P15" s="21" t="inlineStr">
        <is>
          <t>부분대응</t>
        </is>
      </c>
      <c r="Q15" s="27" t="inlineStr">
        <is>
          <t>KSSB 제2호 문단 29(4) 친환경 기회 관련 준용</t>
        </is>
      </c>
      <c r="R15" s="27" t="inlineStr">
        <is>
          <t>GRI 302-1</t>
        </is>
      </c>
      <c r="S15" s="27" t="inlineStr">
        <is>
          <t>1_2_0_업종별 K-ESG 가이드라인(v2.0) 진단항목</t>
        </is>
      </c>
      <c r="T15" s="22" t="n">
        <v>3</v>
      </c>
      <c r="U15" s="23" t="n"/>
      <c r="V15" s="23" t="n"/>
      <c r="W15" s="23" t="n"/>
      <c r="X15" s="30" t="n">
        <v>100</v>
      </c>
      <c r="Y15" s="28" t="inlineStr">
        <is>
          <t> ‘신에너지 및 재생에너지 개발·이용·보급촉진법’ 제2조에서는 신재생에너지를 “기존의 화석연료를 변환시켜 이용하거나 햇빛·물·지열·강수·생물유기체 등을 포함하여 재생가능한 에너지를 변환시켜 이용하는 에너지”로 정의하고 있으며, 신재생에너지의 종류는 다음과 같다. - 신에너지 : 연료전지, 수소, 석탄액화·가스화 및 중질잔사유 가스화 - 재생에너지 : 태양광, 태양열, 바이오, 풍력, 수력, 해양, 폐기물, 지열  조직이 사업을 영위하는 국가 또는 지역의 에너지 체계에 따라, 또는 태양광, 대기, 조류 등의 양적/질적 조건에 따라 재생에너지 사용 비율을 확대하는데 한계가 있다. 반면, 국가별 재생에너지 이용·보급·확산을 위해 조직이 재생에너지를 직접 구매·생산하지…</t>
        </is>
      </c>
      <c r="Z15" s="28" t="inlineStr">
        <is>
          <t>[자동채점] | 근거충분성: 충분 | 근거페이지: [21, 39, 43] | 근거: [지속가능경영보고서] 39p. 전년 대비 재생에너지 사용률의 상승폭이 크지는 않지만 2022년 해외 생산 사업장의 RE100 달성 이후 상대적으로 열악한 국내 재생에너지 조달 환경에서 추가로 재생에너지를 조달해 전사 RE 비율을 높였다는 데 의미가 있는 수치입니다.(줄 위치 특정 실패) → 제시된 근거에서 전사 재생에너지 사용률이 전년 대비 상승하였고, 재생에너지 조달을 위해 PPA 체결 등 지속적인 노력을 기울이고 있어 증가 추세로 판단됨.</t>
        </is>
      </c>
      <c r="AA15" s="25" t="inlineStr">
        <is>
          <t>재생에너지(PPA, REC 등) 사용 비율이 4개년 간 증가 추세입니까?</t>
        </is>
      </c>
      <c r="AB15" s="25" t="inlineStr">
        <is>
          <t>단계(1~5)</t>
        </is>
      </c>
    </row>
    <row r="16" ht="91.5" customHeight="1">
      <c r="A16" s="16" t="n">
        <v>15</v>
      </c>
      <c r="B16" s="17" t="inlineStr">
        <is>
          <t>E-5-1</t>
        </is>
      </c>
      <c r="C16" s="18" t="inlineStr">
        <is>
          <t>기본진단항목(v2.0)</t>
        </is>
      </c>
      <c r="D16" s="32" t="inlineStr">
        <is>
          <t>환경</t>
        </is>
      </c>
      <c r="E16" s="18" t="inlineStr">
        <is>
          <t>용수</t>
        </is>
      </c>
      <c r="F16" s="18" t="inlineStr">
        <is>
          <t>용수 사용량</t>
        </is>
      </c>
      <c r="G16" s="18" t="inlineStr">
        <is>
          <t> 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is>
      </c>
      <c r="H16" s="18" t="inlineStr">
        <is>
          <t>‘조직별 홈페이지’ 上 지속가능경영보고서, ‘한국에너지공단 물정보포털(My Water)’ 上 GIS 수자원</t>
        </is>
      </c>
      <c r="I16" s="18" t="inlineStr">
        <is>
          <t>최근 4개 회계연도</t>
        </is>
      </c>
      <c r="J16" s="18" t="inlineStr">
        <is>
          <t>국내외 사업장 및 기타 연결실체</t>
        </is>
      </c>
      <c r="K16" s="18" t="inlineStr">
        <is>
          <t>원단위 용수 사용량 = 총 용수 사용량 / 원단위 활용 분모</t>
        </is>
      </c>
      <c r="L16" s="20" t="inlineStr">
        <is>
          <t>단계형</t>
        </is>
      </c>
      <c r="M16" s="16" t="n">
        <v>3</v>
      </c>
      <c r="N16" s="18" t="inlineStr">
        <is>
          <t>단계형: 1단계=0점 / 2단계=50점 / 3단계=100점</t>
        </is>
      </c>
      <c r="O16" s="17" t="inlineStr">
        <is>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t>
        </is>
      </c>
      <c r="P16" s="33" t="inlineStr">
        <is>
          <t>GAP(대응지표 없음)</t>
        </is>
      </c>
      <c r="Q16" s="17" t="inlineStr">
        <is>
          <t>KSSB 제2호 직접 규정 없음(업종기반지표로만 요구 가능)</t>
        </is>
      </c>
      <c r="R16" s="17" t="inlineStr">
        <is>
          <t>GRI 303, CDSB 물 적용지침</t>
        </is>
      </c>
      <c r="S16" s="17" t="inlineStr">
        <is>
          <t>1_2_0_업종별 K-ESG 가이드라인(v2.0) 진단항목</t>
        </is>
      </c>
      <c r="T16" s="22" t="n">
        <v>1</v>
      </c>
      <c r="U16" s="23" t="n"/>
      <c r="V16" s="23" t="n"/>
      <c r="W16" s="23" t="n"/>
      <c r="X16" s="24" t="n">
        <v>1</v>
      </c>
      <c r="Y16" s="17" t="inlineStr">
        <is>
          <t> 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is>
      </c>
      <c r="Z16" s="18" t="inlineStr">
        <is>
          <t>[자동채점] | 근거충분성: 부분적 | 근거페이지: [42, 43, 82, 91] | 근거: [지속가능경영보고서] 91p. 총용수 취수량 | 천m3 | 95,715 | 103,769 | 111,639 | 106,548(3번째 줄) → 제시된 4개년(2020~2023) 총용수 취수량 데이터가 전반적으로 증가 추세에 있으며, 원단위 용수 사용량에 대한 별도의 관리 지표나 산출 근거가 명시되어 있지 않아 1단계로 평가함.</t>
        </is>
      </c>
      <c r="AA16" s="25" t="inlineStr">
        <is>
          <t>수자원 취수 원단위 총 용수 사용량이 감소 추세입니까?</t>
        </is>
      </c>
      <c r="AB16" s="25" t="inlineStr">
        <is>
          <t>단계(1~5)</t>
        </is>
      </c>
    </row>
    <row r="17" ht="91.5" customHeight="1">
      <c r="A17" s="26" t="n">
        <v>16</v>
      </c>
      <c r="B17" s="27" t="inlineStr">
        <is>
          <t>E-5-2</t>
        </is>
      </c>
      <c r="C17" s="28" t="inlineStr">
        <is>
          <t>기본진단항목(v2.0)</t>
        </is>
      </c>
      <c r="D17" s="32" t="inlineStr">
        <is>
          <t>환경</t>
        </is>
      </c>
      <c r="E17" s="28" t="inlineStr">
        <is>
          <t>용수</t>
        </is>
      </c>
      <c r="F17" s="28" t="inlineStr">
        <is>
          <t>재사용 용수 비율</t>
        </is>
      </c>
      <c r="G17" s="28" t="inlineStr">
        <is>
          <t> 조직이 도시화와 산업화 진전으로 인해 발생되는 수자원 부족 문제에 대비하여, 지속가능한 용수 순환 체계를 구축하고 있는지 확인  조직이 소유, 관리, 통제하는 물리적 경계(사업장 등) 내에서 중수도, 하·폐수처리수 재이용시설 등을 설치하여 오수(汚水), 하수, 폐수를 효과적으로 순환·재사용하는지 점검</t>
        </is>
      </c>
      <c r="H17" s="28" t="inlineStr">
        <is>
          <t>‘조직별 홈페이지’ 上 지속가능경영보고서</t>
        </is>
      </c>
      <c r="I17" s="28" t="inlineStr">
        <is>
          <t>최근 4개 회계연도</t>
        </is>
      </c>
      <c r="J17" s="28" t="inlineStr">
        <is>
          <t>국내외 사업장 및 기타 연결실체</t>
        </is>
      </c>
      <c r="K17" s="28" t="inlineStr">
        <is>
          <t>재사용 용수 비율 = 총 재사용 용수량 / 총 용수 사용량</t>
        </is>
      </c>
      <c r="L17" s="29" t="inlineStr">
        <is>
          <t>단계형</t>
        </is>
      </c>
      <c r="M17" s="26" t="n">
        <v>3</v>
      </c>
      <c r="N17" s="28" t="inlineStr">
        <is>
          <t>단계형: 1단계=0점 / 2단계=50점 / 3단계=100점</t>
        </is>
      </c>
      <c r="O17" s="27" t="inlineStr">
        <is>
          <t>1단계 |  지난 4개년 재사용 용수 비율이 감소 추세 |  2단계 |  지난 4개년 재사용 용수 비율이 변동 없음 |  3단계 |  지난 4개년 재사용 용수 비율이 증가 추세 |  * 용수를 재사용하지 않고 있는 경우 0점 적용 |  * 국내 및 해외 모든 사업장이 폐수 무방류 시스템을 구축한 경우 100점 적용 |  * 3개년 이하 데이터 보유 시 해당 데이터로 추세 산정 |  * '유지 추세'로 판단할 경우 2단계로 적용하여 평가</t>
        </is>
      </c>
      <c r="P17" s="33" t="inlineStr">
        <is>
          <t>GAP(대응지표 없음)</t>
        </is>
      </c>
      <c r="Q17" s="27" t="inlineStr">
        <is>
          <t>KSSB 제2호 직접 규정 없음</t>
        </is>
      </c>
      <c r="R17" s="27" t="inlineStr">
        <is>
          <t>GRI 303</t>
        </is>
      </c>
      <c r="S17" s="27" t="inlineStr">
        <is>
          <t>1_2_0_업종별 K-ESG 가이드라인(v2.0) 진단항목</t>
        </is>
      </c>
      <c r="T17" s="22" t="n">
        <v>3</v>
      </c>
      <c r="U17" s="23" t="n"/>
      <c r="V17" s="23" t="n"/>
      <c r="W17" s="23" t="n"/>
      <c r="X17" s="30" t="n">
        <v>100</v>
      </c>
      <c r="Y17" s="28" t="inlineStr">
        <is>
          <t> 물의 순환 개념은 ‘우수→하천→취수→[1회사용]→배출→하천→해양’으로써, 용수 재사용이란 인공적인 순환을 개념을 추가한 ‘우수→하천→취수→[사용→처리→재사용]→배출→하천→해양’이라 할 수 있다. 해당 지표에서 정의하는 재사용은 재생처리된 폐수를 방류한 후 이를 다시 취수하는 간접 재사용(Indirect Reuse)을 의미하는 것이 아니라, 재생처리된 폐수를 방류하지 않고 조직의 사업 및 영업 행위에 다시 사용하는 직접 재사용(Direct Reuse)을 의미한다.  조직의 사업 특성에 따라 재사용 또는 재활용 불가능한 수준의 오수, 하수, 폐수가 발생할 수 있으나, 해당 오수, 하수, 폐수를 재사용 또는 재활용할 수 있는 수처리 기술도 발전하고 있다. 따라서 재사용…</t>
        </is>
      </c>
      <c r="Z17" s="28" t="inlineStr">
        <is>
          <t>[자동채점] | 근거충분성: 충분 | 근거페이지: [42, 43, 46, 91] | 근거: [지속가능경영보고서] 91p. 용수 재이용량 (단위: 천 톤) 47,587 47,877(줄 위치 특정 실패) → 2022년 47,587천 톤에서 2023년 47,877천 톤으로 재이용량이 증가하여 3단계 요건을 충족함.</t>
        </is>
      </c>
      <c r="AA17" s="25" t="inlineStr">
        <is>
          <t>사용한 용수를 직접 재사용/순환하는 비율이 증가 추세입니까?</t>
        </is>
      </c>
      <c r="AB17" s="25" t="inlineStr">
        <is>
          <t>단계(1~5)</t>
        </is>
      </c>
    </row>
    <row r="18" ht="91.5" customHeight="1">
      <c r="A18" s="16" t="n">
        <v>17</v>
      </c>
      <c r="B18" s="17" t="inlineStr">
        <is>
          <t>E-6-1</t>
        </is>
      </c>
      <c r="C18" s="18" t="inlineStr">
        <is>
          <t>기본진단항목(v2.0)</t>
        </is>
      </c>
      <c r="D18" s="32" t="inlineStr">
        <is>
          <t>환경</t>
        </is>
      </c>
      <c r="E18" s="18" t="inlineStr">
        <is>
          <t>폐기물</t>
        </is>
      </c>
      <c r="F18" s="18" t="inlineStr">
        <is>
          <t>폐기물 배출량</t>
        </is>
      </c>
      <c r="G18" s="18" t="inlineStr">
        <is>
          <t> 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is>
      </c>
      <c r="H18" s="18" t="inlineStr">
        <is>
          <t>‘조직별 홈페이지’ 上 지속가능경영보고서, ‘한국환경공단’&gt;자원순환정보시스템&gt;연도별 전국 폐기물 발생 및 처리현황</t>
        </is>
      </c>
      <c r="I18" s="18" t="inlineStr">
        <is>
          <t>최근 4개 회계연도</t>
        </is>
      </c>
      <c r="J18" s="18" t="inlineStr">
        <is>
          <t>국내외 사업장 및 기타 연결실체</t>
        </is>
      </c>
      <c r="K18" s="18" t="inlineStr">
        <is>
          <t>원단위 폐기물 배출량 = 총 폐기물 배출량 / 원단위 활용 분모</t>
        </is>
      </c>
      <c r="L18" s="20" t="inlineStr">
        <is>
          <t>단계형</t>
        </is>
      </c>
      <c r="M18" s="16" t="n">
        <v>3</v>
      </c>
      <c r="N18" s="18" t="inlineStr">
        <is>
          <t>단계형: 1단계=0점 / 2단계=50점 / 3단계=100점</t>
        </is>
      </c>
      <c r="O18" s="17" t="inlineStr">
        <is>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t>
        </is>
      </c>
      <c r="P18" s="33" t="inlineStr">
        <is>
          <t>GAP(대응지표 없음)</t>
        </is>
      </c>
      <c r="Q18" s="17" t="inlineStr">
        <is>
          <t>KSSB 제2호 직접 규정 없음(업종기반지표로만 요구 가능)</t>
        </is>
      </c>
      <c r="R18" s="17" t="inlineStr">
        <is>
          <t>GRI 306</t>
        </is>
      </c>
      <c r="S18" s="17" t="inlineStr">
        <is>
          <t>1_2_0_업종별 K-ESG 가이드라인(v2.0) 진단항목</t>
        </is>
      </c>
      <c r="T18" s="22" t="n">
        <v>1</v>
      </c>
      <c r="U18" s="23" t="n"/>
      <c r="V18" s="23" t="n"/>
      <c r="W18" s="23" t="n"/>
      <c r="X18" s="24" t="n">
        <v>1</v>
      </c>
      <c r="Y18" s="18" t="inlineStr">
        <is>
          <t> 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is>
      </c>
      <c r="Z18" s="18" t="inlineStr">
        <is>
          <t>[자동채점] | 근거충분성: 부분적 | 근거페이지: [48, 83, 91] | 근거: [지속가능경영보고서] 91p. 발생량 331,727 354,191 404,784 337,274(줄 위치 특정 실패) → 제시된 4개년(2020~2023) 폐기물 발생량 데이터는 매출액 등 생산 규모를 고려한 '원단위' 데이터가 아니며, 총량 기준으로도 2020년 대비 2023년 수치가 증가하여 감소 추세로 보기 어렵습니다.</t>
        </is>
      </c>
      <c r="AA18" s="25" t="inlineStr">
        <is>
          <t>지정/일반 폐기물 발생 총량의 원단위 감축 추세입니까?</t>
        </is>
      </c>
      <c r="AB18" s="25" t="inlineStr">
        <is>
          <t>단계(1~5)</t>
        </is>
      </c>
    </row>
    <row r="19" ht="91.5" customHeight="1">
      <c r="A19" s="26" t="n">
        <v>18</v>
      </c>
      <c r="B19" s="27" t="inlineStr">
        <is>
          <t>E-6-2</t>
        </is>
      </c>
      <c r="C19" s="28" t="inlineStr">
        <is>
          <t>기본진단항목(v2.0)</t>
        </is>
      </c>
      <c r="D19" s="32" t="inlineStr">
        <is>
          <t>환경</t>
        </is>
      </c>
      <c r="E19" s="28" t="inlineStr">
        <is>
          <t>폐기물</t>
        </is>
      </c>
      <c r="F19" s="28" t="inlineStr">
        <is>
          <t>폐기물 재활용 비율</t>
        </is>
      </c>
      <c r="G19" s="28" t="inlineStr">
        <is>
          <t> 조직이 자원순환 경제로 전환에 동참하기 위해, 생산 단계에서부터 폐기물을 원천 감량하는 것을 넘어, 폐기물의 순환이용을 높이고 있는지 확인  조직이 가공-생산-보관-유통 과정에서 발생하는 폐기물이 생산 과정에 재투입되거나, 조직 내/외부에서 2차 자원으로 재활용 되고 있는지 점검</t>
        </is>
      </c>
      <c r="H19" s="28" t="inlineStr">
        <is>
          <t>‘조직별 홈페이지’ 上 지속가능경영보고서, ‘한국환경공단’ 연도별 전국 폐기물 발생 및 처리현황, 폐기물 재활용 실적 및 업체현황, 재활용지정사업자 재활용실적, 포장재폐기물 발생량 및 재활용량</t>
        </is>
      </c>
      <c r="I19" s="28" t="inlineStr">
        <is>
          <t>최근 4개 회계연도</t>
        </is>
      </c>
      <c r="J19" s="28" t="inlineStr">
        <is>
          <t>국내외 사업장 및 기타 연결실체</t>
        </is>
      </c>
      <c r="K19" s="28" t="inlineStr">
        <is>
          <t>폐기물 재활용 비율 = 폐기물 재활용량(재사용 포함) / 재활용(재사용 포함) 대상 폐기물 발생량</t>
        </is>
      </c>
      <c r="L19" s="29" t="inlineStr">
        <is>
          <t>단계형</t>
        </is>
      </c>
      <c r="M19" s="26" t="n">
        <v>3</v>
      </c>
      <c r="N19" s="28" t="inlineStr">
        <is>
          <t>단계형: 1단계=0점 / 2단계=50점 / 3단계=100점</t>
        </is>
      </c>
      <c r="O19" s="27" t="inlineStr">
        <is>
          <t>1단계 |  지난 4개년 폐기물 재활용 비율이 감소 추세 |  2단계 |  지난 4개년 폐기물 재활용 비율이 변동 없음 |  3단계 |  지난 4개년 폐기물 재활용 비율이 증가 추세 |  * 폐기물 재활용 비율을 관리하지 않고 있는 경우 0점 적용 |  * 국내 및 해외 모든 사업장이 재활용 및 재사용 가능한 폐기물 전부를 재활용 및 재사용하고 있는 경우 100점 적용 |  * 3개년 이하 데이터 보유 시 해당 데이터로 추세 산정 |  * '유지 추세'로 판단할 경우 2단계로 적용하여 평가</t>
        </is>
      </c>
      <c r="P19" s="33" t="inlineStr">
        <is>
          <t>GAP(대응지표 없음)</t>
        </is>
      </c>
      <c r="Q19" s="27" t="inlineStr">
        <is>
          <t>KSSB 제2호 직접 규정 없음</t>
        </is>
      </c>
      <c r="R19" s="27" t="inlineStr">
        <is>
          <t>GRI 306</t>
        </is>
      </c>
      <c r="S19" s="27" t="inlineStr">
        <is>
          <t>1_2_0_업종별 K-ESG 가이드라인(v2.0) 진단항목</t>
        </is>
      </c>
      <c r="T19" s="22" t="n">
        <v>3</v>
      </c>
      <c r="U19" s="23" t="n"/>
      <c r="V19" s="23" t="n"/>
      <c r="W19" s="23" t="n"/>
      <c r="X19" s="30" t="n">
        <v>100</v>
      </c>
      <c r="Y19" s="28" t="inlineStr">
        <is>
          <t> 폐기물 재사용이란 원부자재 또는 재공품의 본래 용도 및 사용 목적과 같은 목적으로 사용하는 것을 의미하며, 폐기물 재활용이란 폐기된 원부자재 또는 재공품에서 유용한 자원을 회수하여 활용하는 것을 의미한다. 폐기물 재활용은 크게 아래와 같은 3가지 기준으로 구분할 수 있다. - 물질적 회수 : 폐기물이나 부산물을 처리하여 유가금속, 철스크랩, 종이류, 목재 등 특정 2차 물질을 회수하여 재활용하는 방식 - 화학적 회수 : 폐기물이나 부산물의 분자구조를 변형시키는 것으로 이전에는 실질적으로 재활용할 수 없었던 것을 재활용 할 수 있도록 변형하는 방식 - 에너지 전환 : 폐기물이나 부산물로부터 고형연료, 메탄가스 또는 기타 에너지원을 회수하여 새로운 에너지원으로 전환하는…</t>
        </is>
      </c>
      <c r="Z19" s="28" t="inlineStr">
        <is>
          <t>[자동채점] | 근거충분성: 충분 | 근거페이지: [46, 48, 83, 91] | 근거: [지속가능경영보고서] 91p. 지정폐기물 재활용률 국내 97.4 98.0 98.1 98.5 해외 86.4 99.8 99.8 99.8(2번째 줄) → 제시된 4개년 데이터에서 국내 및 해외 사업장의 지정폐기물 재활용률이 전반적으로 상승하거나 높은 수준을 유지하며 증가 추세를 보이고 있어 3단계 요건을 충족함.</t>
        </is>
      </c>
      <c r="AA19" s="25" t="inlineStr">
        <is>
          <t>물질/화학적 회수를 통한 전체 폐기물 재활용률이 증가 추세입니까?</t>
        </is>
      </c>
      <c r="AB19" s="25" t="inlineStr">
        <is>
          <t>단계(1~5)</t>
        </is>
      </c>
    </row>
    <row r="20" ht="91.5" customHeight="1">
      <c r="A20" s="16" t="n">
        <v>19</v>
      </c>
      <c r="B20" s="17" t="inlineStr">
        <is>
          <t>E-7-1</t>
        </is>
      </c>
      <c r="C20" s="18" t="inlineStr">
        <is>
          <t>기본진단항목(v2.0)</t>
        </is>
      </c>
      <c r="D20" s="32" t="inlineStr">
        <is>
          <t>환경</t>
        </is>
      </c>
      <c r="E20" s="18" t="inlineStr">
        <is>
          <t>오염물질</t>
        </is>
      </c>
      <c r="F20" s="18" t="inlineStr">
        <is>
          <t>대기오염물질 배출량</t>
        </is>
      </c>
      <c r="G20" s="18" t="inlineStr">
        <is>
          <t> 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is>
      </c>
      <c r="H20" s="18" t="inlineStr">
        <is>
          <t>‘조직별 홈페이지’ 上 지속가능경영보고서, ‘한국환경공단-에어코리아’ 上 실시간 자료조회</t>
        </is>
      </c>
      <c r="I20" s="18" t="inlineStr">
        <is>
          <t>최근 4개년 회계연도</t>
        </is>
      </c>
      <c r="J20" s="18" t="inlineStr">
        <is>
          <t>국내외 사업장 및 기타 연결실체</t>
        </is>
      </c>
      <c r="K20" s="18" t="inlineStr">
        <is>
          <t>대기오염물질 배출 = 질소산화물, 황산화물, 미세먼지의 배출농도(PPM, mg/㎥)</t>
        </is>
      </c>
      <c r="L20" s="20" t="inlineStr">
        <is>
          <t>단계형</t>
        </is>
      </c>
      <c r="M20" s="16" t="n">
        <v>3</v>
      </c>
      <c r="N20" s="18" t="inlineStr">
        <is>
          <t>단계형: 1단계=0점 / 2단계=50점 / 3단계=100점</t>
        </is>
      </c>
      <c r="O20" s="17" t="inlineStr">
        <is>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t>
        </is>
      </c>
      <c r="P20" s="33" t="inlineStr">
        <is>
          <t>GAP(대응지표 없음)</t>
        </is>
      </c>
      <c r="Q20" s="17" t="inlineStr">
        <is>
          <t>KSSB 제2호 직접 규정 없음</t>
        </is>
      </c>
      <c r="R20" s="17" t="inlineStr">
        <is>
          <t>GRI 305-7</t>
        </is>
      </c>
      <c r="S20" s="17" t="inlineStr">
        <is>
          <t>1_2_0_업종별 K-ESG 가이드라인(v2.0) 진단항목</t>
        </is>
      </c>
      <c r="T20" s="22" t="n">
        <v>3</v>
      </c>
      <c r="U20" s="23" t="n"/>
      <c r="V20" s="23" t="n"/>
      <c r="W20" s="23" t="n"/>
      <c r="X20" s="24" t="n">
        <v>100</v>
      </c>
      <c r="Y20" s="18" t="inlineStr">
        <is>
          <t> 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 대기오염물질 배출농도 및 가스유량은 ｢환경분야 시험·검사 등에 관한 법률｣ 제6조제1항에 따라 환경부장관이 정하여 고시한 환경오염공정시험기준(또는 이에 준하는 국가별 관계법령)에 따라 측정한다.  ｢대기환경보전법｣에 따른 대기오염물질 방지시설 설치 면제사업장의 경우, 동법 시행규칙 별지 제7호 서식에 따라…</t>
        </is>
      </c>
      <c r="Z20" s="18" t="inlineStr">
        <is>
          <t>[자동채점] | 근거충분성: 충분 | 근거페이지: [80, 81] | 근거: [지속가능경영보고서] 81p. NOx 363.5 241.3 158.2 142.1(줄 위치 특정 실패) → 이천 사업장의 주요 대기오염물질인 NOx 배출량이 2020년부터 2023년까지 지속적으로 감소하는 추세를 보이고 있어 3단계 요건을 충족함.</t>
        </is>
      </c>
      <c r="AA20" s="25" t="inlineStr">
        <is>
          <t>NOx, SOx, 미세먼지 원단위 배출농도가 감소 추세입니까?</t>
        </is>
      </c>
      <c r="AB20" s="25" t="inlineStr">
        <is>
          <t>단계(1~5)</t>
        </is>
      </c>
    </row>
    <row r="21" ht="91.5" customHeight="1">
      <c r="A21" s="26" t="n">
        <v>20</v>
      </c>
      <c r="B21" s="27" t="inlineStr">
        <is>
          <t>E-7-2</t>
        </is>
      </c>
      <c r="C21" s="28" t="inlineStr">
        <is>
          <t>기본진단항목(v2.0)</t>
        </is>
      </c>
      <c r="D21" s="32" t="inlineStr">
        <is>
          <t>환경</t>
        </is>
      </c>
      <c r="E21" s="28" t="inlineStr">
        <is>
          <t>오염물질</t>
        </is>
      </c>
      <c r="F21" s="28" t="inlineStr">
        <is>
          <t>수질오염물질 배출량</t>
        </is>
      </c>
      <c r="G21" s="28" t="inlineStr">
        <is>
          <t> 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is>
      </c>
      <c r="H21" s="28" t="inlineStr">
        <is>
          <t>‘조직별 홈페이지’ 上 지속가능경영보고서, ‘환경부-물환경정보시스템’ 上 수질측정망</t>
        </is>
      </c>
      <c r="I21" s="28" t="inlineStr">
        <is>
          <t>최근 4개 회계연도</t>
        </is>
      </c>
      <c r="J21" s="28" t="inlineStr">
        <is>
          <t>국내외 사업장 및 기타 연결실체</t>
        </is>
      </c>
      <c r="K21" s="28" t="inlineStr">
        <is>
          <t>수질오염물질 배출 = 생물화학적 산소요구량, 총 유기탄소량, 부유물질량의 배출농도(PPM, mg/l)</t>
        </is>
      </c>
      <c r="L21" s="29" t="inlineStr">
        <is>
          <t>단계형</t>
        </is>
      </c>
      <c r="M21" s="26" t="n">
        <v>3</v>
      </c>
      <c r="N21" s="28" t="inlineStr">
        <is>
          <t>단계형: 1단계=0점 / 2단계=50점 / 3단계=100점</t>
        </is>
      </c>
      <c r="O21" s="27" t="inlineStr">
        <is>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t>
        </is>
      </c>
      <c r="P21" s="33" t="inlineStr">
        <is>
          <t>GAP(대응지표 없음)</t>
        </is>
      </c>
      <c r="Q21" s="27" t="inlineStr">
        <is>
          <t>KSSB 제2호 직접 규정 없음</t>
        </is>
      </c>
      <c r="R21" s="27" t="inlineStr">
        <is>
          <t>GRI 303-4</t>
        </is>
      </c>
      <c r="S21" s="27" t="inlineStr">
        <is>
          <t>1_2_0_업종별 K-ESG 가이드라인(v2.0) 진단항목</t>
        </is>
      </c>
      <c r="T21" s="22" t="n">
        <v>3</v>
      </c>
      <c r="U21" s="23" t="n"/>
      <c r="V21" s="23" t="n"/>
      <c r="W21" s="23" t="n"/>
      <c r="X21" s="30" t="n">
        <v>100</v>
      </c>
      <c r="Y21" s="28" t="inlineStr">
        <is>
          <t> 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 ｢물환경보전법｣ 제35조에 따른 수질오염물질 방지시설 면제사업장에 해당하는 경우 수질오염물질 배출 성과를 점검하지 아니할 수 있다.  조직의 수질오염물질 배출 수준을 점검하는 방식에는 1) 폐수를 방류하거나, 폐수처리시설과 관련된 수계의 평균 오염농도 대비, 2) 조직의 과거년도 배출농도를…</t>
        </is>
      </c>
      <c r="Z21" s="28" t="inlineStr">
        <is>
          <t>[자동채점] | 근거충분성: 충분 | 근거페이지: [42, 81, 82] | 근거: [지속가능경영보고서] 82p. 국내 방류수 수질은 ‘좋은 물’ 주요 관리 지표를 충족하는 수준 이상으로 관리(COD 5 이하, TOC 4 이하, BOD 3 이하, SS 25 이하, T-P 0.1 이하)(줄 위치 특정 실패) → 제시된 근거에서 수질오염물질인 BOD, TOC, SS의 배출 농도를 관리하고 있으며, '좋은 물' 지표를 충족하는 수준으로 관리하고 있어 감소 및 유지 추세의 성과를 보이고 있으므로 3단계에 해당함.</t>
        </is>
      </c>
      <c r="AA21" s="25" t="inlineStr">
        <is>
          <t>BOD, TOC, SS 배출농도가 감소 추세입니까?</t>
        </is>
      </c>
      <c r="AB21" s="25" t="inlineStr">
        <is>
          <t>단계(1~5)</t>
        </is>
      </c>
    </row>
    <row r="22" ht="91.5" customHeight="1">
      <c r="A22" s="16" t="n">
        <v>21</v>
      </c>
      <c r="B22" s="17" t="inlineStr">
        <is>
          <t>E-8-1</t>
        </is>
      </c>
      <c r="C22" s="18" t="inlineStr">
        <is>
          <t>기본진단항목(v2.0)</t>
        </is>
      </c>
      <c r="D22" s="32" t="inlineStr">
        <is>
          <t>환경</t>
        </is>
      </c>
      <c r="E22" s="18" t="inlineStr">
        <is>
          <t>환경 법/규제 위반</t>
        </is>
      </c>
      <c r="F22" s="18" t="inlineStr">
        <is>
          <t>환경 법/규제 위반</t>
        </is>
      </c>
      <c r="G22" s="18" t="inlineStr">
        <is>
          <t> 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is>
      </c>
      <c r="H22" s="18" t="inlineStr">
        <is>
          <t>‘전자공시시스템’ 上 사업보고서, ‘조직별 홈페이지’ 上 지속가능경영보고서</t>
        </is>
      </c>
      <c r="I22" s="18" t="inlineStr">
        <is>
          <t>최근 4개 회계연도</t>
        </is>
      </c>
      <c r="J22" s="18" t="inlineStr">
        <is>
          <t>국내외 사업장 및 기타 연결실체</t>
        </is>
      </c>
      <c r="K22" s="17" t="inlineStr">
        <is>
          <t>∑(환경 법/규제 위반 건 * 처벌수위별 감점 기준)</t>
        </is>
      </c>
      <c r="L22" s="20" t="inlineStr">
        <is>
          <t>감점형</t>
        </is>
      </c>
      <c r="M22" s="16" t="n">
        <v>3</v>
      </c>
      <c r="N22" s="59" t="inlineStr">
        <is>
          <t>감점형: 기준 100점에서 위반유형별(-50/-30/-10점) 차감(중복 적용 가능), 최저 0점</t>
        </is>
      </c>
      <c r="O22" s="59" t="inlineStr">
        <is>
          <t>유형 1 |  지난 4개년 간 환경 법/규제 위반내역 중 판결이 확정된 건수에 대해, 처벌수위가 사법상 형벌, 벌금, 과료인 경우, 또는 국가나 |  지방자치단체를 당사자로 하는 계약에서 입찰참가자격을 제한당한 경우 |  유형 2 |  지난 4개년 간 환경 법/규제 위반내역 중 판결이 확정된 건수에 대해, 처벌수위가 행정상 처분 중 금전적 처분에 해당하는 과태료, |  과징금, 이행강제금 등인 경우 |  유형 3 |  지난 4개년 간 환경 법/규제 위반내역 중 판결이 확정된 건수에 대해, 처벌수위가 행정상 처분 중 비금전적 처분에 해당하는 시정 |  명령, 시정권고, 경고 등인 경우 |  * 감점 사항이 없을 경우, 감점 없음 |  * 단, 처벌 및 조치내역의 발생횟수에 따른 감점 시 환경 분야의 총 평가 최저점은 0점으로 하한선 설정</t>
        </is>
      </c>
      <c r="P22" s="21" t="inlineStr">
        <is>
          <t>부분대응</t>
        </is>
      </c>
      <c r="Q22" s="17" t="inlineStr">
        <is>
          <t>KSSB 제1호 문단 위험관리 원칙 준용</t>
        </is>
      </c>
      <c r="R22" s="17" t="inlineStr">
        <is>
          <t>GRI 2-27(Compliance)</t>
        </is>
      </c>
      <c r="S22" s="17" t="inlineStr">
        <is>
          <t>1_2_0_업종별 K-ESG 가이드라인(v2.0) 진단항목</t>
        </is>
      </c>
      <c r="T22" s="34" t="inlineStr">
        <is>
          <t>해당없음(감점형)</t>
        </is>
      </c>
      <c r="U22" s="22" t="n">
        <v>0</v>
      </c>
      <c r="V22" s="22" t="n">
        <v>2</v>
      </c>
      <c r="W22" s="22" t="n">
        <v>0</v>
      </c>
      <c r="X22" s="24" t="n">
        <v>40</v>
      </c>
      <c r="Y22" s="18" t="inlineStr">
        <is>
          <t> 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is>
      </c>
      <c r="Z22" s="18" t="inlineStr">
        <is>
          <t>[자동채점] | 근거충분성: 충분 | 근거페이지: [83, 412, 413] | 근거: [유형2] [사업보고서] 412p. 2021 | 5/6 | 환경부 | 사업주 | 과태료 | 24 | 이천, 청주 2019년 냉매 회수실적 누락 | 대기환경보전법 제76조의 10 제2항 | 과태료 납부 및 냉매회수실적 수정 | 냉매회수/폐기 계약 시 냉매관리기록부 작성 의무화 명시 등
2023 | 1/2 | 한강유역환경청, 수원지방법원 여주지원 | 사업주 | 과태료 | 300 | 화학물질관리법 위반 | 화학물질관리법 제31조 제1항, 제64조 제1항 제6호 | 과태료 납부 | 도급신고 기준 강화(줄 위치 특정 실패) → 지난 4개년 간 대기환경보전법 및 화학물질관리법 위반으로 인한 과태료 처분 사례가 2건 확인되었습니다. | [AI검토필요] 위반 발견 - 재확인 권장</t>
        </is>
      </c>
      <c r="AA22" s="25" t="inlineStr">
        <is>
          <t>환경 관계 법령 위반 처벌 및 제재 이력이 있습니까?</t>
        </is>
      </c>
      <c r="AB22" s="25" t="inlineStr">
        <is>
          <t>단계(1~5)</t>
        </is>
      </c>
    </row>
    <row r="23" ht="91.5" customHeight="1">
      <c r="A23" s="26" t="n">
        <v>22</v>
      </c>
      <c r="B23" s="27" t="inlineStr">
        <is>
          <t>E-9-1</t>
        </is>
      </c>
      <c r="C23" s="28" t="inlineStr">
        <is>
          <t>기본진단항목(v2.0)</t>
        </is>
      </c>
      <c r="D23" s="32" t="inlineStr">
        <is>
          <t>환경</t>
        </is>
      </c>
      <c r="E23" s="28" t="inlineStr">
        <is>
          <t>환경 라벨링</t>
        </is>
      </c>
      <c r="F23" s="28" t="inlineStr">
        <is>
          <t>친환경 인증 제품 및 서비스 비율</t>
        </is>
      </c>
      <c r="G23" s="28" t="inlineStr">
        <is>
          <t> 제품의 생산 과정에서 자원·에너지 사용, 오염물질 배출, 인체·생태계 독성 등 환경영향을 파악하며, 제품의 긍정적 환경영향을 확대하고 부정적 환경영향은 축소하고 있는지 확인  ISO 등 국제인증표준에 준하거나, 환경부 등 정부기관에서 시행하고 있는 친환경 인증 획득 제품이 전체 제품에서 차지하는 비율을 점검</t>
        </is>
      </c>
      <c r="H23" s="28" t="inlineStr">
        <is>
          <t>‘전자공시시스템’ 上 사업보고서, ‘조직별 홈페이지’ 上 지속가능경영보고서</t>
        </is>
      </c>
      <c r="I23" s="28" t="inlineStr">
        <is>
          <t>직전 회계연도</t>
        </is>
      </c>
      <c r="J23" s="28" t="inlineStr">
        <is>
          <t>국내외 사업장 및 기타 연결실체</t>
        </is>
      </c>
      <c r="K23" s="28" t="inlineStr">
        <is>
          <t>친환경 인증 제품 및 서비스 비율 = (친환경 인증 제품 및 서비스 매출액 / 조직의 총 매출액)</t>
        </is>
      </c>
      <c r="L23" s="29" t="inlineStr">
        <is>
          <t>단계형</t>
        </is>
      </c>
      <c r="M23" s="26" t="n">
        <v>3</v>
      </c>
      <c r="N23" s="28" t="inlineStr">
        <is>
          <t>단계형: 1단계=100점 / 2단계=50점 / 3단계=0점</t>
        </is>
      </c>
      <c r="O23" s="27" t="inlineStr">
        <is>
          <t>1단계 |  친환경 인증을 획득한 제품 및 서비스, 또는 친환경 인증 원부자재 등이 포함된 제품군의 매출비율이 증가 추세 |  2단계 |  친환경 인증을 획득한 제품 및 서비스, 또는 친환경 인증 원부자재 등이 포함된 제품군의 매출비율이 변동 없음 |  3단계 |  친환경 인증을 획득한 제품 및 서비스, 또는 친환경 인증 원부자재 등이 포함된 제품군의 매출비율이 감소 추세 |  * 완성품이 아닌 원부자재 생산 업종의 경우 원부자재에 대한 친환경 인증을 기준으로 점검 |  * 3개년 이하 데이터 보유 시 해당 데이터로 추세 산정 |  * '유지 추세'로 판단할 경우 2단계로 적용하여 평가</t>
        </is>
      </c>
      <c r="P23" s="21" t="inlineStr">
        <is>
          <t>부분대응</t>
        </is>
      </c>
      <c r="Q23" s="27" t="inlineStr">
        <is>
          <t>KSSB 제2호 문단 29(4) 친환경 기회(택소노미 부합 매출) 취지 유사</t>
        </is>
      </c>
      <c r="R23" s="27" t="inlineStr">
        <is>
          <t>K-ESG 고유지표, K-Taxonomy</t>
        </is>
      </c>
      <c r="S23" s="27" t="inlineStr">
        <is>
          <t>1_2_0_업종별 K-ESG 가이드라인(v2.0) 진단항목</t>
        </is>
      </c>
      <c r="T23" s="22" t="n">
        <v>2</v>
      </c>
      <c r="U23" s="23" t="n"/>
      <c r="V23" s="23" t="n"/>
      <c r="W23" s="23" t="n"/>
      <c r="X23" s="30" t="n">
        <v>50</v>
      </c>
      <c r="Y23" s="28" t="inlineStr">
        <is>
          <t> 친환경 제품 및 서비스 인증은 1) 제품 및 서비스 자체의 친환경성을 확인, 2) 제품 및 서비스가 환경에 미치는 계량적 정보를 라벨링하는 것에 대해 공신력 있는 제3자기관으로부터 인증을 획득하거나 국내외 표준규격을 준용하여 조직이 자체적으로 선언하는 것을 포함한다. 친환경 제품 및 서비스 인증표준 및 관련 제도는 국가별, 지역별 또는 제품/서비스 유형별로 다양하게 도입되고 있어, 조직은 해당 산업 내 통용되는 친환경 제품 및 서비스 인증표준 및 관련 제도를 파악하고, 해당 인증을 획득한 제품 및 서비스가 차지하는 비율을 관리할 수 있다. - 해외 주요 인증 : ISO14021, ISO14024, ISO14025, CE Marking - 국내 주요 인증 : 환경마크,…</t>
        </is>
      </c>
      <c r="Z23" s="28" t="inlineStr">
        <is>
          <t>[자동채점] | 근거충분성: 부분적 | 근거페이지: [44, 52] | 근거: [지속가능경영보고서] 52p. SK하이닉스는 2023년에도 10나노급 16Gb DDR5 제품과 낸드플래시 512Gb TLC 제품에 대한 탄소발자국 및 물발자국 환경성적표지 인증을 획득하는 등 지속적으로 환경성적표지 인증 제품의 범위를 확대하고 있습니다.(줄 위치 특정 실패) → 친환경 인증 제품의 범위를 지속적으로 확대하고 있으나, 해당 제품군의 매출 비율에 대한 정량적 수치나 추세 데이터가 제시되지 않아 변동 없음(유지 추세)으로 간주하여 2단계로 평가함.</t>
        </is>
      </c>
      <c r="AA23" s="25" t="inlineStr">
        <is>
          <t>친환경 인증 제품 및 서비스 비율을 정량적으로 산정하여 관리·공시하고 있습니까?</t>
        </is>
      </c>
      <c r="AB23" s="25" t="inlineStr">
        <is>
          <t>단계(1~5)</t>
        </is>
      </c>
    </row>
    <row r="24" ht="91.5" customHeight="1">
      <c r="A24" s="16" t="n">
        <v>23</v>
      </c>
      <c r="B24" s="17" t="inlineStr">
        <is>
          <t>E-10-1</t>
        </is>
      </c>
      <c r="C24" s="18" t="inlineStr">
        <is>
          <t>기본진단항목(v2.0)</t>
        </is>
      </c>
      <c r="D24" s="32" t="inlineStr">
        <is>
          <t>환경</t>
        </is>
      </c>
      <c r="E24" s="18" t="inlineStr">
        <is>
          <t>기후변화대응</t>
        </is>
      </c>
      <c r="F24" s="18" t="inlineStr">
        <is>
          <t>기후변화 거버넌스</t>
        </is>
      </c>
      <c r="G24" s="18" t="inlineStr">
        <is>
          <t> 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is>
      </c>
      <c r="H24" s="18" t="inlineStr">
        <is>
          <t>‘조직별 홈페이지’ 上 지속가능성보고서, TCFD 보고서, 기후변화 대응계획, 이사회 또는 ESG위원회(지속가능경영위원회) 조직도 및 회의록</t>
        </is>
      </c>
      <c r="I24" s="18" t="inlineStr">
        <is>
          <t>직전 회계연도 기준</t>
        </is>
      </c>
      <c r="J24" s="17" t="inlineStr">
        <is>
          <t>N/A</t>
        </is>
      </c>
      <c r="K24" s="17" t="inlineStr">
        <is>
          <t>N/A</t>
        </is>
      </c>
      <c r="L24" s="20" t="inlineStr">
        <is>
          <t>단계형</t>
        </is>
      </c>
      <c r="M24" s="16" t="n">
        <v>5</v>
      </c>
      <c r="N24" s="18" t="inlineStr">
        <is>
          <t>단계형: 1단계=0점 / 2단계=25점 / 3단계=50점 / 4단계=75점 / 5단계=100점</t>
        </is>
      </c>
      <c r="O24" s="17" t="inlineStr">
        <is>
          <t>1단계 |  기후변화 문제에 대응할 수 있는 담당자(혹은 기구)가 없음 |  2단계 |  기후변화 문제에 대응하기 위한 관리자(혹은 담당부서)가 있으며, 담당부서의 KPIs에 조직의 기후변화 대응 목표가 반영되어 |  있음 |  3단계 |  기후변화 문제에 대응하기 위한 관리직(C-level) 혹은 위원회가 있으며, 관리직의 KPIs에 조직의 기후변화 대응 목표가 반영되어 |  있음 (예 : 기후/지속가능성/ESG 최고 책임자, 리스크 관리 최고 책임자(CEO 제외) 등) |  4단계 |  3단계 + 기후 관련 문제를 이사회 차원의 위원회에서 관리·감독하고 있으며, 이사회 안건으로 상정하고 있음 |  (예 : 기후/지속가능성/ESG 위원회, 리스크 관리 위원회 등) |  5단계 |  4단계 + 조직 구성원에게 기후변화 대응 목표 KPIs 달성도에 따라 인센티브를 제공하고 있음</t>
        </is>
      </c>
      <c r="P24" s="31" t="inlineStr">
        <is>
          <t>완전대응</t>
        </is>
      </c>
      <c r="Q24" s="17" t="inlineStr">
        <is>
          <t>KSSB 제2호 문단 6(1),(2) — 기후 거버넌스</t>
        </is>
      </c>
      <c r="R24" s="17" t="inlineStr">
        <is>
          <t>TCFD, GRI 2-9</t>
        </is>
      </c>
      <c r="S24" s="17" t="inlineStr">
        <is>
          <t>1_2_0_업종별 K-ESG 가이드라인(v2.0) 진단항목</t>
        </is>
      </c>
      <c r="T24" s="22" t="n">
        <v>4</v>
      </c>
      <c r="U24" s="23" t="n"/>
      <c r="V24" s="23" t="n"/>
      <c r="W24" s="23" t="n"/>
      <c r="X24" s="24" t="n">
        <v>75</v>
      </c>
      <c r="Y24" s="17" t="inlineStr">
        <is>
          <t> 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 기후변화 대응을 위한 조직 활동으로는 온실가스 감축, 재생에너지 확대, 산림보호, 폐기물 관리, 관련 교육 등이 있으며, 위…</t>
        </is>
      </c>
      <c r="Z24" s="18" t="inlineStr">
        <is>
          <t>[자동채점] | 근거충분성: 부분적 | 근거페이지: [29, 37] | 근거: [지속가능경영보고서] 37p. SK하이닉스는 ESG경영위원회 산하에 탄소관리위원회를 두고 온실가스 배출량 저감을 위한 전사 차원의 실행 전략 고도화에 힘쓰고 있습니다.(줄 위치 특정 실패) → ESG경영위원회 및 탄소관리위원회를 통해 기후변화 대응을 관리·감독하고 이사회에 보고하고 있으나, 구성원 대상 인센티브 제공 여부에 대한 명확한 근거가 부족하여 4단계로 판단함.</t>
        </is>
      </c>
      <c r="AA24" s="25" t="inlineStr">
        <is>
          <t>기후변화 대응을 위한 이사회 감독 및 구성원 KPI 연계 체계가 있습니까?</t>
        </is>
      </c>
      <c r="AB24" s="25" t="inlineStr">
        <is>
          <t>단계(1~5)</t>
        </is>
      </c>
    </row>
    <row r="25" ht="91.5" customHeight="1">
      <c r="A25" s="26" t="n">
        <v>24</v>
      </c>
      <c r="B25" s="27" t="inlineStr">
        <is>
          <t>E-10-2</t>
        </is>
      </c>
      <c r="C25" s="28" t="inlineStr">
        <is>
          <t>기본진단항목(v2.0)</t>
        </is>
      </c>
      <c r="D25" s="32" t="inlineStr">
        <is>
          <t>환경</t>
        </is>
      </c>
      <c r="E25" s="28" t="inlineStr">
        <is>
          <t>기후변화대응</t>
        </is>
      </c>
      <c r="F25" s="28" t="inlineStr">
        <is>
          <t>기후변화 중장기 리스크 식별</t>
        </is>
      </c>
      <c r="G25" s="28" t="inlineStr">
        <is>
          <t> 조직이 기후변화 이슈에 대응하기 위해 경영전략에 시나리오 분석을 도입해 활용하고 있는지 확인  조직의 리스크 분석 및 경영전략의 회복탄력성을 설명하기 위해 활용된 기후변화 시나리오가 ‘전환 시나리오’와 ‘물리적 시나리오’를 포함하고 있는지 확인</t>
        </is>
      </c>
      <c r="H25" s="28" t="inlineStr">
        <is>
          <t>‘조직별 홈페이지’ 上 지속가능경영보고서, TCFD 보고서, CDP 보고서 등</t>
        </is>
      </c>
      <c r="I25" s="28" t="inlineStr">
        <is>
          <t>직전 회계연도 기준</t>
        </is>
      </c>
      <c r="J25" s="28" t="inlineStr">
        <is>
          <t>국내외 사업장 및 기타 연결실체</t>
        </is>
      </c>
      <c r="K25" s="27" t="inlineStr">
        <is>
          <t>N/A</t>
        </is>
      </c>
      <c r="L25" s="29" t="inlineStr">
        <is>
          <t>복합가중형</t>
        </is>
      </c>
      <c r="M25" s="26" t="n"/>
      <c r="N25" s="28" t="inlineStr">
        <is>
          <t>복합가중형: 2~3개 세부요소를 균등가중평균(예: 1/2+1/2, 1/3×3) — 세부 배점은 점검기준 상세 참조, 자사취득점수는 수동 산정</t>
        </is>
      </c>
      <c r="O25" s="28" t="inlineStr">
        <is>
          <t>구분1(1/2) 구분2(1/2) |  전환 시나리오 물리 시나리오 |  요건1 (50점) 전환 시나리오 1개만 적용한 경우 물리 시나리오 1개만 적용한 경우 |  요건2 (100점) 2개 이상의 전환 시나리오를 적용한 경우 2개 이상의 물리 시나리오를 적용한 경우 |  ※ 기후변화 시나리오별 분석을 수행하지 않는 경우 0점 처리</t>
        </is>
      </c>
      <c r="P25" s="31" t="inlineStr">
        <is>
          <t>완전대응</t>
        </is>
      </c>
      <c r="Q25" s="27" t="inlineStr">
        <is>
          <t>KSSB 제2호 문단 10 — 단기·중기·장기 위험/기회 식별</t>
        </is>
      </c>
      <c r="R25" s="27" t="inlineStr">
        <is>
          <t>TCFD</t>
        </is>
      </c>
      <c r="S25" s="27" t="inlineStr">
        <is>
          <t>1_2_0_업종별 K-ESG 가이드라인(v2.0) 진단항목</t>
        </is>
      </c>
      <c r="T25" s="34" t="inlineStr">
        <is>
          <t>해당없음(복합가중형)</t>
        </is>
      </c>
      <c r="U25" s="23" t="n"/>
      <c r="V25" s="23" t="n"/>
      <c r="W25" s="23" t="n"/>
      <c r="X25" s="35" t="n">
        <v>1</v>
      </c>
      <c r="Y25" s="28" t="inlineStr">
        <is>
          <t> 조직은 기후변화 시나리오를 통해 지구온난화에 따른 불확실한 미래 상황을 예측하고, 각 시나리오별 상황이 조직의 사업에 미치는 잠재적인 영향을 분석할 수 있다.  조직은 기후변화가 비즈니스, 전략 및 재무성과에 미치는 잠재적 영향력을 사전에 파악하기 위해 기후 시나리오 분석 방법을 적용해야 하며, CDP(Conference of the Parties) 권고에 따라 1.5℃ 이하 시나리오를 포함하는 다양한 기후 관련 시나리오를 고려해야 한다.  조직은 1.5℃ 이하 시나리오, 1.5℃ 초과 시나리오를 모두 적용하여 분석한 후 각 시나리오를 비교 분석해야 한다.  ‘녹색금융협의체(NGFS)’는 기후 시나리오를 기후변화 자체에 의한 물리적 손해인 ‘물리적…</t>
        </is>
      </c>
      <c r="Z25" s="28" t="inlineStr">
        <is>
          <t>[자동채점] | 근거충분성: 불충분 | 근거페이지: [15, 37, 43] | 근거: [기후변화 중장기 리스크 식별 및 시나리오 분석] [지속가능경영보고서] 37p. 기후변화협의체 실무단은 TCFD에서 정의하는 기후변화 리스크/기회 요인 구분에 따라 총 7개 분과로 구성돼 있습니다. 실무단은 반도체 산업에 대해 폭넓은 이해와 경험을 가지고 있는 당사 26개 조직의 팀장을 주축으로 SK하이닉스와 관련된 기후변화 리스크/기회 요인을 식별하고 그로 인한 잠재적 재무적 영향을 분석하고 검토하기 위해 기후변화협의체를 구성하고 그 산하에 내부 실무 조직으로 구성된 실무단이 있습니다.(줄 위치 특정 실패) → 제시된 근거에는 기후변화 리스크와 기회 요인을 식별하고 잠재적 영향을 분석한다는 내용은 포함되어 있으나, 구체적으로 '전환 시나리오'와 '물리적 시나리오'를 도입하여 분석했다는 명시적인 근거가 확인되지 않아 0점으로 평가합니다. | [AI검토필요] 복합가중형 - 표본검증 권장</t>
        </is>
      </c>
      <c r="AA25" s="25" t="inlineStr">
        <is>
          <t>기후변화 중장기 리스크 식별을 정기적으로 실시하고 있습니까?</t>
        </is>
      </c>
      <c r="AB25" s="25" t="inlineStr">
        <is>
          <t>단계(1~5)</t>
        </is>
      </c>
    </row>
    <row r="26" ht="91.5" customHeight="1">
      <c r="A26" s="16" t="n">
        <v>25</v>
      </c>
      <c r="B26" s="17" t="inlineStr">
        <is>
          <t>E-10-3</t>
        </is>
      </c>
      <c r="C26" s="18" t="inlineStr">
        <is>
          <t>기본진단항목(v2.0)</t>
        </is>
      </c>
      <c r="D26" s="32" t="inlineStr">
        <is>
          <t>환경</t>
        </is>
      </c>
      <c r="E26" s="18" t="inlineStr">
        <is>
          <t>기후변화대응</t>
        </is>
      </c>
      <c r="F26" s="18" t="inlineStr">
        <is>
          <t>기후변화 물리 리스크 및 대응 방안</t>
        </is>
      </c>
      <c r="G26" s="18" t="inlineStr">
        <is>
          <t> 조직이 기후변화에 따라 비즈니스 운영, 전략, 수익 또는 지출에 실질적인 변화가 발생할 가능성이 있는 리스크를 식별하고 있는지 확인  물리적 기후변화(물 부족, 홍수 등)로 인한 정량적인 재무 리스크를 추정하고 소요 비용, 대응 전략, 관련 사업기회를 모색하고 있는지 점검  조직의 상황 및 수준에 따라 본 지표의 선택적 적용을 권고</t>
        </is>
      </c>
      <c r="H26" s="18" t="inlineStr">
        <is>
          <t>‘조직별 홈페이지’ 上 지속가능경영보고서, TCFD 보고서, CDP 보고서 등</t>
        </is>
      </c>
      <c r="I26" s="18" t="inlineStr">
        <is>
          <t>직전 회계연도 기준</t>
        </is>
      </c>
      <c r="J26" s="18" t="inlineStr">
        <is>
          <t>국내외 사업장 및 기타 연결실체</t>
        </is>
      </c>
      <c r="K26" s="17" t="inlineStr">
        <is>
          <t>N/A</t>
        </is>
      </c>
      <c r="L26" s="20" t="inlineStr">
        <is>
          <t>단계형</t>
        </is>
      </c>
      <c r="M26" s="16" t="n">
        <v>5</v>
      </c>
      <c r="N26" s="18" t="inlineStr">
        <is>
          <t>단계형: 1단계=0점 / 2단계=25점 / 3단계=50점 / 4단계=75점 / 5단계=100점</t>
        </is>
      </c>
      <c r="O26" s="17" t="inlineStr">
        <is>
          <t>1단계 |  조직이 기후변화로 인한 물리 리스크를 분석하지 않는 경우 |  2단계 |  조직이 기후변화로 인한 조직 전체 차원의 물리 리스크를 식별하고 정의하는 경우 |  3단계 |  2단계 + 물리 리스크로 인한 사업 영향력을 정성적으로 측정하는 경우 |  4단계 |  3단계 +물리 리스크로 인한 사업 영향력을 정량적으로 측정하여 리스크 해소한 경우 |  5단계 |  4단계 + 물리 리스크로 인해 발생할 수 있는 리스크에 대한 새로운 사업기회를 모색하는 등 기업의 회복탄력성을 수립한 경우 |  * 4단계에서 리스크에 따른 사업 영향력을 정량적으로 측정할 경우, 재해보험의 위험 전가율(%) 등도 고려할 수 있음</t>
        </is>
      </c>
      <c r="P26" s="21" t="inlineStr">
        <is>
          <t>부분대응</t>
        </is>
      </c>
      <c r="Q26" s="17" t="inlineStr">
        <is>
          <t>KSSB 제2호 문단 22, B1~B18 — 시나리오분석·회복력(1.5℃ 등 특정 시나리오 요건은 K-ESG에 미명시)</t>
        </is>
      </c>
      <c r="R26" s="17" t="inlineStr">
        <is>
          <t>TCFD</t>
        </is>
      </c>
      <c r="S26" s="17" t="inlineStr">
        <is>
          <t>1_2_0_업종별 K-ESG 가이드라인(v2.0) 진단항목</t>
        </is>
      </c>
      <c r="T26" s="22" t="n">
        <v>3</v>
      </c>
      <c r="U26" s="23" t="n"/>
      <c r="V26" s="23" t="n"/>
      <c r="W26" s="23" t="n"/>
      <c r="X26" s="24" t="n">
        <v>50</v>
      </c>
      <c r="Y26" s="18" t="inlineStr">
        <is>
          <t> 해당 지표는 기후변화 관련 리스크 중 특히 물리 리스크를 식별하고 이를 조치하는 프로세스가 마련되어 있는지를 확인하는 항목이다.  기후변화로 인해 발생 가능한 물리적인 리스크의 비용뿐만 아니라 이를 통해 새롭게 발생할 수 있는 신기술 개발 또는 시설 구축 등과 같은 비즈니스 기회까지 포함한다.  해당 지표에서 의미하는 물리적 기후변화 리스크는 태풍, 홍수, 물 부족 등 극한의 기상 현상으로 인해 발생 가능한 사업장 및 생산시설의 손해와 같은 재무적 손실, 이를 예방하기 위한 조치 비용, 풍수해 보험 비용 등의 추정치를 포함한다.  물리 리스크는 태풍, 집중호우 등 비교적 짧은 시간에 발생하는 단기적 리스크(급성)와 해수면 상승, 평균기온 상승 등 장기적으로…</t>
        </is>
      </c>
      <c r="Z26" s="18" t="inlineStr">
        <is>
          <t>[자동채점] | 근거충분성: 부분적 | 근거페이지: [29, 37, 43] | 근거: [사업보고서] 43p. 기후변화협의체 실무단은 TCFD에서 정의하는 기후변화 리스크/기회 요인 구분에 따라 총 7개 분과로 구성돼 있습니다. 실무단은 반도체 산업에 대해 폭넓은 이해와 경험을 가지고 있는 당사 26개 조직의 팀장을 주축으로 SK하이닉스와 관련된 기후변화 리스크/기회 요인을 식별하고 그로 인한 잠재적 재무적 영향을 파악해 대응 전략을 수립하고 있습니다.(줄 위치 특정 실패) → 기후변화 리스크를 식별하고 잠재적 영향을 파악하여 대응 전략을 수립하고 있으나, 물리적 리스크에 대한 정량적 측정 및 재무적 수치화에 대한 구체적인 근거가 부족하여 3단계로 판단함.</t>
        </is>
      </c>
      <c r="AA26" s="25" t="inlineStr">
        <is>
          <t>기후변화 물리 리스크 및 대응 방안을 파악하고 대응 방안을 마련하고 있습니까?</t>
        </is>
      </c>
      <c r="AB26" s="25" t="inlineStr">
        <is>
          <t>단계(1~5)</t>
        </is>
      </c>
    </row>
    <row r="27" ht="91.5" customHeight="1">
      <c r="A27" s="26" t="n">
        <v>26</v>
      </c>
      <c r="B27" s="27" t="inlineStr">
        <is>
          <t>E-10-4</t>
        </is>
      </c>
      <c r="C27" s="28" t="inlineStr">
        <is>
          <t>기본진단항목(v2.0)</t>
        </is>
      </c>
      <c r="D27" s="32" t="inlineStr">
        <is>
          <t>환경</t>
        </is>
      </c>
      <c r="E27" s="28" t="inlineStr">
        <is>
          <t>기후변화대응</t>
        </is>
      </c>
      <c r="F27" s="28" t="inlineStr">
        <is>
          <t>기후변화 전환 리스크 및 대응 방안</t>
        </is>
      </c>
      <c r="G27" s="28" t="inlineStr">
        <is>
          <t> 조직이 기후변화에 따라 비즈니스 운영, 전략, 수익 또는 지출에 실질적인 변화가 발생할 가능성이 있는 리스크를 식별하고 있는지 확인  기후변화 대응을 위해 규제에 따른 리스크(온실가스 배출권거래제, NDC 등) 발생 시 나타날 수 있는 정량적인 재무 리스크를 추정하고 소요 비용, 대응 전략, 관련 사업기회를 모색하고 있는지 점검  조직의 상황 및 수준에 따라 본 지표의 선택적 적용을 권고</t>
        </is>
      </c>
      <c r="H27" s="28" t="inlineStr">
        <is>
          <t>‘조직별 홈페이지’ 上 지속가능경영보고서, TCFD 보고서, CDP 보고서 등</t>
        </is>
      </c>
      <c r="I27" s="28" t="inlineStr">
        <is>
          <t>직전 회계연도 기준</t>
        </is>
      </c>
      <c r="J27" s="28" t="inlineStr">
        <is>
          <t>국내외 사업장 및 기타 연결실체</t>
        </is>
      </c>
      <c r="K27" s="27" t="inlineStr">
        <is>
          <t>N/A</t>
        </is>
      </c>
      <c r="L27" s="29" t="inlineStr">
        <is>
          <t>단계형</t>
        </is>
      </c>
      <c r="M27" s="26" t="n">
        <v>5</v>
      </c>
      <c r="N27" s="28" t="inlineStr">
        <is>
          <t>단계형: 1단계=0점 / 2단계=25점 / 3단계=50점 / 4단계=75점 / 5단계=100점</t>
        </is>
      </c>
      <c r="O27" s="27" t="inlineStr">
        <is>
          <t>1단계 |  조직이 기후변화로 인한 전환 리스크를 분석하지 않는 경우 |  2단계 |  조직이 기후변화로 인한 조직 전체 차원의 전환 리스크를 식별하고 정의하는 경우 |  3단계 |  2단계 + 전환 리스크로 인한 사업 영향력을 정량적으로 측정하는 경우 |  4단계 |  3단계+ 전환리스크로인한사업영향력을사업장별로측정해리스크해소에드는예상비용, 예상평균소요기간 등을분석하는경우 |  5단계 |  4단계 + 전환 리스크로 인해 발생할 수 있는 새로운 사업 기회를 모색하고 수립한 경우</t>
        </is>
      </c>
      <c r="P27" s="21" t="inlineStr">
        <is>
          <t>부분대응</t>
        </is>
      </c>
      <c r="Q27" s="27" t="inlineStr">
        <is>
          <t>KSSB 제2호 문단 22, B1~B18 — 전환위험 시나리오분석(정량 재무영향 산정은 K-ESG에 미요구)</t>
        </is>
      </c>
      <c r="R27" s="27" t="inlineStr">
        <is>
          <t>TCFD</t>
        </is>
      </c>
      <c r="S27" s="27" t="inlineStr">
        <is>
          <t>1_2_0_업종별 K-ESG 가이드라인(v2.0) 진단항목</t>
        </is>
      </c>
      <c r="T27" s="22" t="n">
        <v>3</v>
      </c>
      <c r="U27" s="23" t="n"/>
      <c r="V27" s="23" t="n"/>
      <c r="W27" s="23" t="n"/>
      <c r="X27" s="30" t="n">
        <v>50</v>
      </c>
      <c r="Y27" s="28" t="inlineStr">
        <is>
          <t> 해당 지표는 기후변화 관련 리스크 중 특히 기후변화를 해결하기 위한 규제 등을 이행 시 발생할 수 있는 전환적 리스크를 식별하고 이를 조치하는 프로세스가 마련되어 있는지를 확인하는 항목이다.  기후변화로 인해 발생 가능한 전환 리스크는 기후변화와 관련된 정책, 법률, 기술 및 시장 변화 등 광범위한 분야에 걸쳐 존재하며 이는 변화의 특성, 속도에 따라 조직의 재무 및 조직에 대한 소비자 평판 등에 영향을 줄 수 있다.  파리협정 장기 온도목표 달성을 위해 각 국가가 자발적으로 제출한 온실가스 감축 목표제(NDC) 이행에 필요한 배출권거래제, 연비규제, 에너지 관련 법안 등 정책적 리스크가 이에 포함된다.  TCFD는 조직에 잠재적인 영향을 미칠 수 있는 전환…</t>
        </is>
      </c>
      <c r="Z27" s="28" t="inlineStr">
        <is>
          <t>[자동채점] | 근거충분성: 충분 | 근거페이지: [29, 37, 43] | 근거: [사업보고서] 43p. 기후변화협의체 실무단은 TCFD에서 정의하는 기후변화 리스크/기회 요인 구분에 따라 총 7개 분과로 구성돼 있습니다. 실무단은 반도체 산업에 대해 폭넓은 이해와 경험을 가지고 있는 당사 26개 조직의 팀장을 주축으로 SK하이닉스와 관련된 기후변화 리스크/기회 요인을 식별하고 그로 인한 잠재적 재무적 영향을 분석하고 검토하기 위해 기후변화협의체를 구성하고(줄 위치 특정 실패) → 기후변화 리스크 식별 및 정의(2단계)를 수행하고, 그로 인한 잠재적 재무적 영향을 분석(3단계)하고 있으나, 사업장별 상세 비용 및 소요기간 분석이나 새로운 사업 기회 모색에 대한 구체적인 정량적 근거가 부족하여 3단계로 판단함.</t>
        </is>
      </c>
      <c r="AA27" s="25" t="inlineStr">
        <is>
          <t>기후변화 전환 리스크 및 대응 방안을 파악하고 대응 방안을 마련하고 있습니까?</t>
        </is>
      </c>
      <c r="AB27" s="25" t="inlineStr">
        <is>
          <t>단계(1~5)</t>
        </is>
      </c>
    </row>
    <row r="28" ht="91.5" customHeight="1">
      <c r="A28" s="16" t="n">
        <v>27</v>
      </c>
      <c r="B28" s="17" t="inlineStr">
        <is>
          <t>E-10-5</t>
        </is>
      </c>
      <c r="C28" s="18" t="inlineStr">
        <is>
          <t>기본진단항목(v2.0)</t>
        </is>
      </c>
      <c r="D28" s="32" t="inlineStr">
        <is>
          <t>환경</t>
        </is>
      </c>
      <c r="E28" s="18" t="inlineStr">
        <is>
          <t>기후변화대응</t>
        </is>
      </c>
      <c r="F28" s="18" t="inlineStr">
        <is>
          <t>온실가스 배출량 감축 선언</t>
        </is>
      </c>
      <c r="G28" s="18" t="inlineStr">
        <is>
          <t> 국가온실가스감축목표(NDC)에 따른 국내 2030년 온실가스 감축 목표(2018년 수준 대비 40% 감축)를 고려하여, 조직이 온실가스 배출량 감축 목표를 설정하고 있는지 여부 확인</t>
        </is>
      </c>
      <c r="H28" s="18" t="inlineStr">
        <is>
          <t>‘조직별 홈페이지’ 上 지속가능경영보고서, TCFD 보고서, CDP 보고서, Net-zero선언문, 기타 기후관련 이니셔티브 가입 선언 등</t>
        </is>
      </c>
      <c r="I28" s="18" t="inlineStr">
        <is>
          <t>직전 회계연도 기준</t>
        </is>
      </c>
      <c r="J28" s="18" t="inlineStr">
        <is>
          <t>국내외 사업장 및 기타 연결실체</t>
        </is>
      </c>
      <c r="K28" s="17" t="inlineStr">
        <is>
          <t>(구분1 + 구분2) * 1/2</t>
        </is>
      </c>
      <c r="L28" s="20" t="inlineStr">
        <is>
          <t>복합가중형</t>
        </is>
      </c>
      <c r="M28" s="16" t="n"/>
      <c r="N28" s="18" t="inlineStr">
        <is>
          <t>복합가중형: 2~3개 세부요소를 균등가중평균(예: 1/2+1/2, 1/3×3) — 세부 배점은 점검기준 상세 참조, 자사취득점수는 수동 산정</t>
        </is>
      </c>
      <c r="O28" s="18" t="inlineStr">
        <is>
          <t>구분1(1/2) 구분2(1/2) |  조직이 온실가스 배출 감축 선언(Commitment)을 조직이 사업장 내에서 배출하는 온실가스 배출량에 |  요건1 |  하고 이를 공개하는 경우 대해 파악하고 있는 경우 |  조직이 온실가스 배출량 감축을 위한 기준연도와 조직이 공급망에서 배출하는 온실가스 배출량을 |  요건2 |  목표연도, 감축 범위를 설정한 경우 관리하고 있는 경우 |  조직이 온실가스 배출량 감축을 위해 중간목표를 Scope1, 2 영역의 구체적인 온실가스 감축 |  요건3 |  포함한 중장기 로드맵을 가지고 있는 경우 프로그램을 이행하는 경우 |  조직이 온실가스 배출량 감축을 위한 구체적인 감축 Scope3 영역을 포함한 구체적인 온실가스 감축 |  요건4 |  계획을 수립한 경우 프로그램을 이행하는 경우 |  조직의 온실가스 감축 목표를 SBTi 등 과학적 기반으로 탄소제거 인증 프레임워크에 따라 인증된 탄소배출 |  요건5 |  검증받고 있는 경우 상쇄(Carbon offset) 계획을 수립한 경우 |  ※ 온실가스 배출 감축선언을 하지 않은 경우, 사업장 내 온실가스 배출량을 관리하지 않는 경우 0점 처리</t>
        </is>
      </c>
      <c r="P28" s="31" t="inlineStr">
        <is>
          <t>완전대응</t>
        </is>
      </c>
      <c r="Q28" s="17" t="inlineStr">
        <is>
          <t>KSSB 제2호 문단 33~36 — 감축목표·SBTi 정합</t>
        </is>
      </c>
      <c r="R28" s="17" t="inlineStr">
        <is>
          <t>GRI 305-5, SBTi</t>
        </is>
      </c>
      <c r="S28" s="17" t="inlineStr">
        <is>
          <t>1_2_0_업종별 K-ESG 가이드라인(v2.0) 진단항목</t>
        </is>
      </c>
      <c r="T28" s="34" t="inlineStr">
        <is>
          <t>해당없음(복합가중형)</t>
        </is>
      </c>
      <c r="U28" s="23" t="n"/>
      <c r="V28" s="23" t="n"/>
      <c r="W28" s="23" t="n"/>
      <c r="X28" s="35" t="n">
        <v>100</v>
      </c>
      <c r="Y28" s="18" t="inlineStr">
        <is>
          <t> 본 항목은 조직이 온실가스 배출량 감축 목표 설정 및 이를 공약하는지 여부와 이를 달성하기 위해 어떤 활동을 하고 있는지를 점검한다.  파리 협약에 따라 조직은 산업화 이전 수준보다 지구 온도 상승을 1.5°C로 제한한다는 목표에 맞게 비즈니스 활동 조정 등 온실가스 배출 감축을 위한 노력을 다해야 한다. 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 조직의 온실가스 배출량 감축 목표연도는 파리협약에 따른 2050년 혹은 그 이전으로 설정해야 하며,…</t>
        </is>
      </c>
      <c r="Z28" s="18" t="inlineStr">
        <is>
          <t>[자동채점] | 근거충분성: 충분 | 근거페이지: [38, 43, 44, 91] | 근거: [온실가스 배출량 감축 선언 및 목표 설정] [지속가능경영보고서] 91p. SK하이닉스는 2020년 SK그룹의 다른 멤버사들과 함께 국내 최초로 RE100 이니셔티브에 가입했으며, 2021년에는 2050년 넷 제로 달성 목표를 선언했습니다.(14번째 줄) → 2050년 넷 제로 달성 목표를 공식적으로 선언하고 RE100 이니셔티브에 가입하여 감축 목표를 명확히 설정하였습니다. / [중장기 로드맵 및 구체적 감축 계획] [사업보고서] 43p. 향후 2050년 Net Zero 달성을 위한 세부 로드맵과 이행 방안을 고도화하여 기후변화 대응을 위한 당사의 노력과 세부 실천 방안을 이해관계자와 투명하게 소통해 나갈 예정입니다.(10번째 줄) → Net Zero 달성을 위한 세부 로드맵과 이행 방안을 수립하고 고도화하고 있습니다. / [Scope 3 관리 및 과학적 기반 인증] [사업보고서] 44p. SK하이닉스는 2022년 결성된 반도체 기후변화 대응 컨소시엄(SCC, Semiconductor Climate Consortium)의 창립 멤버로 가입한 이후 반도체 가치사슬 전반에서의 온실가스 감축을 위해 반도체 산업의 각 분야를 대표하는 핵심 기업들과 함께 온실가스 감축을 진행하고 있습니다.(줄 위치 특정 실패) → Scope 3 배출량을 관리하고 있으며, SCC 등 협력 체계를 통해 가치사슬 전반의 온실가스 감축 프로그램을 이행하고 있습니다. | [AI검토필요] 복합가중형 - 표본검증 권장</t>
        </is>
      </c>
      <c r="AA28" s="25" t="inlineStr">
        <is>
          <t>온실가스 배출량 감축 선언을 대내외에 공식적으로 선언·발표하였습니까?</t>
        </is>
      </c>
      <c r="AB28" s="25" t="inlineStr">
        <is>
          <t>단계(1~5)</t>
        </is>
      </c>
    </row>
    <row r="29" ht="91.5" customHeight="1">
      <c r="A29" s="26" t="n">
        <v>28</v>
      </c>
      <c r="B29" s="27" t="inlineStr">
        <is>
          <t>E-11-1</t>
        </is>
      </c>
      <c r="C29" s="28" t="inlineStr">
        <is>
          <t>기본진단항목(v2.0)</t>
        </is>
      </c>
      <c r="D29" s="32" t="inlineStr">
        <is>
          <t>환경</t>
        </is>
      </c>
      <c r="E29" s="28" t="inlineStr">
        <is>
          <t>생물다양성</t>
        </is>
      </c>
      <c r="F29" s="28" t="inlineStr">
        <is>
          <t>자연자본 식별</t>
        </is>
      </c>
      <c r="G29" s="28" t="inlineStr">
        <is>
          <t> 조직이 자체적으로 사업이 환경에 미치는 부정적 영향을 제거하거나 최소화하기 위해 사전에 자연자본을 분석 및 검토하고 있는지 확인  자연자본을 식별하는 활동을 바탕으로 특정 생물종 및 개체수에 미치는 영향을 파악하고 있는지 점검  조직의 평가 및 이행점검 체계 구축 수준에 따라 본 지표의 선택적 적용을 권고</t>
        </is>
      </c>
      <c r="H29" s="28" t="inlineStr">
        <is>
          <t>‘조직별 홈페이지’ 上 지속가능경영보고서, TNFD 보고서 등</t>
        </is>
      </c>
      <c r="I29" s="28" t="inlineStr">
        <is>
          <t>직전 회계연도 기준</t>
        </is>
      </c>
      <c r="J29" s="27" t="inlineStr">
        <is>
          <t>N/A</t>
        </is>
      </c>
      <c r="K29" s="27" t="inlineStr">
        <is>
          <t>N/A</t>
        </is>
      </c>
      <c r="L29" s="29" t="inlineStr">
        <is>
          <t>단계형</t>
        </is>
      </c>
      <c r="M29" s="26" t="n">
        <v>5</v>
      </c>
      <c r="N29" s="28" t="inlineStr">
        <is>
          <t>단계형: 1단계=0점 / 2단계=25점 / 3단계=50점 / 4단계=75점 / 5단계=100점</t>
        </is>
      </c>
      <c r="O29" s="27" t="inlineStr">
        <is>
          <t>1단계 |  조직이 위치한 사업장의 자연자본을 식별하고 있지 않은 경우 |  2단계 |  조직이 위치한 사업장의 자연자본을 식별할 계획을 수립한 경우 |  3단계 |  조직이 위치한 일부 사업장의 자연자본을 식별하고 있는 경우 |  4단계 |  조직이 위치한 전체 사업장의 자연자본을 식별하고 있는 경우 |  5단계 |  대외적으로 식별된 자연자본을 공개하고 있는 경우</t>
        </is>
      </c>
      <c r="P29" s="21" t="inlineStr">
        <is>
          <t>부분대응</t>
        </is>
      </c>
      <c r="Q29" s="27" t="inlineStr">
        <is>
          <t>KSSB 제1호 문단 IG26~IG27(예시지침, 생물다양성은 별도 기준서 미제정)</t>
        </is>
      </c>
      <c r="R29" s="27" t="inlineStr">
        <is>
          <t>TNFD 권고안, GRI 304</t>
        </is>
      </c>
      <c r="S29" s="27" t="inlineStr">
        <is>
          <t>1_2_0_업종별 K-ESG 가이드라인(v2.0) 진단항목</t>
        </is>
      </c>
      <c r="T29" s="22" t="n">
        <v>3</v>
      </c>
      <c r="U29" s="23" t="n"/>
      <c r="V29" s="23" t="n"/>
      <c r="W29" s="23" t="n"/>
      <c r="X29" s="30" t="n">
        <v>50</v>
      </c>
      <c r="Y29" s="28" t="inlineStr">
        <is>
          <t> 자연자본은 인류에게 상품 및 서비스를 제공하는 식물, 동물, 대기, 물, 토양, 광물 등의 모든 유형자원을 포괄하는 개념으로 자연환경 요소로 구성된 자본 또는 자산(Stock)을 의미한다. 이는 사회와 기업이 기능하기 위해 자연자본에 어떻게 의존하는지를 경제적 관점으로 바라보는 것을 의미한다.  자연자본의 필수 구성 요소 중 하나인 생물다양성은 유전적, 종적 그리고 생태계 수준에서 살아있는 모든 유기체들의 다양성을 의미한다. 특히, 세계자연기금(WWF)은 2022년 지구생명 보고서(Living Planet Report)에서 전세계 포유류, 조류, 어류 등의 변화를 추적하는 지표인 지구생명지수(LPI)를 통해 지난 50년간 야생동물 개체군 규모가 69% 감소했다고…</t>
        </is>
      </c>
      <c r="Z29" s="28" t="inlineStr">
        <is>
          <t>[자동채점] | 근거충분성: 충분 | 근거페이지: [16, 27, 36, 44, 92] | 근거: [사업보고서] 27p. 현재 사업장이 위치한 이천, 청주의 방류 하천 모니터링을 넘어 새로 조성될 용인 반도체 클러스터 인근 지역의 하천인 안성천까지 선제적으로 관리하고 있습니다.(15번째 줄) → 이천, 청주, 용인 등 일부 사업장 및 인근 지역의 수생태계 현황과 멸종위기종 서식을 확인하고 관리하고 있으므로 3단계 요건을 충족합니다.</t>
        </is>
      </c>
      <c r="AA29" s="25" t="inlineStr">
        <is>
          <t>자연환경 자산, 멸종위기종 노출 리스크 등을 식별/공개합니까?</t>
        </is>
      </c>
      <c r="AB29" s="25" t="inlineStr">
        <is>
          <t>단계(1~5)</t>
        </is>
      </c>
    </row>
    <row r="30" ht="91.5" customHeight="1">
      <c r="A30" s="16" t="n">
        <v>29</v>
      </c>
      <c r="B30" s="17" t="inlineStr">
        <is>
          <t>E-11-2</t>
        </is>
      </c>
      <c r="C30" s="18" t="inlineStr">
        <is>
          <t>기본진단항목(v2.0)</t>
        </is>
      </c>
      <c r="D30" s="32" t="inlineStr">
        <is>
          <t>환경</t>
        </is>
      </c>
      <c r="E30" s="18" t="inlineStr">
        <is>
          <t>생물다양성</t>
        </is>
      </c>
      <c r="F30" s="18" t="inlineStr">
        <is>
          <t>생물다양성 보존 전략</t>
        </is>
      </c>
      <c r="G30" s="18" t="inlineStr">
        <is>
          <t> 조직의 사업 운영 전반에서 발생 가능한 생물다양성 관련 리스크를 점검하고, 지역사회의 생물다양성을 보전, 복원, 확대하기 위한 조직의 접근 방식 확인  조직의 생물다양성 분야 단기/중장기 목표 및 생물다양성 보전, 복원, 확대를 위한 계획의 구체성과 내재화 수준 점검</t>
        </is>
      </c>
      <c r="H30" s="18" t="inlineStr">
        <is>
          <t>생물다양성 보호 접근 방식</t>
        </is>
      </c>
      <c r="I30" s="18" t="inlineStr">
        <is>
          <t>직전 회계연도 기준</t>
        </is>
      </c>
      <c r="J30" s="17" t="inlineStr">
        <is>
          <t>N/A</t>
        </is>
      </c>
      <c r="K30" s="17" t="inlineStr">
        <is>
          <t>N/A</t>
        </is>
      </c>
      <c r="L30" s="20" t="inlineStr">
        <is>
          <t>선택형</t>
        </is>
      </c>
      <c r="M30" s="16" t="n">
        <v>5</v>
      </c>
      <c r="N30" s="18" t="inlineStr">
        <is>
          <t>선택형: 요건1=0점 / 요건2=25점 / 요건3=50점 / 요건4=75점 / 요건5=100점</t>
        </is>
      </c>
      <c r="O30" s="18" t="inlineStr">
        <is>
          <t>분류 접근방식 |  - 생물다양성 영향이 높은 지역 내 사업장 신축, 증설 제한 또는 보류 |  요건1 회피(Avoid) |  - 부정적 영향이 확인된 경우, 이를 상쇄하기까지 제한적 운영 |  - 대기, 수질, 토양 오염물질 배출을 제거 및 최소화하도록 설비 투자 |  요건2 저감(Reduce) |  - 환경오염물질 저감 기술 개발 |  - 사업장 주변 또는 인근 지역의 감소 또는 멸종된 생물종, 개체수 증진 |  요건3 복원(Restore) |  - 생물종 및 개체수 유지·복원을 위한 (대체)서식지 조성 노력 |  - 사업장 주변 이외 자연·생물 자본 증진 및 생산성 향상에 기여 |  요건4 재생(Regenerate) |  - 산림, 해양, 토양 환경 개선을 통한 생물종 및 개체수 증대 유도 |  - 생물다양성에 영향이 없도록 사업장 또는 주변 지형 구조적 개선 |  요건5 변경(Transform) |  - 부정적 환경영향 개선을 위한 정책 입안 참여 및 산업계 협력</t>
        </is>
      </c>
      <c r="P30" s="21" t="inlineStr">
        <is>
          <t>부분대응</t>
        </is>
      </c>
      <c r="Q30" s="17" t="inlineStr">
        <is>
          <t>KSSB 생물다양성 별도 기준서 미제정</t>
        </is>
      </c>
      <c r="R30" s="17" t="inlineStr">
        <is>
          <t>TNFD, GRI 304</t>
        </is>
      </c>
      <c r="S30" s="17" t="inlineStr">
        <is>
          <t>1_2_0_업종별 K-ESG 가이드라인(v2.0) 진단항목</t>
        </is>
      </c>
      <c r="T30" s="22" t="n">
        <v>4</v>
      </c>
      <c r="U30" s="23" t="n"/>
      <c r="V30" s="23" t="n"/>
      <c r="W30" s="23" t="n"/>
      <c r="X30" s="24" t="n">
        <v>75</v>
      </c>
      <c r="Y30" s="17" t="inlineStr">
        <is>
          <t> TNFD(Task force on Nature-related Financial Disclosures)는 조직이 생물다양성 감소, 자연파괴, 자연재해 등 자연의 변화로 인해 겪을 수 있는 금융적 리스크를 점검 및 평가하고, 이를 고객, 투자자 등 이해관계자들에게 투명하게 보고하도록 요구하고 있다.  조직은 사업 운영 전반에서 발생할 수 있는 생물다양성 저해 및 손실 리스크를 점검하고, 지역사회의 생물다양성 보전, 복원, 확대를 위해 노력해야 한다.  조직은 사업장 및 인근 지역의 생물다양성 보전, 복원, 확대를 위해 다음과 같은 접근방식을 취할 수 있으며 해당 접근방식에 기초해 생물다양성 분야에서 단기/중장기 목표를 구체적으로 수립해야 한다. ; 1)…</t>
        </is>
      </c>
      <c r="Z30" s="18" t="inlineStr">
        <is>
          <t>[자동채점] | 근거충분성: 충분 | 근거페이지: [44, 45] | 근거: [지속가능경영보고서] 44p. 외래종과 생태교란종의 거동 제어를 통해 생물 서식 환경 개선에 힘쓰고 있으며, 식물, 포유류, 조류, 어류, 저서성대형무척추동물, 부착조류의 군집별 생태 변화를 파악해 생물 서식지 및 먹이원 제공 역할을 확인하고 있습니다.(2번째 줄) → 사업장 인근 하천의 생태계 모니터링을 통해 서식 환경을 개선하고 생물종 및 개체수 증진을 위한 활동을 수행하고 있어 4단계(재생) 요건을 충족함.</t>
        </is>
      </c>
      <c r="AA30" s="25" t="inlineStr">
        <is>
          <t>회피/저감/복원/재생/변경의 생물다양성 보호 전략을 실천합니까?</t>
        </is>
      </c>
      <c r="AB30" s="25" t="inlineStr">
        <is>
          <t>단계(1~5)</t>
        </is>
      </c>
    </row>
    <row r="31" ht="91.5" customHeight="1">
      <c r="A31" s="26" t="n">
        <v>30</v>
      </c>
      <c r="B31" s="27" t="inlineStr">
        <is>
          <t>E-11-3</t>
        </is>
      </c>
      <c r="C31" s="28" t="inlineStr">
        <is>
          <t>기본진단항목(v2.0)</t>
        </is>
      </c>
      <c r="D31" s="32" t="inlineStr">
        <is>
          <t>환경</t>
        </is>
      </c>
      <c r="E31" s="28" t="inlineStr">
        <is>
          <t>생물다양성</t>
        </is>
      </c>
      <c r="F31" s="28" t="inlineStr">
        <is>
          <t>산림보호 활동</t>
        </is>
      </c>
      <c r="G31" s="28" t="inlineStr">
        <is>
          <t> 조직의 사업 운영 전반에서 발생 가능한 산림파괴를 예방하고 지역사회의 산림을 보호하기 위한 조직의 접근 방식 확인  조직이 이행하고 있는 산림보호 단기/중장기 목표와 산림보호 및 복원을 위한 계획에 대한 구체성 및 내재화 수준 점검  조직별 사업 연관성에 따라 본 지표의 선택적 적용을 권고</t>
        </is>
      </c>
      <c r="H31" s="28" t="inlineStr">
        <is>
          <t>산림보호 활동 관련 자료</t>
        </is>
      </c>
      <c r="I31" s="28" t="inlineStr">
        <is>
          <t>직전 회계연도 기준</t>
        </is>
      </c>
      <c r="J31" s="27" t="inlineStr">
        <is>
          <t>N/A</t>
        </is>
      </c>
      <c r="K31" s="27" t="inlineStr">
        <is>
          <t>N/A</t>
        </is>
      </c>
      <c r="L31" s="29" t="inlineStr">
        <is>
          <t>선택형</t>
        </is>
      </c>
      <c r="M31" s="26" t="n">
        <v>5</v>
      </c>
      <c r="N31" s="28" t="inlineStr">
        <is>
          <t>선택형: 요건1=0점 / 요건2=25점 / 요건3=50점 / 요건4=75점 / 요건5=100점</t>
        </is>
      </c>
      <c r="O31" s="28" t="inlineStr">
        <is>
          <t>요건1 |  산림보호 혹은 산림파괴 예방 정책을 수립한 경우 |  (사업 운영 전반에서 발생하는 산림파괴 리스크 관리 및 산림파괴 예방 등) |  요건2 |  사업 활동으로 인해 영향을 받는 지역을 조사하고 주요 보호지역을 정의한 경우 |  (산림이 제공하는 경관 및 지형학/지질학적 특성, 산림에 서식하는 생물다양성 등) |  요건3 |  산림보호를 위해 전사 차원의 목표를 수립한 경우 |  (산림파괴 없는 사업 운영 구조 완성, 탄소상쇄 활동(REDD+ 등)에 대한 성과개선 목표 설정 등) |  요건4 |  산림보호를 위한 단기/중장기 목표 수립 및 연도별 이행 현황을 파악하고 있는 경우 |  (중장기 산림 보호-복원-확대 목표 이행 현황 및 목표 대비 이행률 점검 등) |  요건5 |  산림보호를 위해 이해관계자로부터 의견을 수렴하고 관련 성과를 공유하는 경우 |  (산림 보호 활동 및 성과 공유, 외부 전문기관 및 비영리기관 등과 협력체계 구축 등)</t>
        </is>
      </c>
      <c r="P31" s="33" t="inlineStr">
        <is>
          <t>GAP(대응지표 없음)</t>
        </is>
      </c>
      <c r="Q31" s="27" t="inlineStr">
        <is>
          <t>KSSB 생물다양성 별도 기준서 미제정</t>
        </is>
      </c>
      <c r="R31" s="27" t="inlineStr">
        <is>
          <t>GRI 304</t>
        </is>
      </c>
      <c r="S31" s="27" t="inlineStr">
        <is>
          <t>1_2_0_업종별 K-ESG 가이드라인(v2.0) 진단항목</t>
        </is>
      </c>
      <c r="T31" s="22" t="n">
        <v>1</v>
      </c>
      <c r="U31" s="23" t="n"/>
      <c r="V31" s="23" t="n"/>
      <c r="W31" s="23" t="n"/>
      <c r="X31" s="30" t="n">
        <v>1</v>
      </c>
      <c r="Y31" s="28" t="inlineStr">
        <is>
          <t> 조직은 산림보호 활동을 통해 사업장 및 인근 지역의 녹지면적을 유지/보호할 뿐만 아니라 지역사회 산림 전용 및 황폐화 방지, 산림 보전, 산림 탄소 흡수량 증진에 기여해야 한다.  조직은 산림보호 및 산림파괴 예방을 위해 아래와 같은 활동을 추진할 수 있다. ; 1) 산림보호 또는 산림파괴 예방정책을 수립해 사업 운영 전반에서 발생 가능한 산림파괴를 예방하고, 공급업체 및 협력사 등 거래관계에 있는 이해관계자에게 해당 정책을 따를 것을 권장한다. 2) 산림이 제공하는 경관 및 지형학/지질학적 특성, 산림에 서식하는 생물다양성의 구성/역할/잠재력, 기타 산림의 역사적/문화적/과학적/교육적 중요성을 종합적으로 고려해 주요 보호지역을 정의한다. 이때, 보호지역은…</t>
        </is>
      </c>
      <c r="Z31" s="28" t="inlineStr">
        <is>
          <t>[자동채점] | 근거충분성: 불충분 | 근거페이지: [37, 44, 50] | 근거: [사업보고서] 44p. 온실가스 저감장치(스크러버) 측정 기술을 개발/운영하여 배출량 저감을 유도하고, 배출권 거래를 포함한 배출권 관리/감축 등의 전사 TF 활동을 추진하고 있습니다(10번째 줄) → 온실가스 감축 및 기후변화 대응 활동은 확인되나, 산림보호 혹은 산림파괴 예방을 위한 구체적인 정책이나 목표가 명시되어 있지 않아 1단계 요건을 충족하는지 확인하기 어렵습니다.</t>
        </is>
      </c>
      <c r="AA31" s="25" t="inlineStr">
        <is>
          <t>산림파괴 리스크 관리 및 탄소상쇄(REDD+) 목표/실적이 있습니까?</t>
        </is>
      </c>
      <c r="AB31" s="25" t="inlineStr">
        <is>
          <t>단계(1~5)</t>
        </is>
      </c>
    </row>
    <row r="32" ht="91.5" customHeight="1">
      <c r="A32" s="16" t="n">
        <v>31</v>
      </c>
      <c r="B32" s="17" t="inlineStr">
        <is>
          <t>S-1-1</t>
        </is>
      </c>
      <c r="C32" s="18" t="inlineStr">
        <is>
          <t>기본진단항목(v2.0)</t>
        </is>
      </c>
      <c r="D32" s="36" t="inlineStr">
        <is>
          <t>사회</t>
        </is>
      </c>
      <c r="E32" s="18" t="inlineStr">
        <is>
          <t>목표</t>
        </is>
      </c>
      <c r="F32" s="18" t="inlineStr">
        <is>
          <t>목표 수립 및 공시</t>
        </is>
      </c>
      <c r="G32" s="18"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2" s="17" t="inlineStr">
        <is>
          <t>ESG(지속가능경영)보고서 내 핵심토픽 리스트 핵심토픽 단기/중장기 성과목표 공시데이터(정성/정량) 핵심토픽 단기/중장기 이행현황 공시데이터(정성/정량)</t>
        </is>
      </c>
      <c r="I32" s="18" t="inlineStr">
        <is>
          <t>직전 회계연도</t>
        </is>
      </c>
      <c r="J32" s="18" t="inlineStr">
        <is>
          <t>국내 및 해외 사업장</t>
        </is>
      </c>
      <c r="K32" s="17" t="inlineStr">
        <is>
          <t>N/A</t>
        </is>
      </c>
      <c r="L32" s="20" t="inlineStr">
        <is>
          <t>단계형</t>
        </is>
      </c>
      <c r="M32" s="16" t="n">
        <v>5</v>
      </c>
      <c r="N32" s="18" t="inlineStr">
        <is>
          <t>단계형: 1단계=0점 / 2단계=25점 / 3단계=50점 / 4단계=75점 / 5단계=100점</t>
        </is>
      </c>
      <c r="O32" s="17"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2" s="21" t="inlineStr">
        <is>
          <t>부분대응</t>
        </is>
      </c>
      <c r="Q32" s="17" t="inlineStr">
        <is>
          <t>KSSB 제1호 문단 51(지표 및 목표)</t>
        </is>
      </c>
      <c r="R32" s="17" t="inlineStr">
        <is>
          <t>GRI 3</t>
        </is>
      </c>
      <c r="S32" s="17" t="inlineStr">
        <is>
          <t>1_2_0_업종별 K-ESG 가이드라인(v2.0) 진단항목</t>
        </is>
      </c>
      <c r="T32" s="22" t="n">
        <v>5</v>
      </c>
      <c r="U32" s="23" t="n"/>
      <c r="V32" s="23" t="n"/>
      <c r="W32" s="23" t="n"/>
      <c r="X32" s="24" t="n">
        <v>100</v>
      </c>
      <c r="Y32" s="18"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2" s="18" t="inlineStr">
        <is>
          <t>[자동채점] | 근거충분성: 충분 | 근거페이지: [20, 21, 22, 29, 95] | 근거: [지속가능경영보고서] 20p. SK하이닉스는 27개의 PRISM 2030 중장기 목표(Goals)와 함께 매년 달성해야 할 연간 목표(Targets)를 수립하고 목표 달성을 위한 노력과 그 결과를 공개하고 있습니다.(13번째 줄) → 사회 분야 핵심이슈를 포함한 27개의 2030 중장기 정량/정성 목표를 수립하고 이를 공시하고 있어 5단계 요건을 충족함.</t>
        </is>
      </c>
      <c r="AA32" s="25" t="inlineStr">
        <is>
          <t>사회 분야 핵심이슈에 대해 중장기 정성/정량 목표를 설정/공시합니까?</t>
        </is>
      </c>
      <c r="AB32" s="25" t="inlineStr">
        <is>
          <t>단계(1~5)</t>
        </is>
      </c>
    </row>
    <row r="33" ht="91.5" customHeight="1">
      <c r="A33" s="26" t="n">
        <v>32</v>
      </c>
      <c r="B33" s="27" t="inlineStr">
        <is>
          <t>S-2-1</t>
        </is>
      </c>
      <c r="C33" s="28" t="inlineStr">
        <is>
          <t>기본진단항목(v2.0)</t>
        </is>
      </c>
      <c r="D33" s="36" t="inlineStr">
        <is>
          <t>사회</t>
        </is>
      </c>
      <c r="E33" s="28" t="inlineStr">
        <is>
          <t>노동</t>
        </is>
      </c>
      <c r="F33" s="28" t="inlineStr">
        <is>
          <t>신규 채용 및 고용 유지</t>
        </is>
      </c>
      <c r="G33" s="28"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33" s="28" t="inlineStr">
        <is>
          <t>‘전자공시시스템’ 上 사업보고서, ‘조직별 홈페이지’ 上 지속가능경영보고서</t>
        </is>
      </c>
      <c r="I33" s="28" t="inlineStr">
        <is>
          <t>최근 4개 회계연도</t>
        </is>
      </c>
      <c r="J33" s="28" t="inlineStr">
        <is>
          <t>국내 및 해외 사업장</t>
        </is>
      </c>
      <c r="K33" s="28"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33" s="29" t="inlineStr">
        <is>
          <t>복합가중형</t>
        </is>
      </c>
      <c r="M33" s="26" t="n"/>
      <c r="N33" s="28" t="inlineStr">
        <is>
          <t>복합가중형: 2~3개 세부요소를 균등가중평균(예: 1/2+1/2, 1/3×3) — 세부 배점은 점검기준 상세 참조, 자사취득점수는 수동 산정</t>
        </is>
      </c>
      <c r="O33" s="28"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t>
        </is>
      </c>
      <c r="P33" s="33" t="inlineStr">
        <is>
          <t>GAP(대응지표 없음)</t>
        </is>
      </c>
      <c r="Q33" s="27" t="inlineStr">
        <is>
          <t>KSSB 인적자원 지표 미규정</t>
        </is>
      </c>
      <c r="R33" s="27" t="inlineStr">
        <is>
          <t>GRI 401-1</t>
        </is>
      </c>
      <c r="S33" s="27" t="inlineStr">
        <is>
          <t>1_2_0_업종별 K-ESG 가이드라인(v2.0) 진단항목</t>
        </is>
      </c>
      <c r="T33" s="34" t="inlineStr">
        <is>
          <t>해당없음(복합가중형)</t>
        </is>
      </c>
      <c r="U33" s="23" t="n"/>
      <c r="V33" s="23" t="n"/>
      <c r="W33" s="23" t="n"/>
      <c r="X33" s="35" t="n">
        <v>1</v>
      </c>
      <c r="Y33" s="28"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33" s="28" t="inlineStr">
        <is>
          <t>[자동채점] | 근거충분성: 충분 | 근거페이지: [41, 65, 84] | 근거: [신규 채용 지수 추세] [지속가능경영보고서] 84p. 신규 채용 | 2,003 | 3,549 | 3,901 | 739(줄 위치 특정 실패) → 2023년 신규 채용 인원(739명)이 최근 3년(2020~2022) 평균(3,151명)보다 현저히 낮아 1단계에 해당합니다. / [고용 규모 추세] [지속가능경영보고서] 84p. 전체 구성원 수 | 37,195 | 38,352 | 40,153 | 39,810(줄 위치 특정 실패) → 2020년부터 2023년까지의 전체 구성원 수 변화를 볼 때, 2023년 인원이 전년 대비 감소하여 고용 규모가 지속적으로 증가하는 추세로 보기 어렵습니다. | [AI검토필요] 복합가중형 - 표본검증 권장</t>
        </is>
      </c>
      <c r="AA33" s="25" t="inlineStr">
        <is>
          <t>부가가치 창출 대비 신규채용 지수 및 고용 규모(총인원)가 4개년 간 증가 추세입니까?</t>
        </is>
      </c>
      <c r="AB33" s="25" t="inlineStr">
        <is>
          <t>단계(1~5)</t>
        </is>
      </c>
    </row>
    <row r="34" ht="91.5" customHeight="1">
      <c r="A34" s="16" t="n">
        <v>33</v>
      </c>
      <c r="B34" s="17" t="inlineStr">
        <is>
          <t>S-2-2</t>
        </is>
      </c>
      <c r="C34" s="18" t="inlineStr">
        <is>
          <t>기본진단항목(v2.0)</t>
        </is>
      </c>
      <c r="D34" s="36" t="inlineStr">
        <is>
          <t>사회</t>
        </is>
      </c>
      <c r="E34" s="18" t="inlineStr">
        <is>
          <t>노동</t>
        </is>
      </c>
      <c r="F34" s="18" t="inlineStr">
        <is>
          <t>정규직 비율</t>
        </is>
      </c>
      <c r="G34" s="18"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34" s="18" t="inlineStr">
        <is>
          <t>‘전자공시시스템’ 上 사업보고서, ‘조직별 홈페이지’ 上 지속가능경영보고서</t>
        </is>
      </c>
      <c r="I34" s="18" t="inlineStr">
        <is>
          <t>최근 4개 회계연도</t>
        </is>
      </c>
      <c r="J34" s="18" t="inlineStr">
        <is>
          <t>국내 및 해외 사업장</t>
        </is>
      </c>
      <c r="K34" s="18" t="inlineStr">
        <is>
          <t>정규직 비율 = (해당연도말기준총근로자수– 한시적근로자또는기간제근로자– 단시간근로자– 파견·용역·호출 등의 형태로 종사하는 근로자 ) / 해당연도 말 기준 총 근로자 수</t>
        </is>
      </c>
      <c r="L34" s="20" t="inlineStr">
        <is>
          <t>단계형</t>
        </is>
      </c>
      <c r="M34" s="16" t="n">
        <v>5</v>
      </c>
      <c r="N34" s="18" t="inlineStr">
        <is>
          <t>단계형: 1단계=0점 / 2단계=25점 / 3단계=50점 / 4단계=75점 / 5단계=100점</t>
        </is>
      </c>
      <c r="O34" s="17"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t>
        </is>
      </c>
      <c r="P34" s="33" t="inlineStr">
        <is>
          <t>GAP(대응지표 없음)</t>
        </is>
      </c>
      <c r="Q34" s="17" t="inlineStr">
        <is>
          <t>KSSB 인적자원 지표 미규정</t>
        </is>
      </c>
      <c r="R34" s="17" t="inlineStr">
        <is>
          <t>GRI 2-7</t>
        </is>
      </c>
      <c r="S34" s="17" t="inlineStr">
        <is>
          <t>1_2_0_업종별 K-ESG 가이드라인(v2.0) 진단항목</t>
        </is>
      </c>
      <c r="T34" s="22" t="n">
        <v>5</v>
      </c>
      <c r="U34" s="23" t="n"/>
      <c r="V34" s="23" t="n"/>
      <c r="W34" s="23" t="n"/>
      <c r="X34" s="24" t="n">
        <v>100</v>
      </c>
      <c r="Y34" s="18"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34" s="18" t="inlineStr">
        <is>
          <t>[자동채점] | 근거충분성: 충분 | 근거페이지: [13, 84, 86, 371] | 근거: [지배구조보고서] 13p. 정규직 35,939 / 전체 구성원 수 39,810(9번째 줄) → 2023년 기준 정규직 비율이 약 90.3%로 80%를 초과하여 5단계 요건을 충족함.</t>
        </is>
      </c>
      <c r="AA34" s="25" t="inlineStr">
        <is>
          <t>파견, 일용직 등을 제외한 기간의 정함이 없는 정규직 비율이 충분합니까?</t>
        </is>
      </c>
      <c r="AB34" s="25" t="inlineStr">
        <is>
          <t>단계(1~5)</t>
        </is>
      </c>
    </row>
    <row r="35" ht="91.5" customHeight="1">
      <c r="A35" s="26" t="n">
        <v>34</v>
      </c>
      <c r="B35" s="27" t="inlineStr">
        <is>
          <t>S-2-3</t>
        </is>
      </c>
      <c r="C35" s="28" t="inlineStr">
        <is>
          <t>기본진단항목(v2.0)</t>
        </is>
      </c>
      <c r="D35" s="36" t="inlineStr">
        <is>
          <t>사회</t>
        </is>
      </c>
      <c r="E35" s="28" t="inlineStr">
        <is>
          <t>노동</t>
        </is>
      </c>
      <c r="F35" s="28" t="inlineStr">
        <is>
          <t>자발적 이직률</t>
        </is>
      </c>
      <c r="G35" s="28" t="inlineStr">
        <is>
          <t> 조직의 인적자원 관리 수준이 적정한 수준을 유지하며 관리되고 있는지 확인  구성원이 자발적으로 조직을 이동함을 의미하는 자발적 이직의 비율을 점검(산업적 특성 반영)</t>
        </is>
      </c>
      <c r="H35" s="28" t="inlineStr">
        <is>
          <t>‘전자공시시스템’ 上 사업보고서, ‘조직별 홈페이지’ 上 지속가능경영보고서</t>
        </is>
      </c>
      <c r="I35" s="28" t="inlineStr">
        <is>
          <t>최근 4개 회계연도</t>
        </is>
      </c>
      <c r="J35" s="28" t="inlineStr">
        <is>
          <t>국내 및 해외 사업장</t>
        </is>
      </c>
      <c r="K35" s="28" t="inlineStr">
        <is>
          <t>자발적 퇴사(이직)율 = 해당연도 총 자발적 퇴사자(이직자) 수 / 해당연도 말 총 직원 수</t>
        </is>
      </c>
      <c r="L35" s="29" t="inlineStr">
        <is>
          <t>단계형</t>
        </is>
      </c>
      <c r="M35" s="26" t="n">
        <v>3</v>
      </c>
      <c r="N35" s="28" t="inlineStr">
        <is>
          <t>단계형: 1단계=0점 / 2단계=50점 / 3단계=100점</t>
        </is>
      </c>
      <c r="O35" s="27"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t>
        </is>
      </c>
      <c r="P35" s="33" t="inlineStr">
        <is>
          <t>GAP(대응지표 없음)</t>
        </is>
      </c>
      <c r="Q35" s="27" t="inlineStr">
        <is>
          <t>KSSB 인적자원 지표 미규정</t>
        </is>
      </c>
      <c r="R35" s="27" t="inlineStr">
        <is>
          <t>GRI 401-1</t>
        </is>
      </c>
      <c r="S35" s="27" t="inlineStr">
        <is>
          <t>1_2_0_업종별 K-ESG 가이드라인(v2.0) 진단항목</t>
        </is>
      </c>
      <c r="T35" s="22" t="n">
        <v>3</v>
      </c>
      <c r="U35" s="23" t="n"/>
      <c r="V35" s="23" t="n"/>
      <c r="W35" s="23" t="n"/>
      <c r="X35" s="30" t="n">
        <v>100</v>
      </c>
      <c r="Y35" s="28"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35" s="28" t="inlineStr">
        <is>
          <t>[자동채점] | 근거충분성: 충분 | 근거페이지: [69, 85] | 근거: [지속가능경영보고서] 85p. 자발적 이직률 | 연령대별 | 30세 미만 | 3.4 | 5.7 | 3.1 | 2.4(줄 위치 특정 실패) → 제시된 2020년부터 2023년까지의 자발적 이직률 데이터(남성, 여성, 연령대별 합계 등 종합적 추세)가 전반적으로 감소 추세를 보이고 있어 3단계 요건을 충족함.</t>
        </is>
      </c>
      <c r="AA35" s="25" t="inlineStr">
        <is>
          <t>인적자원 관리 수준을 대변하는 자발적 이직률이 최근 4개년 간 감소 추세입니까?</t>
        </is>
      </c>
      <c r="AB35" s="25" t="inlineStr">
        <is>
          <t>단계(1~5)</t>
        </is>
      </c>
    </row>
    <row r="36" ht="91.5" customHeight="1">
      <c r="A36" s="16" t="n">
        <v>35</v>
      </c>
      <c r="B36" s="17" t="inlineStr">
        <is>
          <t>S-2-4</t>
        </is>
      </c>
      <c r="C36" s="18" t="inlineStr">
        <is>
          <t>기본진단항목(v2.0)</t>
        </is>
      </c>
      <c r="D36" s="36" t="inlineStr">
        <is>
          <t>사회</t>
        </is>
      </c>
      <c r="E36" s="18" t="inlineStr">
        <is>
          <t>노동</t>
        </is>
      </c>
      <c r="F36" s="18" t="inlineStr">
        <is>
          <t>교육훈련비</t>
        </is>
      </c>
      <c r="G36" s="18"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36" s="18" t="inlineStr">
        <is>
          <t>‘전자공시시스템’ 上 사업보고서, ‘조직별 홈페이지’ 上 지속가능경영보고서</t>
        </is>
      </c>
      <c r="I36" s="18" t="inlineStr">
        <is>
          <t>최근 4개 회계연도</t>
        </is>
      </c>
      <c r="J36" s="18" t="inlineStr">
        <is>
          <t>국내 사업장</t>
        </is>
      </c>
      <c r="K36" s="17" t="inlineStr">
        <is>
          <t>1인당 교육훈련비 = 직전 1개년도 교육훈련 지출 비용 / 해당연도 말 총 구성원 수</t>
        </is>
      </c>
      <c r="L36" s="20" t="inlineStr">
        <is>
          <t>단계형</t>
        </is>
      </c>
      <c r="M36" s="16" t="n">
        <v>3</v>
      </c>
      <c r="N36" s="18" t="inlineStr">
        <is>
          <t>단계형: 1단계=0점 / 2단계=50점 / 3단계=100점</t>
        </is>
      </c>
      <c r="O36" s="17"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t>
        </is>
      </c>
      <c r="P36" s="33" t="inlineStr">
        <is>
          <t>GAP(대응지표 없음)</t>
        </is>
      </c>
      <c r="Q36" s="17" t="inlineStr">
        <is>
          <t>KSSB 인적자원 지표 미규정</t>
        </is>
      </c>
      <c r="R36" s="17" t="inlineStr">
        <is>
          <t>GRI 404-1</t>
        </is>
      </c>
      <c r="S36" s="17" t="inlineStr">
        <is>
          <t>1_2_0_업종별 K-ESG 가이드라인(v2.0) 진단항목</t>
        </is>
      </c>
      <c r="T36" s="22" t="n">
        <v>1</v>
      </c>
      <c r="U36" s="23" t="n"/>
      <c r="V36" s="23" t="n"/>
      <c r="W36" s="23" t="n"/>
      <c r="X36" s="24" t="n">
        <v>1</v>
      </c>
      <c r="Y36" s="18"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36" s="18" t="inlineStr">
        <is>
          <t>[자동채점] | 근거충분성: 불충분 | 근거페이지: [11, 71, 83, 84, 372] | 근거: [지속가능경영보고서] 84p. 최근 4개년 간 교육훈련비가 없거나, 1인당 교육훈련비 데이터가 관리되지 않는 경우 0점 적용(줄 위치 특정 실패) → 제공된 근거 자료에는 교육훈련 시간 등은 명시되어 있으나, 1인당 교육훈련비에 대한 구체적인 수치 데이터가 존재하지 않아 0점(1단계)으로 처리함.</t>
        </is>
      </c>
      <c r="AA36" s="25" t="inlineStr">
        <is>
          <t>1인당 평균 교육훈련 비용이 최근 4개년 간 증가 추세입니까?</t>
        </is>
      </c>
      <c r="AB36" s="25" t="inlineStr">
        <is>
          <t>단계(1~5)</t>
        </is>
      </c>
    </row>
    <row r="37" ht="91.5" customHeight="1">
      <c r="A37" s="26" t="n">
        <v>36</v>
      </c>
      <c r="B37" s="27" t="inlineStr">
        <is>
          <t>S-2-5</t>
        </is>
      </c>
      <c r="C37" s="28" t="inlineStr">
        <is>
          <t>기본진단항목(v2.0)</t>
        </is>
      </c>
      <c r="D37" s="36" t="inlineStr">
        <is>
          <t>사회</t>
        </is>
      </c>
      <c r="E37" s="28" t="inlineStr">
        <is>
          <t>노동</t>
        </is>
      </c>
      <c r="F37" s="28" t="inlineStr">
        <is>
          <t>복리후생비</t>
        </is>
      </c>
      <c r="G37" s="28"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37" s="28" t="inlineStr">
        <is>
          <t>‘전자공시시스템’ 上 사업보고서, ‘조직별 홈페이지’ 上 지속가능경영보고서</t>
        </is>
      </c>
      <c r="I37" s="28" t="inlineStr">
        <is>
          <t>최근 4개 회계연도</t>
        </is>
      </c>
      <c r="J37" s="28" t="inlineStr">
        <is>
          <t>국내 사업장</t>
        </is>
      </c>
      <c r="K37" s="27" t="inlineStr">
        <is>
          <t>1인당 복리후생비 = 직전 1개년도 복리후생비 / 직전 1개년도 말 총 구성원 수</t>
        </is>
      </c>
      <c r="L37" s="29" t="inlineStr">
        <is>
          <t>단계형</t>
        </is>
      </c>
      <c r="M37" s="26" t="n">
        <v>3</v>
      </c>
      <c r="N37" s="28" t="inlineStr">
        <is>
          <t>단계형: 1단계=0점 / 2단계=50점 / 3단계=100점</t>
        </is>
      </c>
      <c r="O37" s="27"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t>
        </is>
      </c>
      <c r="P37" s="33" t="inlineStr">
        <is>
          <t>GAP(대응지표 없음)</t>
        </is>
      </c>
      <c r="Q37" s="27" t="inlineStr">
        <is>
          <t>KSSB 인적자원 지표 미규정</t>
        </is>
      </c>
      <c r="R37" s="27" t="inlineStr">
        <is>
          <t>GRI 401-2</t>
        </is>
      </c>
      <c r="S37" s="27" t="inlineStr">
        <is>
          <t>1_2_0_업종별 K-ESG 가이드라인(v2.0) 진단항목</t>
        </is>
      </c>
      <c r="T37" s="22" t="n">
        <v>3</v>
      </c>
      <c r="U37" s="23" t="n"/>
      <c r="V37" s="23" t="n"/>
      <c r="W37" s="23" t="n"/>
      <c r="X37" s="30" t="n">
        <v>100</v>
      </c>
      <c r="Y37" s="28"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37" s="28" t="inlineStr">
        <is>
          <t>[자동채점] | 근거충분성: 충분 | 근거페이지: [144, 145, 252, 374] | 근거: [사업보고서] 144p. 복리후생비 130,934 / 154,909 / 220,675 / 237,640(줄 위치 특정 실패) → 제공된 최근 4개년 사업보고서상 복리후생비 총액이 지속적으로 증가하는 추세이며, 이를 바탕으로 1인당 복리후생비 또한 증가 추세로 판단하여 3단계에 해당함.</t>
        </is>
      </c>
      <c r="AA37" s="25" t="inlineStr">
        <is>
          <t>법정 외 1인당 복리후생비 지출이 최근 4개년 간 증가 추세입니까?</t>
        </is>
      </c>
      <c r="AB37" s="25" t="inlineStr">
        <is>
          <t>단계(1~5)</t>
        </is>
      </c>
    </row>
    <row r="38" ht="91.5" customHeight="1">
      <c r="A38" s="16" t="n">
        <v>37</v>
      </c>
      <c r="B38" s="17" t="inlineStr">
        <is>
          <t>S-2-6</t>
        </is>
      </c>
      <c r="C38" s="18" t="inlineStr">
        <is>
          <t>기본진단항목(v2.0)</t>
        </is>
      </c>
      <c r="D38" s="36" t="inlineStr">
        <is>
          <t>사회</t>
        </is>
      </c>
      <c r="E38" s="18" t="inlineStr">
        <is>
          <t>노동</t>
        </is>
      </c>
      <c r="F38" s="18" t="inlineStr">
        <is>
          <t>결사의 자유 보장</t>
        </is>
      </c>
      <c r="G38" s="18"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38" s="17" t="inlineStr">
        <is>
          <t>'전자공시시스템' 上 사업보고서, '조직별 홈페이지' 上 지속가능경영보고서</t>
        </is>
      </c>
      <c r="I38" s="18" t="inlineStr">
        <is>
          <t>최근 3개 회계연도(단, 노동조합 가입·설립 또는 노사협의회 설치 시점이 3개 회계연도 이내인 경우에는 그 기간)</t>
        </is>
      </c>
      <c r="J38" s="18" t="inlineStr">
        <is>
          <t>국내 사업장</t>
        </is>
      </c>
      <c r="K38" s="17" t="inlineStr">
        <is>
          <t>N/A</t>
        </is>
      </c>
      <c r="L38" s="20" t="inlineStr">
        <is>
          <t>단계형</t>
        </is>
      </c>
      <c r="M38" s="16" t="n">
        <v>5</v>
      </c>
      <c r="N38" s="18" t="inlineStr">
        <is>
          <t>단계형: 1단계=0점 / 2단계=25점 / 3단계=50점 / 4단계=75점 / 5단계=100점</t>
        </is>
      </c>
      <c r="O38" s="18"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38" s="33" t="inlineStr">
        <is>
          <t>GAP(대응지표 없음)</t>
        </is>
      </c>
      <c r="Q38" s="17" t="inlineStr">
        <is>
          <t>KSSB 인적자원 지표 미규정</t>
        </is>
      </c>
      <c r="R38" s="17" t="inlineStr">
        <is>
          <t>GRI 407</t>
        </is>
      </c>
      <c r="S38" s="17" t="inlineStr">
        <is>
          <t>1_2_0_업종별 K-ESG 가이드라인(v2.0) 진단항목</t>
        </is>
      </c>
      <c r="T38" s="22" t="n">
        <v>5</v>
      </c>
      <c r="U38" s="23" t="n"/>
      <c r="V38" s="23" t="n"/>
      <c r="W38" s="23" t="n"/>
      <c r="X38" s="24" t="n">
        <v>100</v>
      </c>
      <c r="Y38" s="18"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38" s="18" t="inlineStr">
        <is>
          <t>[자동채점] | 근거충분성: 충분 | 근거페이지: [14, 86, 88, 371] | 근거: [사업보고서] 371p. 노사 협의된 단체협약의 내용은 당사 모든 구성원(100%)에게 동일하게 적용(줄 위치 특정 실패) → 노동조합이 존재하고 단체협약이 체결되어 전 구성원에게 적용되고 있으며, 인권노동협의회를 통해 실질적인 노사 협의가 이루어지고 있어 5단계 요건을 충족함.</t>
        </is>
      </c>
      <c r="AA38" s="25" t="inlineStr">
        <is>
          <t>노동조합 설립·가입, 단체협약 이행, 분기별 노사협의회가 실질 운영됩니까?</t>
        </is>
      </c>
      <c r="AB38" s="25" t="inlineStr">
        <is>
          <t>단계(1~5)</t>
        </is>
      </c>
    </row>
    <row r="39" ht="91.5" customHeight="1">
      <c r="A39" s="26" t="n">
        <v>38</v>
      </c>
      <c r="B39" s="27" t="inlineStr">
        <is>
          <t>S-3-1</t>
        </is>
      </c>
      <c r="C39" s="28" t="inlineStr">
        <is>
          <t>기본진단항목(v2.0)</t>
        </is>
      </c>
      <c r="D39" s="36" t="inlineStr">
        <is>
          <t>사회</t>
        </is>
      </c>
      <c r="E39" s="28" t="inlineStr">
        <is>
          <t>다양성 및 양성평등</t>
        </is>
      </c>
      <c r="F39" s="28" t="inlineStr">
        <is>
          <t>여성 구성원 비율</t>
        </is>
      </c>
      <c r="G39" s="28"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39" s="28" t="inlineStr">
        <is>
          <t>‘전자공시시스템’ 上 사업보고서, ‘조직별 홈페이지’ 上 지속가능경영보고서</t>
        </is>
      </c>
      <c r="I39" s="28" t="inlineStr">
        <is>
          <t>직전 회계연도</t>
        </is>
      </c>
      <c r="J39" s="28" t="inlineStr">
        <is>
          <t>국내 및 해외 사업장</t>
        </is>
      </c>
      <c r="K39" s="28" t="inlineStr">
        <is>
          <t>여성 구성원 비율 = 직전 회계연도 말 여성 구성원 수 (전체, 미등기임원) / 직전 회계연도 말 총 구성원 수 (전체, 미등기임원)</t>
        </is>
      </c>
      <c r="L39" s="29" t="inlineStr">
        <is>
          <t>단계형</t>
        </is>
      </c>
      <c r="M39" s="26" t="n">
        <v>5</v>
      </c>
      <c r="N39" s="28" t="inlineStr">
        <is>
          <t>단계형: 1단계=0점 / 2단계=25점 / 3단계=50점 / 4단계=75점 / 5단계=100점</t>
        </is>
      </c>
      <c r="O39" s="27"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39" s="33" t="inlineStr">
        <is>
          <t>GAP(대응지표 없음)</t>
        </is>
      </c>
      <c r="Q39" s="27" t="inlineStr">
        <is>
          <t>KSSB 다양성 지표 미규정</t>
        </is>
      </c>
      <c r="R39" s="27" t="inlineStr">
        <is>
          <t>GRI 405-1</t>
        </is>
      </c>
      <c r="S39" s="27" t="inlineStr">
        <is>
          <t>1_2_0_업종별 K-ESG 가이드라인(v2.0) 진단항목</t>
        </is>
      </c>
      <c r="T39" s="22" t="n">
        <v>1</v>
      </c>
      <c r="U39" s="23" t="n"/>
      <c r="V39" s="23" t="n"/>
      <c r="W39" s="23" t="n"/>
      <c r="X39" s="30" t="n">
        <v>1</v>
      </c>
      <c r="Y39" s="28"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39" s="28" t="inlineStr">
        <is>
          <t>[자동채점] | 근거충분성: 불충분 | 근거페이지: [66, 67, 85, 86] | 근거: [지속가능경영보고서] 66p. 전체 34.4 / 여성 임원 비율 25.0%(줄 위치 특정 실패) → 전체 여성 구성원 비율(34.4%)과 여성 임원 비율(25.0%)의 차이는 9.4%p로, 산식 적용 시 격차가 20% 이하에 해당하여 5단계 요건을 충족하나, 제공된 근거 내 '미등기임원'에 대한 명확한 수치가 부재하여 정확한 산식 계산이 불가능하므로 근거가 불충분함.</t>
        </is>
      </c>
      <c r="AA39" s="25" t="inlineStr">
        <is>
          <t>전체 여성 비율과 미등기임원 여성 비율 간의 격차가 균형 관리됩니까?</t>
        </is>
      </c>
      <c r="AB39" s="25" t="inlineStr">
        <is>
          <t>단계(1~5)</t>
        </is>
      </c>
    </row>
    <row r="40" ht="91.5" customHeight="1">
      <c r="A40" s="16" t="n">
        <v>39</v>
      </c>
      <c r="B40" s="17" t="inlineStr">
        <is>
          <t>S-3-2</t>
        </is>
      </c>
      <c r="C40" s="18" t="inlineStr">
        <is>
          <t>기본진단항목(v2.0)</t>
        </is>
      </c>
      <c r="D40" s="36" t="inlineStr">
        <is>
          <t>사회</t>
        </is>
      </c>
      <c r="E40" s="18" t="inlineStr">
        <is>
          <t>다양성 및 양성평등</t>
        </is>
      </c>
      <c r="F40" s="18" t="inlineStr">
        <is>
          <t>여성 급여 비율 (평균 급여액 대비)</t>
        </is>
      </c>
      <c r="G40" s="18"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40" s="18" t="inlineStr">
        <is>
          <t>‘전자공시시스템’ 上 사업보고서, ‘조직별 홈페이지’ 上 지속가능경영보고서</t>
        </is>
      </c>
      <c r="I40" s="18" t="inlineStr">
        <is>
          <t>직전 회계연도</t>
        </is>
      </c>
      <c r="J40" s="18" t="inlineStr">
        <is>
          <t>국내 및 해외 사업장</t>
        </is>
      </c>
      <c r="K40" s="18" t="inlineStr">
        <is>
          <t>남성대비 여성임금 비율 = 직전 회계연도 여성(또는 남성) 1인 평균 급여액 / 직전 회계연도 조직의 1인 평균 급여액</t>
        </is>
      </c>
      <c r="L40" s="20" t="inlineStr">
        <is>
          <t>단계형</t>
        </is>
      </c>
      <c r="M40" s="16" t="n">
        <v>5</v>
      </c>
      <c r="N40" s="18" t="inlineStr">
        <is>
          <t>단계형: 1단계=0점 / 2단계=25점 / 3단계=50점 / 4단계=75점 / 5단계=100점</t>
        </is>
      </c>
      <c r="O40" s="17"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40" s="33" t="inlineStr">
        <is>
          <t>GAP(대응지표 없음)</t>
        </is>
      </c>
      <c r="Q40" s="17" t="inlineStr">
        <is>
          <t>KSSB 다양성 지표 미규정</t>
        </is>
      </c>
      <c r="R40" s="17" t="inlineStr">
        <is>
          <t>GRI 405-2</t>
        </is>
      </c>
      <c r="S40" s="17" t="inlineStr">
        <is>
          <t>1_2_0_업종별 K-ESG 가이드라인(v2.0) 진단항목</t>
        </is>
      </c>
      <c r="T40" s="22" t="n">
        <v>4</v>
      </c>
      <c r="U40" s="23" t="n"/>
      <c r="V40" s="23" t="n"/>
      <c r="W40" s="23" t="n"/>
      <c r="X40" s="24" t="n">
        <v>75</v>
      </c>
      <c r="Y40" s="18"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40" s="18" t="inlineStr">
        <is>
          <t>[자동채점] | 근거충분성: 충분 | 근거페이지: [85, 86, 371] | 근거: [지속가능경영보고서] 86p. 반도체 남 130, 여 103(줄 위치 특정 실패) → 여성 1인 평균 급여액(103백만 원)을 남성 1인 평균 급여액(130백만 원)으로 나눈 비율이 약 79.2%이나, 전체 평균 급여액(121백만 원) 대비 여성 평균 급여액(103백만 원)의 비율은 약 85.1%로 4단계 기준인 80% 초과 ~ 90% 이하를 충족함.</t>
        </is>
      </c>
      <c r="AA40" s="25" t="inlineStr">
        <is>
          <t>남성 평균 급여 대비 여성 평균 급여의 격차가 점차 해소되고 있습니까?</t>
        </is>
      </c>
      <c r="AB40" s="25" t="inlineStr">
        <is>
          <t>단계(1~5)</t>
        </is>
      </c>
    </row>
    <row r="41" ht="91.5" customHeight="1">
      <c r="A41" s="26" t="n">
        <v>40</v>
      </c>
      <c r="B41" s="27" t="inlineStr">
        <is>
          <t>S-3-3</t>
        </is>
      </c>
      <c r="C41" s="28" t="inlineStr">
        <is>
          <t>기본진단항목(v2.0)</t>
        </is>
      </c>
      <c r="D41" s="36" t="inlineStr">
        <is>
          <t>사회</t>
        </is>
      </c>
      <c r="E41" s="28" t="inlineStr">
        <is>
          <t>다양성 및 양성평등</t>
        </is>
      </c>
      <c r="F41" s="28" t="inlineStr">
        <is>
          <t>장애인 고용률</t>
        </is>
      </c>
      <c r="G41" s="28"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41" s="28" t="inlineStr">
        <is>
          <t>‘전자공시시스템’ 上 사업보고서, ‘조직별 홈페이지’ 上 지속가능경영보고서</t>
        </is>
      </c>
      <c r="I41" s="28" t="inlineStr">
        <is>
          <t>직전 회계연도</t>
        </is>
      </c>
      <c r="J41" s="28" t="inlineStr">
        <is>
          <t>국내 사업장</t>
        </is>
      </c>
      <c r="K41" s="28" t="inlineStr">
        <is>
          <t>장애인 고용률 = ∑(월별 장애인 상시근로자 수) / ∑(월별 상시근로자 수) * 상시근로자수: 해당 월 15일 이상 또는 60시간 이상 근무한 자</t>
        </is>
      </c>
      <c r="L41" s="29" t="inlineStr">
        <is>
          <t>단계형</t>
        </is>
      </c>
      <c r="M41" s="26" t="n">
        <v>5</v>
      </c>
      <c r="N41" s="28" t="inlineStr">
        <is>
          <t>단계형: 1단계=0점 / 2단계=25점 / 3단계=50점 / 4단계=75점 / 5단계=100점</t>
        </is>
      </c>
      <c r="O41" s="27"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41" s="33" t="inlineStr">
        <is>
          <t>GAP(대응지표 없음)</t>
        </is>
      </c>
      <c r="Q41" s="27" t="inlineStr">
        <is>
          <t>KSSB 다양성 지표 미규정</t>
        </is>
      </c>
      <c r="R41" s="27" t="inlineStr">
        <is>
          <t>GRI 405-1</t>
        </is>
      </c>
      <c r="S41" s="27" t="inlineStr">
        <is>
          <t>1_2_0_업종별 K-ESG 가이드라인(v2.0) 진단항목</t>
        </is>
      </c>
      <c r="T41" s="22" t="n">
        <v>5</v>
      </c>
      <c r="U41" s="23" t="n"/>
      <c r="V41" s="23" t="n"/>
      <c r="W41" s="23" t="n"/>
      <c r="X41" s="30" t="n">
        <v>100</v>
      </c>
      <c r="Y41" s="28"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41" s="28" t="inlineStr">
        <is>
          <t>[자동채점] | 근거충분성: 충분 | 근거페이지: [22, 84, 85] | 근거: [지속가능경영보고서] 85p. 자사 장애인 184 명, 자회사형 표준사업장 852 명(줄 위치 특정 실패) → 2023년 기준 자사(184명)와 자회사형 표준사업장(852명)을 합산한 장애인 고용 인원은 1,036명으로, 전체 구성원(39,810명) 대비 약 2.6% 수준이며 이는 2023년 민간기업 법정 의무고용률(3.1%)을 상회하는 고용 실적을 달성하여 5단계 요건을 충족함.</t>
        </is>
      </c>
      <c r="AA41" s="25" t="inlineStr">
        <is>
          <t>법정 장애인 의무고용률 대비 실제 장애인 고용 비율을 초과 달성합니까?</t>
        </is>
      </c>
      <c r="AB41" s="25" t="inlineStr">
        <is>
          <t>단계(1~5)</t>
        </is>
      </c>
    </row>
    <row r="42" ht="91.5" customHeight="1">
      <c r="A42" s="16" t="n">
        <v>41</v>
      </c>
      <c r="B42" s="17" t="inlineStr">
        <is>
          <t>S-4-1</t>
        </is>
      </c>
      <c r="C42" s="18" t="inlineStr">
        <is>
          <t>기본진단항목(v2.0)</t>
        </is>
      </c>
      <c r="D42" s="36" t="inlineStr">
        <is>
          <t>사회</t>
        </is>
      </c>
      <c r="E42" s="18" t="inlineStr">
        <is>
          <t>산업안전</t>
        </is>
      </c>
      <c r="F42" s="18" t="inlineStr">
        <is>
          <t>안전보건 추진체계</t>
        </is>
      </c>
      <c r="G42" s="18"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42" s="18" t="inlineStr">
        <is>
          <t>안전보건경영시스템, 안전보건 정책, 안전보건 관리 규정</t>
        </is>
      </c>
      <c r="I42" s="18" t="inlineStr">
        <is>
          <t>직전 회계연도</t>
        </is>
      </c>
      <c r="J42" s="17" t="inlineStr">
        <is>
          <t>N/A</t>
        </is>
      </c>
      <c r="K42" s="17" t="inlineStr">
        <is>
          <t>N/A</t>
        </is>
      </c>
      <c r="L42" s="20" t="inlineStr">
        <is>
          <t>선택형</t>
        </is>
      </c>
      <c r="M42" s="16" t="n">
        <v>5</v>
      </c>
      <c r="N42" s="18" t="inlineStr">
        <is>
          <t>선택형: 요건1=0점 / 요건2=25점 / 요건3=50점 / 요건4=75점 / 요건5=100점</t>
        </is>
      </c>
      <c r="O42" s="18"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42" s="33" t="inlineStr">
        <is>
          <t>GAP(대응지표 없음)</t>
        </is>
      </c>
      <c r="Q42" s="17" t="inlineStr">
        <is>
          <t>KSSB 산업안전 지표 미규정</t>
        </is>
      </c>
      <c r="R42" s="17" t="inlineStr">
        <is>
          <t>GRI 403-1,2</t>
        </is>
      </c>
      <c r="S42" s="17" t="inlineStr">
        <is>
          <t>1_2_0_업종별 K-ESG 가이드라인(v2.0) 진단항목</t>
        </is>
      </c>
      <c r="T42" s="22" t="n">
        <v>5</v>
      </c>
      <c r="U42" s="23" t="n"/>
      <c r="V42" s="23" t="n"/>
      <c r="W42" s="23" t="n"/>
      <c r="X42" s="24" t="n">
        <v>100</v>
      </c>
      <c r="Y42" s="18"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42" s="18" t="inlineStr">
        <is>
          <t>[자동채점] | 근거충분성: 충분 | 근거페이지: [30, 32, 35, 59] | 근거: [지속가능경영보고서] 30p. 안전보건 전담 조직 주관으로 매년 사업장 내 전체 작업에 대해 위험성 평가를 실시해 유해 위험 요인을 파악하고 개선 사항을 도출합니다.(6번째 줄) → 경영자 리더십, 근로자 참여, 위험성 평가, 비상조치 계획 수립 및 목표 설정과 이행현황 평가·개선 등 5단계의 모든 요건을 충족하고 있습니다.</t>
        </is>
      </c>
      <c r="AA42" s="25" t="inlineStr">
        <is>
          <t>경영자 리더십, 위험성평가, 비상조치 계획, 평가/개선 5대 체계가 있습니까?</t>
        </is>
      </c>
      <c r="AB42" s="25" t="inlineStr">
        <is>
          <t>단계(1~5)</t>
        </is>
      </c>
    </row>
    <row r="43" ht="91.5" customHeight="1">
      <c r="A43" s="26" t="n">
        <v>42</v>
      </c>
      <c r="B43" s="27" t="inlineStr">
        <is>
          <t>S-4-2</t>
        </is>
      </c>
      <c r="C43" s="28" t="inlineStr">
        <is>
          <t>기본진단항목(v2.0)</t>
        </is>
      </c>
      <c r="D43" s="36" t="inlineStr">
        <is>
          <t>사회</t>
        </is>
      </c>
      <c r="E43" s="28" t="inlineStr">
        <is>
          <t>산업안전</t>
        </is>
      </c>
      <c r="F43" s="28" t="inlineStr">
        <is>
          <t>산업재해율</t>
        </is>
      </c>
      <c r="G43" s="28"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43" s="28" t="inlineStr">
        <is>
          <t>‘전자공시시스템’ 上 사업보고서, ‘홈페이지’ 上 지속가능경영보고서, ‘고용노동부 홈페이지’ 上 산업재해 현황분석</t>
        </is>
      </c>
      <c r="I43" s="28" t="inlineStr">
        <is>
          <t>최근 4개 회계연도 기준</t>
        </is>
      </c>
      <c r="J43" s="28" t="inlineStr">
        <is>
          <t>국내 및 해외 사업장</t>
        </is>
      </c>
      <c r="K43" s="28" t="inlineStr">
        <is>
          <t>산업재해율 = (재해자 수 / 연 평균 근로자 수) * 100</t>
        </is>
      </c>
      <c r="L43" s="29" t="inlineStr">
        <is>
          <t>단계형</t>
        </is>
      </c>
      <c r="M43" s="26" t="n">
        <v>3</v>
      </c>
      <c r="N43" s="28" t="inlineStr">
        <is>
          <t>단계형: 1단계=0점 / 2단계=50점 / 3단계=100점</t>
        </is>
      </c>
      <c r="O43" s="27"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t>
        </is>
      </c>
      <c r="P43" s="33" t="inlineStr">
        <is>
          <t>GAP(대응지표 없음)</t>
        </is>
      </c>
      <c r="Q43" s="27" t="inlineStr">
        <is>
          <t>KSSB 산업안전 지표 미규정</t>
        </is>
      </c>
      <c r="R43" s="27" t="inlineStr">
        <is>
          <t>GRI 403-9, 중대재해처벌법</t>
        </is>
      </c>
      <c r="S43" s="27" t="inlineStr">
        <is>
          <t>1_2_0_업종별 K-ESG 가이드라인(v2.0) 진단항목</t>
        </is>
      </c>
      <c r="T43" s="22" t="n">
        <v>1</v>
      </c>
      <c r="U43" s="23" t="n"/>
      <c r="V43" s="23" t="n"/>
      <c r="W43" s="23" t="n"/>
      <c r="X43" s="30" t="n">
        <v>1</v>
      </c>
      <c r="Y43" s="28"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43" s="28" t="inlineStr">
        <is>
          <t>[자동채점] | 근거충분성: 충분 | 근거페이지: [23, 30, 85, 87] | 근거: [지속가능경영보고서] 87p. 재해율 % 0.061 0.076 0.078 0.091(줄 위치 특정 실패) → 제시된 2020년부터 2023년까지의 4개년 산업재해율이 0.061%에서 0.091%로 지속적으로 증가하는 추세를 보이고 있어 1단계에 해당합니다.</t>
        </is>
      </c>
      <c r="AA43" s="25" t="inlineStr">
        <is>
          <t>연평균 근로자 수 대비 요양 승인된 산업재해자 비율이 감소 추세입니까?</t>
        </is>
      </c>
      <c r="AB43" s="25" t="inlineStr">
        <is>
          <t>단계(1~5)</t>
        </is>
      </c>
    </row>
    <row r="44" ht="91.5" customHeight="1">
      <c r="A44" s="16" t="n">
        <v>43</v>
      </c>
      <c r="B44" s="17" t="inlineStr">
        <is>
          <t>S-5-1</t>
        </is>
      </c>
      <c r="C44" s="18" t="inlineStr">
        <is>
          <t>기본진단항목(v2.0)</t>
        </is>
      </c>
      <c r="D44" s="36" t="inlineStr">
        <is>
          <t>사회</t>
        </is>
      </c>
      <c r="E44" s="18" t="inlineStr">
        <is>
          <t>인권</t>
        </is>
      </c>
      <c r="F44" s="18" t="inlineStr">
        <is>
          <t>인권정책 수립</t>
        </is>
      </c>
      <c r="G44" s="18"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44" s="18"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44" s="18" t="inlineStr">
        <is>
          <t>직전 회계연도 기준</t>
        </is>
      </c>
      <c r="J44" s="17" t="inlineStr">
        <is>
          <t>N/A</t>
        </is>
      </c>
      <c r="K44" s="17" t="inlineStr">
        <is>
          <t>N/A</t>
        </is>
      </c>
      <c r="L44" s="20" t="inlineStr">
        <is>
          <t>단계형</t>
        </is>
      </c>
      <c r="M44" s="16" t="n">
        <v>5</v>
      </c>
      <c r="N44" s="18" t="inlineStr">
        <is>
          <t>단계형: 1단계=0점 / 2단계=25점 / 3단계=50점 / 4단계=75점 / 5단계=100점</t>
        </is>
      </c>
      <c r="O44" s="17"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44" s="21" t="inlineStr">
        <is>
          <t>부분대응</t>
        </is>
      </c>
      <c r="Q44" s="17" t="inlineStr">
        <is>
          <t>KSSB 제1호 부록A(가치사슬 개념) 준용</t>
        </is>
      </c>
      <c r="R44" s="17" t="inlineStr">
        <is>
          <t>UNGP, GRI 412-1</t>
        </is>
      </c>
      <c r="S44" s="17" t="inlineStr">
        <is>
          <t>1_2_0_업종별 K-ESG 가이드라인(v2.0) 진단항목</t>
        </is>
      </c>
      <c r="T44" s="22" t="n">
        <v>5</v>
      </c>
      <c r="U44" s="23" t="n"/>
      <c r="V44" s="23" t="n"/>
      <c r="W44" s="23" t="n"/>
      <c r="X44" s="24" t="n">
        <v>100</v>
      </c>
      <c r="Y44" s="18"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44" s="18" t="inlineStr">
        <is>
          <t>[자동채점] | 근거충분성: 충분 | 근거페이지: [14, 43] | 근거: [지속가능경영보고서] 14p. 인권·노동 방침에서는 인권 경영 거버넌스, 인권 리스크 관리 체계 수립와 완화 조치, 고충처리 프로세스를 정의하고 있으며 13개 인권 이슈 에 대한 운영 지침을 마련하고 있습니다.(7번째 줄) → 13개 인권 이슈에 대한 운영 지침을 마련하고 있다고 명시하여 9개 이상의 인권 이슈에 대한 정책적 접근 방향을 수립한 5단계 요건을 충족함.</t>
        </is>
      </c>
      <c r="AA44" s="25" t="inlineStr">
        <is>
          <t>차별/강제/아동노동 금지 등 주요 10대 핵심 인권 보호 정책을 수립했습니까?</t>
        </is>
      </c>
      <c r="AB44" s="25" t="inlineStr">
        <is>
          <t>단계(1~5)</t>
        </is>
      </c>
    </row>
    <row r="45" ht="91.5" customHeight="1">
      <c r="A45" s="26" t="n">
        <v>44</v>
      </c>
      <c r="B45" s="27" t="inlineStr">
        <is>
          <t>S-5-2</t>
        </is>
      </c>
      <c r="C45" s="28" t="inlineStr">
        <is>
          <t>기본진단항목(v2.0)</t>
        </is>
      </c>
      <c r="D45" s="36" t="inlineStr">
        <is>
          <t>사회</t>
        </is>
      </c>
      <c r="E45" s="28" t="inlineStr">
        <is>
          <t>인권</t>
        </is>
      </c>
      <c r="F45" s="28" t="inlineStr">
        <is>
          <t>인권 리스크 평가</t>
        </is>
      </c>
      <c r="G45" s="28"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45" s="28" t="inlineStr">
        <is>
          <t>인권정책, 인권 리스크 관리 프로세스</t>
        </is>
      </c>
      <c r="I45" s="28" t="inlineStr">
        <is>
          <t>직전 회계연도 기준</t>
        </is>
      </c>
      <c r="J45" s="28" t="inlineStr">
        <is>
          <t>국내외 사업장 및 기타 연결실체</t>
        </is>
      </c>
      <c r="K45" s="27" t="inlineStr">
        <is>
          <t>N/A</t>
        </is>
      </c>
      <c r="L45" s="29" t="inlineStr">
        <is>
          <t>단계형</t>
        </is>
      </c>
      <c r="M45" s="26" t="n">
        <v>5</v>
      </c>
      <c r="N45" s="28" t="inlineStr">
        <is>
          <t>단계형: 1단계=0점 / 2단계=25점 / 3단계=50점 / 4단계=75점 / 5단계=100점</t>
        </is>
      </c>
      <c r="O45" s="27"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45" s="21" t="inlineStr">
        <is>
          <t>부분대응</t>
        </is>
      </c>
      <c r="Q45" s="27" t="inlineStr">
        <is>
          <t>KSSB 제1호 부록A(가치사슬 개념) 준용</t>
        </is>
      </c>
      <c r="R45" s="27" t="inlineStr">
        <is>
          <t>UNGP, GRI 412-1</t>
        </is>
      </c>
      <c r="S45" s="27" t="inlineStr">
        <is>
          <t>1_2_0_업종별 K-ESG 가이드라인(v2.0) 진단항목</t>
        </is>
      </c>
      <c r="T45" s="22" t="n">
        <v>5</v>
      </c>
      <c r="U45" s="23" t="n"/>
      <c r="V45" s="23" t="n"/>
      <c r="W45" s="23" t="n"/>
      <c r="X45" s="30" t="n">
        <v>100</v>
      </c>
      <c r="Y45" s="28"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45" s="28" t="inlineStr">
        <is>
          <t>[자동채점] | 근거충분성: 충분 | 근거페이지: [14, 58] | 근거: [지속가능경영보고서] 14p. 인권 실사 과정에서는 업무 담당자 인터뷰를 통해 정책 준수 여부를 확인하고 인권 이슈 대응과 관련한 문서를 점검하는 한편 인권 설문에서 파악된 문제점을 확인하기 위한 구성원 인터뷰를 실시합니다.(2번째 줄) → 인권영향평가, 인권 설문, 인권 실사(현장실사 포함)를 수행하고 있으며, 파악된 이슈에 대한 개선과제를 이행하고 효과성을 측정하고 있어 5단계 요건을 충족함.</t>
        </is>
      </c>
      <c r="AA45" s="25" t="inlineStr">
        <is>
          <t>전 사업장/공급망 인권 리스크 진단, 고위험군 실사/시정 조치를 이행합니까?</t>
        </is>
      </c>
      <c r="AB45" s="25" t="inlineStr">
        <is>
          <t>단계(1~5)</t>
        </is>
      </c>
    </row>
    <row r="46" ht="91.5" customHeight="1">
      <c r="A46" s="16" t="n">
        <v>45</v>
      </c>
      <c r="B46" s="17" t="inlineStr">
        <is>
          <t>S-6-1</t>
        </is>
      </c>
      <c r="C46" s="18" t="inlineStr">
        <is>
          <t>기본진단항목(v2.0)</t>
        </is>
      </c>
      <c r="D46" s="36" t="inlineStr">
        <is>
          <t>사회</t>
        </is>
      </c>
      <c r="E46" s="18" t="inlineStr">
        <is>
          <t>동반성장</t>
        </is>
      </c>
      <c r="F46" s="18" t="inlineStr">
        <is>
          <t>협력사 ESG 경영</t>
        </is>
      </c>
      <c r="G46" s="18"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46" s="18" t="inlineStr">
        <is>
          <t>협력사 행동규범, 협력사 ESG 리스크 관리 프로세스</t>
        </is>
      </c>
      <c r="I46" s="18" t="inlineStr">
        <is>
          <t>직전 회계연도 기준</t>
        </is>
      </c>
      <c r="J46" s="18" t="inlineStr">
        <is>
          <t>국내외 사업장 및 기타 연결실체</t>
        </is>
      </c>
      <c r="K46" s="17" t="inlineStr">
        <is>
          <t>N/A</t>
        </is>
      </c>
      <c r="L46" s="20" t="inlineStr">
        <is>
          <t>단계형</t>
        </is>
      </c>
      <c r="M46" s="16" t="n">
        <v>5</v>
      </c>
      <c r="N46" s="18" t="inlineStr">
        <is>
          <t>단계형: 1단계=0점 / 2단계=25점 / 3단계=50점 / 4단계=75점 / 5단계=100점</t>
        </is>
      </c>
      <c r="O46" s="17"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46" s="33" t="inlineStr">
        <is>
          <t>GAP(대응지표 없음)</t>
        </is>
      </c>
      <c r="Q46" s="17" t="inlineStr">
        <is>
          <t>KSSB 공급망 ESG 별도 지표 미규정</t>
        </is>
      </c>
      <c r="R46" s="17" t="inlineStr">
        <is>
          <t>GRI 308, 414</t>
        </is>
      </c>
      <c r="S46" s="17" t="inlineStr">
        <is>
          <t>1_2_0_업종별 K-ESG 가이드라인(v2.0) 진단항목</t>
        </is>
      </c>
      <c r="T46" s="22" t="n">
        <v>5</v>
      </c>
      <c r="U46" s="23" t="n"/>
      <c r="V46" s="23" t="n"/>
      <c r="W46" s="23" t="n"/>
      <c r="X46" s="24" t="n">
        <v>100</v>
      </c>
      <c r="Y46" s="18"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46" s="18" t="inlineStr">
        <is>
          <t>[자동채점] | 근거충분성: 충분 | 근거페이지: [58, 59, 88] | 근거: [지속가능경영보고서] 58p. SK하이닉스는 온라인 자가평가 후 협력사 사업장을 방문해 실질 리스크를 식별하고 개선하는 현장평가를 진행하고 있습니다.(줄 위치 특정 실패) → 공급망 ESG 리스크 관리 체계를 구축하고 비대면 자가평가와 고위험 협력사 대상 현장실사를 실시하며, 식별된 리스크에 대해 컨설팅 및 교육 프로그램을 제공하여 개선 활동을 추진하고 있으므로 5단계 요건을 충족함.</t>
        </is>
      </c>
      <c r="AA46" s="25" t="inlineStr">
        <is>
          <t>핵심 협력사 대상 ESG 리스크 진단 및 실사(Audit)/시정조치(CAP)를 관리합니까?</t>
        </is>
      </c>
      <c r="AB46" s="25" t="inlineStr">
        <is>
          <t>단계(1~5)</t>
        </is>
      </c>
    </row>
    <row r="47" ht="91.5" customHeight="1">
      <c r="A47" s="26" t="n">
        <v>46</v>
      </c>
      <c r="B47" s="27" t="inlineStr">
        <is>
          <t>S-6-2</t>
        </is>
      </c>
      <c r="C47" s="28" t="inlineStr">
        <is>
          <t>기본진단항목(v2.0)</t>
        </is>
      </c>
      <c r="D47" s="36" t="inlineStr">
        <is>
          <t>사회</t>
        </is>
      </c>
      <c r="E47" s="28" t="inlineStr">
        <is>
          <t>동반성장</t>
        </is>
      </c>
      <c r="F47" s="28" t="inlineStr">
        <is>
          <t>협력사 ESG 지원</t>
        </is>
      </c>
      <c r="G47" s="28"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47" s="28" t="inlineStr">
        <is>
          <t>협력사 동반성장/상생협력 추진계획, 협력사 ESG 지원계획</t>
        </is>
      </c>
      <c r="I47" s="28" t="inlineStr">
        <is>
          <t>직전 회계연도</t>
        </is>
      </c>
      <c r="J47" s="27" t="inlineStr">
        <is>
          <t>N/A</t>
        </is>
      </c>
      <c r="K47" s="27" t="inlineStr">
        <is>
          <t>N/A</t>
        </is>
      </c>
      <c r="L47" s="29" t="inlineStr">
        <is>
          <t>선택형</t>
        </is>
      </c>
      <c r="M47" s="26" t="n">
        <v>5</v>
      </c>
      <c r="N47" s="28" t="inlineStr">
        <is>
          <t>선택형: 요건1=0점 / 요건2=25점 / 요건3=50점 / 요건4=75점 / 요건5=100점</t>
        </is>
      </c>
      <c r="O47" s="28"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47" s="33" t="inlineStr">
        <is>
          <t>GAP(대응지표 없음)</t>
        </is>
      </c>
      <c r="Q47" s="27" t="inlineStr">
        <is>
          <t>KSSB 공급망 ESG 별도 지표 미규정</t>
        </is>
      </c>
      <c r="R47" s="27" t="inlineStr">
        <is>
          <t>GRI 308, 414</t>
        </is>
      </c>
      <c r="S47" s="27" t="inlineStr">
        <is>
          <t>1_2_0_업종별 K-ESG 가이드라인(v2.0) 진단항목</t>
        </is>
      </c>
      <c r="T47" s="22" t="n">
        <v>5</v>
      </c>
      <c r="U47" s="23" t="n"/>
      <c r="V47" s="23" t="n"/>
      <c r="W47" s="23" t="n"/>
      <c r="X47" s="30" t="n">
        <v>100</v>
      </c>
      <c r="Y47" s="28"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47" s="28" t="inlineStr">
        <is>
          <t>[자동채점] | 근거충분성: 충분 | 근거페이지: [58, 59, 63] | 근거: [지속가능경영보고서] 63p. SK하이닉스는 협력사의 역량 제고를 돕기 위해 ESG 전담 조직 주관으로 협력사의 ESG 경영 성과를 정량적으로 측정, 분석하고 개선 사항을 도출함으로써 협력사가 ESG 경영 성과를 질적인 도움을 줄 수 있도록 할 계획입니다.(줄 위치 특정 실패) → 협력사 ESG 지원을 위한 전담 조직(인력)을 운영하고, 정량적 측정 및 개선 활동(실행과제)과 성과관리(KPI)를 포함한 지원 체계를 갖추고 있어 5단계 요건을 충족함.</t>
        </is>
      </c>
      <c r="AA47" s="25" t="inlineStr">
        <is>
          <t>협력사 ESG 역량 강화를 위한 전략방향, 세부과제, KPIs/재원을 투입합니까?</t>
        </is>
      </c>
      <c r="AB47" s="25" t="inlineStr">
        <is>
          <t>단계(1~5)</t>
        </is>
      </c>
    </row>
    <row r="48" ht="91.5" customHeight="1">
      <c r="A48" s="16" t="n">
        <v>47</v>
      </c>
      <c r="B48" s="17" t="inlineStr">
        <is>
          <t>S-6-3</t>
        </is>
      </c>
      <c r="C48" s="18" t="inlineStr">
        <is>
          <t>기본진단항목(v2.0)</t>
        </is>
      </c>
      <c r="D48" s="36" t="inlineStr">
        <is>
          <t>사회</t>
        </is>
      </c>
      <c r="E48" s="18" t="inlineStr">
        <is>
          <t>동반성장</t>
        </is>
      </c>
      <c r="F48" s="18" t="inlineStr">
        <is>
          <t>협력사 ESG 협약사항</t>
        </is>
      </c>
      <c r="G48" s="18"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48" s="18" t="inlineStr">
        <is>
          <t>협력사 ESG 지원 협약사항</t>
        </is>
      </c>
      <c r="I48" s="18" t="inlineStr">
        <is>
          <t>직전 회계연도</t>
        </is>
      </c>
      <c r="J48" s="18" t="inlineStr">
        <is>
          <t>국내 및 해외 사업장</t>
        </is>
      </c>
      <c r="K48" s="17" t="inlineStr">
        <is>
          <t>N/A</t>
        </is>
      </c>
      <c r="L48" s="20" t="inlineStr">
        <is>
          <t>선택형</t>
        </is>
      </c>
      <c r="M48" s="16" t="n">
        <v>5</v>
      </c>
      <c r="N48" s="18" t="inlineStr">
        <is>
          <t>선택형: 요건1=0점 / 요건2=25점 / 요건3=50점 / 요건4=75점 / 요건5=100점</t>
        </is>
      </c>
      <c r="O48" s="18"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48" s="33" t="inlineStr">
        <is>
          <t>GAP(대응지표 없음)</t>
        </is>
      </c>
      <c r="Q48" s="17" t="inlineStr">
        <is>
          <t>KSSB 공급망 ESG 별도 지표 미규정</t>
        </is>
      </c>
      <c r="R48" s="17" t="inlineStr">
        <is>
          <t>GRI 308, 414</t>
        </is>
      </c>
      <c r="S48" s="17" t="inlineStr">
        <is>
          <t>1_2_0_업종별 K-ESG 가이드라인(v2.0) 진단항목</t>
        </is>
      </c>
      <c r="T48" s="22" t="n">
        <v>1</v>
      </c>
      <c r="U48" s="23" t="n"/>
      <c r="V48" s="23" t="n"/>
      <c r="W48" s="23" t="n"/>
      <c r="X48" s="24" t="n">
        <v>1</v>
      </c>
      <c r="Y48" s="18"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48" s="18" t="inlineStr">
        <is>
          <t>[자동채점] | 근거충분성: 부분적 | 근거페이지: [58, 59, 64, 88] | 근거: [지속가능경영보고서] 88p. SK하이닉스는 ESG 컨설팅 및 교육 프로그램을 제공하는 등 협력사의 ESG 경영 수준을 향상시켜 공급망 관리 수준을 높이기 위한 지원을 통해 지속 가능한 공급망을 만들어가고 있습니다.(줄 위치 특정 실패) → 협력사를 대상으로 ESG 컨설팅 및 교육 프로그램을 제공하고 있으나, 기술/금융/인허가/설비 지원에 관한 구체적인 협약 체결 여부가 확인되지 않아 1단계 요건만 충족함.</t>
        </is>
      </c>
      <c r="AA48" s="25" t="inlineStr">
        <is>
          <t>협력사와 교육, R&amp;D, 금융, 친환경 설비 등을 지원하는 협약을 체결했습니까?</t>
        </is>
      </c>
      <c r="AB48" s="25" t="inlineStr">
        <is>
          <t>단계(1~5)</t>
        </is>
      </c>
    </row>
    <row r="49" ht="91.5" customHeight="1">
      <c r="A49" s="26" t="n">
        <v>48</v>
      </c>
      <c r="B49" s="27" t="inlineStr">
        <is>
          <t>S-7-1</t>
        </is>
      </c>
      <c r="C49" s="28" t="inlineStr">
        <is>
          <t>기본진단항목(v2.0)</t>
        </is>
      </c>
      <c r="D49" s="36" t="inlineStr">
        <is>
          <t>사회</t>
        </is>
      </c>
      <c r="E49" s="28" t="inlineStr">
        <is>
          <t>지역사회</t>
        </is>
      </c>
      <c r="F49" s="28" t="inlineStr">
        <is>
          <t>전략적 사회공헌</t>
        </is>
      </c>
      <c r="G49" s="28"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49" s="28" t="inlineStr">
        <is>
          <t>사회공헌 전략, 사회공헌 분야/영역, 사회공헌 성과지표</t>
        </is>
      </c>
      <c r="I49" s="28" t="inlineStr">
        <is>
          <t>직전 회계연도</t>
        </is>
      </c>
      <c r="J49" s="28" t="inlineStr">
        <is>
          <t>국내 및 해외 사업장</t>
        </is>
      </c>
      <c r="K49" s="27" t="inlineStr">
        <is>
          <t>N/A</t>
        </is>
      </c>
      <c r="L49" s="29" t="inlineStr">
        <is>
          <t>선택형</t>
        </is>
      </c>
      <c r="M49" s="26" t="n">
        <v>5</v>
      </c>
      <c r="N49" s="28" t="inlineStr">
        <is>
          <t>선택형: 요건1=0점 / 요건2=25점 / 요건3=50점 / 요건4=75점 / 요건5=100점</t>
        </is>
      </c>
      <c r="O49" s="28"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49" s="33" t="inlineStr">
        <is>
          <t>GAP(대응지표 없음)</t>
        </is>
      </c>
      <c r="Q49" s="27" t="inlineStr">
        <is>
          <t>KSSB 지역사회 지표 미규정</t>
        </is>
      </c>
      <c r="R49" s="27" t="inlineStr">
        <is>
          <t>GRI 413-1</t>
        </is>
      </c>
      <c r="S49" s="27" t="inlineStr">
        <is>
          <t>1_2_0_업종별 K-ESG 가이드라인(v2.0) 진단항목</t>
        </is>
      </c>
      <c r="T49" s="22" t="n">
        <v>5</v>
      </c>
      <c r="U49" s="23" t="n"/>
      <c r="V49" s="23" t="n"/>
      <c r="W49" s="23" t="n"/>
      <c r="X49" s="30" t="n">
        <v>100</v>
      </c>
      <c r="Y49" s="28"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49" s="28" t="inlineStr">
        <is>
          <t>[자동채점] | 근거충분성: 충분 | 근거페이지: [20, 23, 24, 64, 95] | 근거: [지속가능경영보고서] 20p. 첨단기술 활용 취약계층 사회공헌활동 수혜 누적 10만 명* | 4만 1362명 | 2만 8015명 | 3만 2662명(6번째 줄) → 사회공헌 추진 분야별 대표 프로그램과 이에 대한 중장기 목표 및 연도별 성과관리 지표(KPI)를 명시하고 있어 5단계 요건을 충족함.</t>
        </is>
      </c>
      <c r="AA49" s="25" t="inlineStr">
        <is>
          <t>기업 핵심역량과 연계된 대표 사회공헌 로드맵 및 KPI를 운영 중입니까?</t>
        </is>
      </c>
      <c r="AB49" s="25" t="inlineStr">
        <is>
          <t>단계(1~5)</t>
        </is>
      </c>
    </row>
    <row r="50" ht="91.5" customHeight="1">
      <c r="A50" s="16" t="n">
        <v>49</v>
      </c>
      <c r="B50" s="17" t="inlineStr">
        <is>
          <t>S-7-2</t>
        </is>
      </c>
      <c r="C50" s="18" t="inlineStr">
        <is>
          <t>기본진단항목(v2.0)</t>
        </is>
      </c>
      <c r="D50" s="36" t="inlineStr">
        <is>
          <t>사회</t>
        </is>
      </c>
      <c r="E50" s="18" t="inlineStr">
        <is>
          <t>지역사회</t>
        </is>
      </c>
      <c r="F50" s="18" t="inlineStr">
        <is>
          <t>구성원 봉사참여</t>
        </is>
      </c>
      <c r="G50" s="18"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50" s="18"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50" s="18" t="inlineStr">
        <is>
          <t>직전 회계연도</t>
        </is>
      </c>
      <c r="J50" s="18" t="inlineStr">
        <is>
          <t>국내 및 해외 사업장</t>
        </is>
      </c>
      <c r="K50" s="17" t="inlineStr">
        <is>
          <t>N/A</t>
        </is>
      </c>
      <c r="L50" s="20" t="inlineStr">
        <is>
          <t>단계형</t>
        </is>
      </c>
      <c r="M50" s="16" t="n">
        <v>5</v>
      </c>
      <c r="N50" s="18" t="inlineStr">
        <is>
          <t>단계형: 1단계=0점 / 2단계=25점 / 3단계=50점 / 4단계=75점 / 5단계=100점</t>
        </is>
      </c>
      <c r="O50" s="17"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50" s="33" t="inlineStr">
        <is>
          <t>GAP(대응지표 없음)</t>
        </is>
      </c>
      <c r="Q50" s="17" t="inlineStr">
        <is>
          <t>KSSB 지역사회 지표 미규정</t>
        </is>
      </c>
      <c r="R50" s="17" t="inlineStr">
        <is>
          <t>GRI 413-1</t>
        </is>
      </c>
      <c r="S50" s="17" t="inlineStr">
        <is>
          <t>1_2_0_업종별 K-ESG 가이드라인(v2.0) 진단항목</t>
        </is>
      </c>
      <c r="T50" s="22" t="n">
        <v>1</v>
      </c>
      <c r="U50" s="23" t="n"/>
      <c r="V50" s="23" t="n"/>
      <c r="W50" s="23" t="n"/>
      <c r="X50" s="24" t="n">
        <v>1</v>
      </c>
      <c r="Y50" s="18"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50" s="18" t="inlineStr">
        <is>
          <t>[자동채점] | 근거충분성: 불충분 | 근거페이지: [25, 68, 76, 89] | 근거: [지속가능경영보고서] 89p. 구성원의 자율적 봉사 장려를 위한 유급휴가, 비용지원, 포상 인센티브를 제공합니까?(줄 위치 특정 실패) → 제공된 보고서 내에 봉사활동 참여자에 대한 유급휴가, 비용지원, 포상 등 구체적인 인센티브 제도 운영에 관한 내용이 확인되지 않아 1단계로 판단함.</t>
        </is>
      </c>
      <c r="AA50" s="25" t="inlineStr">
        <is>
          <t>구성원의 자율적 봉사 장려를 위한 유급휴가, 비용지원, 포상 인센티브를 제공합니까?</t>
        </is>
      </c>
      <c r="AB50" s="25" t="inlineStr">
        <is>
          <t>단계(1~5)</t>
        </is>
      </c>
    </row>
    <row r="51" ht="91.5" customHeight="1">
      <c r="A51" s="26" t="n">
        <v>50</v>
      </c>
      <c r="B51" s="27" t="inlineStr">
        <is>
          <t>S-8-1</t>
        </is>
      </c>
      <c r="C51" s="28" t="inlineStr">
        <is>
          <t>기본진단항목(v2.0)</t>
        </is>
      </c>
      <c r="D51" s="36" t="inlineStr">
        <is>
          <t>사회</t>
        </is>
      </c>
      <c r="E51" s="28" t="inlineStr">
        <is>
          <t>정보보호</t>
        </is>
      </c>
      <c r="F51" s="28" t="inlineStr">
        <is>
          <t>정보보호 시스템 구축</t>
        </is>
      </c>
      <c r="G51" s="28"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51" s="28" t="inlineStr">
        <is>
          <t>정보보호 시스템 관리규정, 정보보호 추진 계획 및 결과, 정보보호 공시 내역</t>
        </is>
      </c>
      <c r="I51" s="28" t="inlineStr">
        <is>
          <t>직전 회계연도</t>
        </is>
      </c>
      <c r="J51" s="27" t="inlineStr">
        <is>
          <t>N/A</t>
        </is>
      </c>
      <c r="K51" s="27" t="inlineStr">
        <is>
          <t>N/A</t>
        </is>
      </c>
      <c r="L51" s="29" t="inlineStr">
        <is>
          <t>선택형</t>
        </is>
      </c>
      <c r="M51" s="26" t="n">
        <v>5</v>
      </c>
      <c r="N51" s="28" t="inlineStr">
        <is>
          <t>선택형: 요건1=0점 / 요건2=25점 / 요건3=50점 / 요건4=75점 / 요건5=100점</t>
        </is>
      </c>
      <c r="O51" s="28"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51" s="33" t="inlineStr">
        <is>
          <t>GAP(대응지표 없음)</t>
        </is>
      </c>
      <c r="Q51" s="27" t="inlineStr">
        <is>
          <t>KSSB 정보보호 지표 미규정</t>
        </is>
      </c>
      <c r="R51" s="27" t="inlineStr">
        <is>
          <t>GRI 418-1, ISMS-P</t>
        </is>
      </c>
      <c r="S51" s="27" t="inlineStr">
        <is>
          <t>1_2_0_업종별 K-ESG 가이드라인(v2.0) 진단항목</t>
        </is>
      </c>
      <c r="T51" s="22" t="n">
        <v>5</v>
      </c>
      <c r="U51" s="23" t="n"/>
      <c r="V51" s="23" t="n"/>
      <c r="W51" s="23" t="n"/>
      <c r="X51" s="30" t="n">
        <v>100</v>
      </c>
      <c r="Y51" s="28"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51" s="28" t="inlineStr">
        <is>
          <t>[자동채점] | 근거충분성: 충분 | 근거페이지: [42, 56] | 근거: [지배구조보고서] 42p. 보험에 가입해 정보 주체에게 피해가 발생할 경우의 배상 책임(12번째 줄) → 정보보호 최고책임자(CISO) 선임, 개인정보 보호 인증 및 점검, 모의해킹 훈련, 정보보호 공시 이행, 정보보안 사고 대비 보험 가입 등 5단계 요건을 모두 충족하고 있습니다.</t>
        </is>
      </c>
      <c r="AA51" s="25" t="inlineStr">
        <is>
          <t>최고책임자(CISO) 임명, ISMS/ISO27001 인증, 배상보험 등을 갖추었습니까?</t>
        </is>
      </c>
      <c r="AB51" s="25" t="inlineStr">
        <is>
          <t>단계(1~5)</t>
        </is>
      </c>
    </row>
    <row r="52" ht="91.5" customHeight="1">
      <c r="A52" s="16" t="n">
        <v>51</v>
      </c>
      <c r="B52" s="17" t="inlineStr">
        <is>
          <t>S-8-2</t>
        </is>
      </c>
      <c r="C52" s="18" t="inlineStr">
        <is>
          <t>기본진단항목(v2.0)</t>
        </is>
      </c>
      <c r="D52" s="36" t="inlineStr">
        <is>
          <t>사회</t>
        </is>
      </c>
      <c r="E52" s="18" t="inlineStr">
        <is>
          <t>정보보호</t>
        </is>
      </c>
      <c r="F52" s="18" t="inlineStr">
        <is>
          <t>개인정보 침해 및 구제</t>
        </is>
      </c>
      <c r="G52" s="18"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52" s="18" t="inlineStr">
        <is>
          <t>‘전자공시시스템’ 上 사업보고서, ‘조직별 홈페이지’ 上 지속가능경영보고서</t>
        </is>
      </c>
      <c r="I52" s="18" t="inlineStr">
        <is>
          <t>최근 4개 회계연도</t>
        </is>
      </c>
      <c r="J52" s="18" t="inlineStr">
        <is>
          <t>국내 및 해외 사업장</t>
        </is>
      </c>
      <c r="K52" s="18" t="inlineStr">
        <is>
          <t>총 개인정보 보호 관련 법/규제 위반 감점 = ∑(개인정보 법/규제 위반 건 * 처벌수위별 감점 기준)</t>
        </is>
      </c>
      <c r="L52" s="20" t="inlineStr">
        <is>
          <t>감점형</t>
        </is>
      </c>
      <c r="M52" s="16" t="n">
        <v>3</v>
      </c>
      <c r="N52" s="18" t="inlineStr">
        <is>
          <t>감점형: 기준 100점에서 위반유형별(-50/-30/-10점) 차감(중복 적용 가능), 최저 0점</t>
        </is>
      </c>
      <c r="O52" s="18"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52" s="33" t="inlineStr">
        <is>
          <t>GAP(대응지표 없음)</t>
        </is>
      </c>
      <c r="Q52" s="17" t="inlineStr">
        <is>
          <t>KSSB 정보보호 지표 미규정</t>
        </is>
      </c>
      <c r="R52" s="17" t="inlineStr">
        <is>
          <t>GRI 418-1</t>
        </is>
      </c>
      <c r="S52" s="17" t="inlineStr">
        <is>
          <t>1_2_0_업종별 K-ESG 가이드라인(v2.0) 진단항목</t>
        </is>
      </c>
      <c r="T52" s="34" t="inlineStr">
        <is>
          <t>해당없음(감점형)</t>
        </is>
      </c>
      <c r="U52" s="22" t="n">
        <v>0</v>
      </c>
      <c r="V52" s="22" t="n">
        <v>0</v>
      </c>
      <c r="W52" s="22" t="n">
        <v>0</v>
      </c>
      <c r="X52" s="24" t="n">
        <v>100</v>
      </c>
      <c r="Y52" s="18"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52" s="18" t="inlineStr">
        <is>
          <t>[자동채점] | 근거충분성: 충분 | 근거페이지: [55, 56] | 근거: 위반사항 없음</t>
        </is>
      </c>
      <c r="AA52" s="25" t="inlineStr">
        <is>
          <t>개인정보 침해 및 구제에 대한 현황을 관리·공시하고 있습니까?</t>
        </is>
      </c>
      <c r="AB52" s="25" t="inlineStr">
        <is>
          <t>단계(1~5)</t>
        </is>
      </c>
    </row>
    <row r="53" ht="91.5" customHeight="1">
      <c r="A53" s="26" t="n">
        <v>52</v>
      </c>
      <c r="B53" s="27" t="inlineStr">
        <is>
          <t>S-9-1</t>
        </is>
      </c>
      <c r="C53" s="28" t="inlineStr">
        <is>
          <t>기본진단항목(v2.0)</t>
        </is>
      </c>
      <c r="D53" s="36" t="inlineStr">
        <is>
          <t>사회</t>
        </is>
      </c>
      <c r="E53" s="28" t="inlineStr">
        <is>
          <t>사회 법/규제 위반</t>
        </is>
      </c>
      <c r="F53" s="28" t="inlineStr">
        <is>
          <t>사회 법/규제 위반</t>
        </is>
      </c>
      <c r="G53" s="28"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53" s="28" t="inlineStr">
        <is>
          <t>‘전자공시시스템’ 上 사업보고서, ‘조직별 홈페이지’ 上 지속가능경영보고서</t>
        </is>
      </c>
      <c r="I53" s="28" t="inlineStr">
        <is>
          <t>최근 4개 회계연도</t>
        </is>
      </c>
      <c r="J53" s="28" t="inlineStr">
        <is>
          <t>국내 및 해외 사업장</t>
        </is>
      </c>
      <c r="K53" s="28" t="inlineStr">
        <is>
          <t>총 사회 관련 법/규제 위반 감점 = ∑(사회 법/규제 위반 건 * 처벌수위별 감점 기준)</t>
        </is>
      </c>
      <c r="L53" s="29" t="inlineStr">
        <is>
          <t>감점형</t>
        </is>
      </c>
      <c r="M53" s="26" t="n">
        <v>3</v>
      </c>
      <c r="N53" s="28" t="inlineStr">
        <is>
          <t>감점형: 기준 100점에서 위반유형별(-50/-30/-10점) 차감(중복 적용 가능), 최저 0점</t>
        </is>
      </c>
      <c r="O53" s="28"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53" s="21" t="inlineStr">
        <is>
          <t>부분대응</t>
        </is>
      </c>
      <c r="Q53" s="27" t="inlineStr">
        <is>
          <t>KSSB 제1호 위험관리 원칙 준용</t>
        </is>
      </c>
      <c r="R53" s="27" t="inlineStr">
        <is>
          <t>GRI 2-27</t>
        </is>
      </c>
      <c r="S53" s="27" t="inlineStr">
        <is>
          <t>1_2_0_업종별 K-ESG 가이드라인(v2.0) 진단항목</t>
        </is>
      </c>
      <c r="T53" s="34" t="inlineStr">
        <is>
          <t>해당없음(감점형)</t>
        </is>
      </c>
      <c r="U53" s="22" t="n">
        <v>0</v>
      </c>
      <c r="V53" s="22" t="n">
        <v>10</v>
      </c>
      <c r="W53" s="22" t="n">
        <v>1</v>
      </c>
      <c r="X53" s="30" t="n">
        <v>1</v>
      </c>
      <c r="Y53" s="28"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53" s="28" t="inlineStr">
        <is>
          <t>[자동채점] | 근거충분성: 충분 | 근거페이지: [412, 413, 414] | 근거: [유형2] [사업보고서] 412p. 2021년 4월 14일 고용노동부 중부지방고용노동청 산업안전보건법 위반 과태료 7,840만원, 2021년 5월 6일 환경부 대기환경보전법 위반 과태료 24만원, 2021년 5월 13일 고용노동부 중부지방고용노동청 산업안전보건법 위반 과태료 1억 990만원, 2021년 10월 31일 충청북도청 물환경보전법 위반 초과배출부과금 117만원, 2021년 11월 7일 고용노동부 중부지방고용노동청 고용보험법 위반 과태료 8만원, 2022년 3월 23일 개인정보보호위원회 개인정보보호법 위반 과태료 540만원, 2022년 5월 4일 충청북도청 물환경보전법 위반 초과배출부과금 1,126만원, 2022년 6월 10일 고용노동부 대전지방고용노동청 산업안전보건법 위반 과태료 40만원, 2023년 1월 2일 한강유역환경청 화학물질관리법 위반 과태료 300만원(줄 위치 특정 실패) → 지난 4개년(2021~2024) 동안 산업안전보건법, 대기환경보전법, 물환경보전법, 고용보험법, 개인정보보호법, 화학물질관리법 위반으로 인한 과태료 및 초과배출부과금 처분이 다수 확인되었습니다. / [유형3] [사업보고서] 412p. 2023년 7월 12일 개인정보보호위원회 개인정보보호법 위반 시정조치(줄 위치 특정 실패) → 개인정보보호법 위반으로 인해 개인정보보호위원회로부터 시정조치 처분을 받은 내역이 확인되었습니다. | [AI검토필요] 위반 발견 - 재확인 권장</t>
        </is>
      </c>
      <c r="AA53" s="25" t="inlineStr">
        <is>
          <t>근로/안전/공정거래/소비자보호 관련 법 위반 처분 내역이 있습니까?</t>
        </is>
      </c>
      <c r="AB53" s="25" t="inlineStr">
        <is>
          <t>단계(1~5)</t>
        </is>
      </c>
    </row>
    <row r="54" ht="91.5" customHeight="1">
      <c r="A54" s="16" t="n">
        <v>53</v>
      </c>
      <c r="B54" s="17" t="inlineStr">
        <is>
          <t>G-1-1</t>
        </is>
      </c>
      <c r="C54" s="18" t="inlineStr">
        <is>
          <t>기본진단항목(v2.0)</t>
        </is>
      </c>
      <c r="D54" s="37" t="inlineStr">
        <is>
          <t>지배구조</t>
        </is>
      </c>
      <c r="E54" s="18" t="inlineStr">
        <is>
          <t>이사회 구성</t>
        </is>
      </c>
      <c r="F54" s="18" t="inlineStr">
        <is>
          <t>이사회 내 ESG 안건 상정</t>
        </is>
      </c>
      <c r="G54" s="18" t="inlineStr">
        <is>
          <t> 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is>
      </c>
      <c r="H54" s="18" t="inlineStr">
        <is>
          <t>이사회 또는 산하 위원회 개최 내역, 이사회 또는 산하 위원회 운영규정</t>
        </is>
      </c>
      <c r="I54" s="18" t="inlineStr">
        <is>
          <t>직전 회계연도</t>
        </is>
      </c>
      <c r="J54" s="17" t="inlineStr">
        <is>
          <t>N/A</t>
        </is>
      </c>
      <c r="K54" s="17" t="inlineStr">
        <is>
          <t>N/A</t>
        </is>
      </c>
      <c r="L54" s="20" t="inlineStr">
        <is>
          <t>복합가중형</t>
        </is>
      </c>
      <c r="M54" s="16" t="n"/>
      <c r="N54" s="18" t="inlineStr">
        <is>
          <t>복합가중형: 2~3개 세부요소를 균등가중평균(예: 1/2+1/2, 1/3×3) — 세부 배점은 점검기준 상세 참조, 자사취득점수는 수동 산정</t>
        </is>
      </c>
      <c r="O54" s="18" t="inlineStr">
        <is>
          <t>영역1 (1/2) |  1단계 |  이사회 또는 산하 위원회에서 ESG 관련 안건을 다루고 있지 않는 경우 |  2단계 |  최근 1년간 ESG 관련 안건이 모두 '보고' 사항인 경우 |  3단계 |  최근 1년간 ESG 관련 안건 중 '심의/의결' 사항이 있는 경우 |  영역2 (1/2) |  1단계 |  이사회 또는 산하 위원회 운영규정에 ESG 관련 사항을 명시하지 않는 경우 |  2단계 |  이사회 또는 산하 위원회 운영규정에 ‘ESG’라는 단어만 기재하고 있는 경우 |  3단계 |  이사회 또는 산하 위원회 운영규정에 ESG 이외에, 조직과 관련된 중요 ESG 이슈 또는 안건을 명시하고 있는 경우</t>
        </is>
      </c>
      <c r="P54" s="31" t="inlineStr">
        <is>
          <t>완전대응</t>
        </is>
      </c>
      <c r="Q54" s="17" t="inlineStr">
        <is>
          <t>KSSB 제1호 문단 27(1) — 이사회 ESG 안건 감독</t>
        </is>
      </c>
      <c r="R54" s="17" t="inlineStr">
        <is>
          <t>GRI 2-9, KCGS</t>
        </is>
      </c>
      <c r="S54" s="17" t="inlineStr">
        <is>
          <t>1_2_0_업종별 K-ESG 가이드라인(v2.0) 진단항목</t>
        </is>
      </c>
      <c r="T54" s="34" t="inlineStr">
        <is>
          <t>해당없음(복합가중형)</t>
        </is>
      </c>
      <c r="U54" s="23" t="n"/>
      <c r="V54" s="23" t="n"/>
      <c r="W54" s="23" t="n"/>
      <c r="X54" s="35" t="n">
        <v>3</v>
      </c>
      <c r="Y54" s="17" t="inlineStr">
        <is>
          <t>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is>
      </c>
      <c r="Z54" s="18" t="inlineStr">
        <is>
          <t>[자동채점] | 근거충분성: 충분 | 근거페이지: [25, 29, 40, 43, 45] | 근거: [영역1 (이사회 내 ESG 안건 심의/의결)] [지배구조보고서] 25p. 지속경영위원회는 다음의 기능을 수행한다. ① 회사의 반독점, 반부패, SHE(Safety, Health, Environment), 하도급 등을 포함한 준법경영 체계 및 활동 심의 ② 회사의 지속경영과 관련한 다음 각 호의 사항에 대한 심의 (1) 지속경영 및 사회적 가치 창출 전략 및 성과 (2) 주요 CSR(Corporate Social Responsibility) 활동 (3) 주요 ESG(Environmental, Social, Governance) 현황 및 대응(4번째 줄) → 이사회 산하 지속경영위원회를 통해 ESG 관련 안건에 대한 심의 기능을 수행하고 있으므로 3단계에 해당합니다. / [영역2 (이사회 또는 산하 위원회 운영규정 명시)] [지배구조보고서] 25p. 당사는 2018년 지속경영위원회를 설치하여 ESG를 중심으로 주주가치 강화와 함께 기업의 사회적 가치 및 다양한 이해관계자의 관점과 요구사항을 고려해 세부 전략을 수집하고 논의·검토해 의사결정 과정의 전문성과 투명성을 제고하고 준법경영을 감독하고 있습니다. 자세한 규정사항은 다음과 같습니다. - 위원회는 다음의 기능을 수행한다. ① 회사의 반독점, 반부패, SHE(Safety, Health, Environment), 하도급 등을 포함한 준법경영 체계 및 활동 심의 ② 회사의 지속경영과 관련한 다음 각 호의 사항에 대한 심의(4번째 줄) → 운영규정에 ESG라는 단어뿐만 아니라 준법경영, 사회적 가치 창출 전략 등 조직과 관련된 중요 ESG 이슈를 구체적으로 명시하고 있으므로 3단계에 해당합니다. | [AI검토필요] 복합가중형 - 표본검증 권장</t>
        </is>
      </c>
      <c r="AA54" s="25" t="inlineStr">
        <is>
          <t>이사회 및 ESG위원회 운영 규정에 역할을 명시하고 정기 심의합니까?</t>
        </is>
      </c>
      <c r="AB54" s="25" t="inlineStr">
        <is>
          <t>단계(1~5)</t>
        </is>
      </c>
    </row>
    <row r="55" ht="91.5" customHeight="1">
      <c r="A55" s="26" t="n">
        <v>54</v>
      </c>
      <c r="B55" s="27" t="inlineStr">
        <is>
          <t>G-1-2</t>
        </is>
      </c>
      <c r="C55" s="28" t="inlineStr">
        <is>
          <t>기본진단항목(v2.0)</t>
        </is>
      </c>
      <c r="D55" s="37" t="inlineStr">
        <is>
          <t>지배구조</t>
        </is>
      </c>
      <c r="E55" s="28" t="inlineStr">
        <is>
          <t>이사회 구성</t>
        </is>
      </c>
      <c r="F55" s="28" t="inlineStr">
        <is>
          <t>사외이사 비율</t>
        </is>
      </c>
      <c r="G55" s="28" t="inlineStr">
        <is>
          <t> 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is>
      </c>
      <c r="H55" s="28" t="inlineStr">
        <is>
          <t>이사회 구성현황, 전자공시시스템 [사업보고서-이사회에 관한 사항]</t>
        </is>
      </c>
      <c r="I55" s="28" t="inlineStr">
        <is>
          <t>지난 1개 회계연도 기준</t>
        </is>
      </c>
      <c r="J55" s="27" t="inlineStr">
        <is>
          <t>N/A</t>
        </is>
      </c>
      <c r="K55" s="27" t="inlineStr">
        <is>
          <t>N/A</t>
        </is>
      </c>
      <c r="L55" s="29" t="inlineStr">
        <is>
          <t>단계형</t>
        </is>
      </c>
      <c r="M55" s="26" t="n">
        <v>5</v>
      </c>
      <c r="N55" s="28" t="inlineStr">
        <is>
          <t>단계형: 1단계=0점 / 2단계=25점 / 3단계=50점 / 4단계=75점 / 5단계=100점</t>
        </is>
      </c>
      <c r="O55" s="27" t="inlineStr">
        <is>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is>
      </c>
      <c r="P55" s="21" t="inlineStr">
        <is>
          <t>부분대응</t>
        </is>
      </c>
      <c r="Q55" s="27" t="inlineStr">
        <is>
          <t>KSSB 제1호 문단 27(1) 취지상 이사회 역량 요구와 연관</t>
        </is>
      </c>
      <c r="R55" s="28" t="inlineStr">
        <is>
          <t>지배구조보고서 가이드라인, GRI 2-9</t>
        </is>
      </c>
      <c r="S55" s="27" t="inlineStr">
        <is>
          <t>1_2_0_업종별 K-ESG 가이드라인(v2.0) 진단항목</t>
        </is>
      </c>
      <c r="T55" s="22" t="n">
        <v>3</v>
      </c>
      <c r="U55" s="23" t="n"/>
      <c r="V55" s="23" t="n"/>
      <c r="W55" s="23" t="n"/>
      <c r="X55" s="30" t="n">
        <v>50</v>
      </c>
      <c r="Y55" s="28" t="inlineStr">
        <is>
          <t> 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is>
      </c>
      <c r="Z55" s="28" t="inlineStr">
        <is>
          <t>[자동채점] | 근거충분성: 충분 | 근거페이지: [3, 23, 52] | 근거: [지배구조보고서] 3p. 보고서 제출 시점에 당사 이사회는 총 10명의 이사(사내이사 2명, 사외이사 6명, 기타비상무이사 2명)로 구성되어 있으며, 이사회 내 사외이사의 비율을 과반수 이상(60%)으로 유지하고 있습니다.(5번째 줄) → 전체 이사 10명 중 사외이사가 6명으로 60%를 차지하여 3단계(60% 이상 ~ 70% 미만) 요건을 충족합니다.</t>
        </is>
      </c>
      <c r="AA55" s="25" t="inlineStr">
        <is>
          <t>경영진 견제를 위해 사외이사의 비율을 과반수 이상 확보하고 있습니까?</t>
        </is>
      </c>
      <c r="AB55" s="25" t="inlineStr">
        <is>
          <t>단계(1~5)</t>
        </is>
      </c>
    </row>
    <row r="56" ht="91.5" customHeight="1">
      <c r="A56" s="16" t="n">
        <v>55</v>
      </c>
      <c r="B56" s="17" t="inlineStr">
        <is>
          <t>G-1-3</t>
        </is>
      </c>
      <c r="C56" s="18" t="inlineStr">
        <is>
          <t>기본진단항목(v2.0)</t>
        </is>
      </c>
      <c r="D56" s="37" t="inlineStr">
        <is>
          <t>지배구조</t>
        </is>
      </c>
      <c r="E56" s="18" t="inlineStr">
        <is>
          <t>이사회 구성</t>
        </is>
      </c>
      <c r="F56" s="18" t="inlineStr">
        <is>
          <t>대표이사와 이사회 의장 분리</t>
        </is>
      </c>
      <c r="G56" s="18" t="inlineStr">
        <is>
          <t> 경영진의 경영활동을 감독하고 견제하는 이사회의 역할을 제대로 수행하기 위한 독립성 확보 여부를 확인  이사회의 의장과 경영진의 대표인 대표이사와의 분리 여부 및 선임사외이사 임명 등을 점검</t>
        </is>
      </c>
      <c r="H56" s="18" t="inlineStr">
        <is>
          <t>이사회 구성 현황, 전자공시시스템[사업보고서-이사회에 관한 사항]</t>
        </is>
      </c>
      <c r="I56" s="18" t="inlineStr">
        <is>
          <t>지난 1개 회계연도 기준</t>
        </is>
      </c>
      <c r="J56" s="17" t="inlineStr">
        <is>
          <t>N/A</t>
        </is>
      </c>
      <c r="K56" s="17" t="inlineStr">
        <is>
          <t>N/A</t>
        </is>
      </c>
      <c r="L56" s="20" t="inlineStr">
        <is>
          <t>단계형</t>
        </is>
      </c>
      <c r="M56" s="16" t="n">
        <v>5</v>
      </c>
      <c r="N56" s="18" t="inlineStr">
        <is>
          <t>단계형: 1단계=0점 / 2단계=25점 / 3단계=50점 / 4단계=75점 / 5단계=100점</t>
        </is>
      </c>
      <c r="O56" s="17" t="inlineStr">
        <is>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  결여된 자가 이사회 의장인 경우 |  4단계 |  과거 또는 현재 대표이사이거나, 이사회 의장을 역임하였거나, 독립성이 결여된 자가 현재 이사회 의장인 경우. |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  의장인 경우</t>
        </is>
      </c>
      <c r="P56" s="33" t="inlineStr">
        <is>
          <t>GAP(대응지표 없음)</t>
        </is>
      </c>
      <c r="Q56" s="17" t="inlineStr">
        <is>
          <t>KSSB 별도 규정 없음</t>
        </is>
      </c>
      <c r="R56" s="18" t="inlineStr">
        <is>
          <t>지배구조보고서 가이드라인</t>
        </is>
      </c>
      <c r="S56" s="17" t="inlineStr">
        <is>
          <t>1_2_0_업종별 K-ESG 가이드라인(v2.0) 진단항목</t>
        </is>
      </c>
      <c r="T56" s="22" t="n">
        <v>5</v>
      </c>
      <c r="U56" s="23" t="n"/>
      <c r="V56" s="23" t="n"/>
      <c r="W56" s="23" t="n"/>
      <c r="X56" s="24" t="n">
        <v>100</v>
      </c>
      <c r="Y56" s="18" t="inlineStr">
        <is>
          <t> 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 국내외 법/규제, ESG 평가기관 등은 대표이사의 이사회 의장 분리 및 선임사외이사 임명 관련 사항을 아래와 같이 명시하고 있으므로, 해당 지표…</t>
        </is>
      </c>
      <c r="Z56" s="18" t="inlineStr">
        <is>
          <t>[자동채점] | 근거충분성: 충분 | 근거페이지: [3, 19, 26, 325, 334] | 근거: [지배구조보고서] 26p. 당사는 대표이사와 이사회 의장직을 분리하고 사외이사를 이사회 의장으로 선임하여 이사회의 독립성과 경영진에 대한 감시 및 견제 기능을 한층 강화하였습니다.(2번째 줄) → 대표이사와 이사회 의장이 분리되어 있으며, 독립성이 확보된 사외이사가 의장을 맡고 있어 5단계 요건을 충족함.</t>
        </is>
      </c>
      <c r="AA56" s="25" t="inlineStr">
        <is>
          <t>대표이사와 이사회 의장 분리에 대한 현황을 관리·공시하고 있습니까?</t>
        </is>
      </c>
      <c r="AB56" s="25" t="inlineStr">
        <is>
          <t>단계(1~5)</t>
        </is>
      </c>
    </row>
    <row r="57" ht="91.5" customHeight="1">
      <c r="A57" s="26" t="n">
        <v>56</v>
      </c>
      <c r="B57" s="27" t="inlineStr">
        <is>
          <t>G-1-4</t>
        </is>
      </c>
      <c r="C57" s="28" t="inlineStr">
        <is>
          <t>기본진단항목(v2.0)</t>
        </is>
      </c>
      <c r="D57" s="37" t="inlineStr">
        <is>
          <t>지배구조</t>
        </is>
      </c>
      <c r="E57" s="28" t="inlineStr">
        <is>
          <t>이사회 구성</t>
        </is>
      </c>
      <c r="F57" s="28" t="inlineStr">
        <is>
          <t>이사회 성별 다양성</t>
        </is>
      </c>
      <c r="G57" s="28" t="inlineStr">
        <is>
          <t> 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is>
      </c>
      <c r="H57" s="28" t="inlineStr">
        <is>
          <t>이사회 구성 현황, 전자공시시스템[사업보고서-이사회에 관한 사항]</t>
        </is>
      </c>
      <c r="I57" s="28" t="inlineStr">
        <is>
          <t>지난 1개 회계연도 기준</t>
        </is>
      </c>
      <c r="J57" s="27" t="inlineStr">
        <is>
          <t>N/A</t>
        </is>
      </c>
      <c r="K57" s="28" t="inlineStr">
        <is>
          <t>이사회 여성 비율 = (여성 이사 수 / 전체 이사회 구성원 수)</t>
        </is>
      </c>
      <c r="L57" s="29" t="inlineStr">
        <is>
          <t>단계형</t>
        </is>
      </c>
      <c r="M57" s="26" t="n">
        <v>5</v>
      </c>
      <c r="N57" s="28" t="inlineStr">
        <is>
          <t>단계형: 1단계=0점 / 2단계=25점 / 3단계=50점 / 4단계=75점 / 5단계=100점</t>
        </is>
      </c>
      <c r="O57" s="27" t="inlineStr">
        <is>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is>
      </c>
      <c r="P57" s="21" t="inlineStr">
        <is>
          <t>부분대응</t>
        </is>
      </c>
      <c r="Q57" s="27" t="inlineStr">
        <is>
          <t>KSSB 제1호 문단 27(1) 이사회 역량·다양성 취지 준용</t>
        </is>
      </c>
      <c r="R57" s="27" t="inlineStr">
        <is>
          <t>GRI 405-1</t>
        </is>
      </c>
      <c r="S57" s="27" t="inlineStr">
        <is>
          <t>1_2_0_업종별 K-ESG 가이드라인(v2.0) 진단항목</t>
        </is>
      </c>
      <c r="T57" s="22" t="n">
        <v>4</v>
      </c>
      <c r="U57" s="23" t="n"/>
      <c r="V57" s="23" t="n"/>
      <c r="W57" s="23" t="n"/>
      <c r="X57" s="30" t="n">
        <v>75</v>
      </c>
      <c r="Y57" s="28" t="inlineStr">
        <is>
          <t> 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is>
      </c>
      <c r="Z57" s="28" t="inlineStr">
        <is>
          <t>[자동채점] | 근거충분성: 충분 | 근거페이지: [23, 27, 67, 85] | 근거: [지배구조보고서] 27p. 사내이사 2명, 사외이사 6명, 기타비상무이사 2명/남성 8명, 여성 2명(3번째 줄) → 전체 이사 10명 중 여성 이사가 2명으로 비율이 20%에 해당하여 4단계 요건을 충족합니다.</t>
        </is>
      </c>
      <c r="AA57" s="25" t="inlineStr">
        <is>
          <t>여성 이사를 1명 이상 혹은 30% 이상 일정 비율 확보했습니까?</t>
        </is>
      </c>
      <c r="AB57" s="25" t="inlineStr">
        <is>
          <t>단계(1~5)</t>
        </is>
      </c>
    </row>
    <row r="58" ht="91.5" customHeight="1">
      <c r="A58" s="16" t="n">
        <v>57</v>
      </c>
      <c r="B58" s="17" t="inlineStr">
        <is>
          <t>G-1-5</t>
        </is>
      </c>
      <c r="C58" s="18" t="inlineStr">
        <is>
          <t>기본진단항목(v2.0)</t>
        </is>
      </c>
      <c r="D58" s="37" t="inlineStr">
        <is>
          <t>지배구조</t>
        </is>
      </c>
      <c r="E58" s="18" t="inlineStr">
        <is>
          <t>이사회 구성</t>
        </is>
      </c>
      <c r="F58" s="18" t="inlineStr">
        <is>
          <t>사외이사 전문성</t>
        </is>
      </c>
      <c r="G58" s="18" t="inlineStr">
        <is>
          <t> 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is>
      </c>
      <c r="H58" s="18" t="inlineStr">
        <is>
          <t>사외이사 경력사항</t>
        </is>
      </c>
      <c r="I58" s="18" t="inlineStr">
        <is>
          <t>직전 회계연도</t>
        </is>
      </c>
      <c r="J58" s="17" t="inlineStr">
        <is>
          <t>N/A</t>
        </is>
      </c>
      <c r="K58" s="17" t="inlineStr">
        <is>
          <t>N/A</t>
        </is>
      </c>
      <c r="L58" s="20" t="inlineStr">
        <is>
          <t>단계형</t>
        </is>
      </c>
      <c r="M58" s="16" t="n">
        <v>3</v>
      </c>
      <c r="N58" s="18" t="inlineStr">
        <is>
          <t>단계형: 1단계=0점 / 2단계=50점 / 3단계=100점</t>
        </is>
      </c>
      <c r="O58" s="17" t="inlineStr">
        <is>
          <t>1단계 |  동종산업 경력을 보유한 사외이사가 없는 경우 |  2단계 |  동종산업 경력을 보유한 사외이사가 1명 이상인 경우 |  3단계 |  동종산업 경력을 보유한 사외이사가 50% 이상인 경우</t>
        </is>
      </c>
      <c r="P58" s="31" t="inlineStr">
        <is>
          <t>완전대응</t>
        </is>
      </c>
      <c r="Q58" s="17" t="inlineStr">
        <is>
          <t>KSSB 제1호 문단 27(1)ㄏ — 이사회 전문성 판단·개발계획</t>
        </is>
      </c>
      <c r="R58" s="18" t="inlineStr">
        <is>
          <t>지배구조보고서 가이드라인, KCGS</t>
        </is>
      </c>
      <c r="S58" s="17" t="inlineStr">
        <is>
          <t>1_2_0_업종별 K-ESG 가이드라인(v2.0) 진단항목</t>
        </is>
      </c>
      <c r="T58" s="22" t="n">
        <v>2</v>
      </c>
      <c r="U58" s="23" t="n"/>
      <c r="V58" s="23" t="n"/>
      <c r="W58" s="23" t="n"/>
      <c r="X58" s="24" t="n">
        <v>50</v>
      </c>
      <c r="Y58" s="18" t="inlineStr">
        <is>
          <t> 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 글로벌 ESG 평가기관은 ‘산업 전문성을 갖춘 사외이사 비율’을 평가지표로 운용하고 있으며, 조직은 사외이사 선임 시 평가기관 등이 제시하는 ‘산업 전문성’ 요건을 참고할 수 있다. - (S&amp;P Global) 국제산업분류표준(GICS)…</t>
        </is>
      </c>
      <c r="Z58" s="18" t="inlineStr">
        <is>
          <t>[자동채점] | 근거충분성: 부분적 | 근거페이지: [3, 27, 28] | 근거: [지배구조보고서] 27p. 손현철 신임 이사는 연세대학교 공과대학 신소재공학과 교수로 반도체 기술 및 산업에 대한 해박한 지식을 기반으로 당사 이사회 전문성에 기여할 것으로 판단됩니다.(1번째 줄) → 제시된 근거에서 반도체 산업 관련 전문성을 보유한 사외이사가 확인되나, 전체 사외이사 중 50% 이상이 동종산업 실무 경력을 보유했다는 명확한 근거가 부족하여 2단계에 해당함.</t>
        </is>
      </c>
      <c r="AA58" s="25" t="inlineStr">
        <is>
          <t>동종 산업(반도체/전자) 실무 경험을 보유한 사외이사가 포함되어 있습니까?</t>
        </is>
      </c>
      <c r="AB58" s="25" t="inlineStr">
        <is>
          <t>단계(1~3)</t>
        </is>
      </c>
    </row>
    <row r="59" ht="91.5" customHeight="1">
      <c r="A59" s="26" t="n">
        <v>58</v>
      </c>
      <c r="B59" s="27" t="inlineStr">
        <is>
          <t>G-2-1</t>
        </is>
      </c>
      <c r="C59" s="28" t="inlineStr">
        <is>
          <t>기본진단항목(v2.0)</t>
        </is>
      </c>
      <c r="D59" s="37" t="inlineStr">
        <is>
          <t>지배구조</t>
        </is>
      </c>
      <c r="E59" s="28" t="inlineStr">
        <is>
          <t>이사회 활동</t>
        </is>
      </c>
      <c r="F59" s="28" t="inlineStr">
        <is>
          <t>전체 이사 출석률</t>
        </is>
      </c>
      <c r="G59" s="28" t="inlineStr">
        <is>
          <t> 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is>
      </c>
      <c r="H59" s="28" t="inlineStr">
        <is>
          <t>이사회 구성 현황, 이사회 회의록 등</t>
        </is>
      </c>
      <c r="I59" s="28" t="inlineStr">
        <is>
          <t>직전 회계연도</t>
        </is>
      </c>
      <c r="J59" s="27" t="inlineStr">
        <is>
          <t>N/A</t>
        </is>
      </c>
      <c r="K59" s="28" t="inlineStr">
        <is>
          <t>이사회 구성원 평균 출석률 = ∑(출석한 전체 이사 인원 수 / 전체 이사 정원) / 이사회 개최 횟수</t>
        </is>
      </c>
      <c r="L59" s="29" t="inlineStr">
        <is>
          <t>단계형</t>
        </is>
      </c>
      <c r="M59" s="26" t="n">
        <v>5</v>
      </c>
      <c r="N59" s="28" t="inlineStr">
        <is>
          <t>단계형: 1단계=0점 / 2단계=25점 / 3단계=50점 / 4단계=75점 / 5단계=100점</t>
        </is>
      </c>
      <c r="O59" s="27" t="inlineStr">
        <is>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is>
      </c>
      <c r="P59" s="21" t="inlineStr">
        <is>
          <t>부분대응</t>
        </is>
      </c>
      <c r="Q59" s="27" t="inlineStr">
        <is>
          <t>KSSB 제1호 문단 27(1)ㄒ — 보고주기 준용</t>
        </is>
      </c>
      <c r="R59" s="27" t="inlineStr">
        <is>
          <t>GRI 2-9</t>
        </is>
      </c>
      <c r="S59" s="27" t="inlineStr">
        <is>
          <t>1_2_0_업종별 K-ESG 가이드라인(v2.0) 진단항목</t>
        </is>
      </c>
      <c r="T59" s="22" t="n">
        <v>5</v>
      </c>
      <c r="U59" s="23" t="n"/>
      <c r="V59" s="23" t="n"/>
      <c r="W59" s="23" t="n"/>
      <c r="X59" s="30" t="n">
        <v>100</v>
      </c>
      <c r="Y59" s="2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is>
      </c>
      <c r="Z59" s="28" t="inlineStr">
        <is>
          <t>[자동채점] | 근거충분성: 충분 | 근거페이지: [42, 43, 328, 333] | 근거: [지배구조보고서] 43p. 이사 평균 출석률 (%) | 정기 98 | 임시 100(1번째 줄) → 정기 및 임시 이사회 평균 출석률이 모두 95% 이상으로 5단계 요건을 충족함.</t>
        </is>
      </c>
      <c r="AA59" s="25" t="inlineStr">
        <is>
          <t>이사회 전체 이사 평균 출석률이 75% 이상 유지됩니까?</t>
        </is>
      </c>
      <c r="AB59" s="25" t="inlineStr">
        <is>
          <t>단계(1~5)</t>
        </is>
      </c>
    </row>
    <row r="60" ht="91.5" customHeight="1">
      <c r="A60" s="16" t="n">
        <v>59</v>
      </c>
      <c r="B60" s="17" t="inlineStr">
        <is>
          <t>G-2-2</t>
        </is>
      </c>
      <c r="C60" s="18" t="inlineStr">
        <is>
          <t>기본진단항목(v2.0)</t>
        </is>
      </c>
      <c r="D60" s="37" t="inlineStr">
        <is>
          <t>지배구조</t>
        </is>
      </c>
      <c r="E60" s="18" t="inlineStr">
        <is>
          <t>이사회 활동</t>
        </is>
      </c>
      <c r="F60" s="18" t="inlineStr">
        <is>
          <t>사내이사 출석률</t>
        </is>
      </c>
      <c r="G60" s="18" t="inlineStr">
        <is>
          <t> 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is>
      </c>
      <c r="H60" s="18" t="inlineStr">
        <is>
          <t>이사회 구성 현황, 이사회 회의록 등</t>
        </is>
      </c>
      <c r="I60" s="18" t="inlineStr">
        <is>
          <t>직전 회계연도</t>
        </is>
      </c>
      <c r="J60" s="17" t="inlineStr">
        <is>
          <t>N/A</t>
        </is>
      </c>
      <c r="K60" s="18" t="inlineStr">
        <is>
          <t>사내이사 평균 출석률 = ∑(출석한 사내 이사 인원 수 / 전체 이사 정원) / 이사회 개최 횟수</t>
        </is>
      </c>
      <c r="L60" s="20" t="inlineStr">
        <is>
          <t>단계형</t>
        </is>
      </c>
      <c r="M60" s="16" t="n">
        <v>5</v>
      </c>
      <c r="N60" s="18" t="inlineStr">
        <is>
          <t>단계형: 1단계=0점 / 2단계=25점 / 3단계=50점 / 4단계=75점 / 5단계=100점</t>
        </is>
      </c>
      <c r="O60" s="17" t="inlineStr">
        <is>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is>
      </c>
      <c r="P60" s="33" t="inlineStr">
        <is>
          <t>GAP(대응지표 없음)</t>
        </is>
      </c>
      <c r="Q60" s="17" t="inlineStr">
        <is>
          <t>KSSB 별도 규정 없음</t>
        </is>
      </c>
      <c r="R60" s="18" t="inlineStr">
        <is>
          <t>지배구조보고서 가이드라인</t>
        </is>
      </c>
      <c r="S60" s="17" t="inlineStr">
        <is>
          <t>1_2_0_업종별 K-ESG 가이드라인(v2.0) 진단항목</t>
        </is>
      </c>
      <c r="T60" s="22" t="n">
        <v>5</v>
      </c>
      <c r="U60" s="23" t="n"/>
      <c r="V60" s="23" t="n"/>
      <c r="W60" s="23" t="n"/>
      <c r="X60" s="24" t="n">
        <v>100</v>
      </c>
      <c r="Y60" s="1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is>
      </c>
      <c r="Z60" s="18" t="inlineStr">
        <is>
          <t>[자동채점] | 근거충분성: 충분 | 근거페이지: [43, 44, 328, 333] | 근거: [지배구조보고서] 44p. 박정호 (사내이사(Inside)) 100 100 100 100 97 95 100 95 / 곽노정 (사내이사(Inside)) 100 100 100 98 95 100(줄 위치 특정 실패) → 2023년 당해연도 사내이사(박정호, 곽노정)의 이사회 출석률이 각각 95% 이상으로 확인되어 5단계 요건을 충족함.</t>
        </is>
      </c>
      <c r="AA60" s="25" t="inlineStr">
        <is>
          <t>경영진 책임 강화를 위해 사내이사 이사회 평균 출석률이 높게 유지됩니까?</t>
        </is>
      </c>
      <c r="AB60" s="25" t="inlineStr">
        <is>
          <t>단계(1~5)</t>
        </is>
      </c>
    </row>
    <row r="61" ht="91.5" customHeight="1">
      <c r="A61" s="26" t="n">
        <v>60</v>
      </c>
      <c r="B61" s="27" t="inlineStr">
        <is>
          <t>G-2-3</t>
        </is>
      </c>
      <c r="C61" s="28" t="inlineStr">
        <is>
          <t>기본진단항목(v2.0)</t>
        </is>
      </c>
      <c r="D61" s="37" t="inlineStr">
        <is>
          <t>지배구조</t>
        </is>
      </c>
      <c r="E61" s="28" t="inlineStr">
        <is>
          <t>이사회 활동</t>
        </is>
      </c>
      <c r="F61" s="28" t="inlineStr">
        <is>
          <t>이사회 산하 위원회</t>
        </is>
      </c>
      <c r="G61" s="28" t="inlineStr">
        <is>
          <t> 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is>
      </c>
      <c r="H61" s="28" t="inlineStr">
        <is>
          <t>이사회 산하 위원회 운영규정, 구성현황, 활동내역</t>
        </is>
      </c>
      <c r="I61" s="28" t="inlineStr">
        <is>
          <t>직전 회계연도</t>
        </is>
      </c>
      <c r="J61" s="27" t="inlineStr">
        <is>
          <t>N/A</t>
        </is>
      </c>
      <c r="K61" s="27" t="inlineStr">
        <is>
          <t>N/A</t>
        </is>
      </c>
      <c r="L61" s="29" t="inlineStr">
        <is>
          <t>선택형</t>
        </is>
      </c>
      <c r="M61" s="26" t="n">
        <v>5</v>
      </c>
      <c r="N61" s="28" t="inlineStr">
        <is>
          <t>선택형: 요건1=0점 / 요건2=25점 / 요건3=50점 / 요건4=75점 / 요건5=100점</t>
        </is>
      </c>
      <c r="O61" s="28" t="inlineStr">
        <is>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is>
      </c>
      <c r="P61" s="21" t="inlineStr">
        <is>
          <t>부분대응</t>
        </is>
      </c>
      <c r="Q61" s="27" t="inlineStr">
        <is>
          <t>KSSB 제1호 문단 27(1)① 위임기구 지정 준용</t>
        </is>
      </c>
      <c r="R61" s="28" t="inlineStr">
        <is>
          <t>지배구조보고서 가이드라인</t>
        </is>
      </c>
      <c r="S61" s="27" t="inlineStr">
        <is>
          <t>1_2_0_업종별 K-ESG 가이드라인(v2.0) 진단항목</t>
        </is>
      </c>
      <c r="T61" s="22" t="n">
        <v>5</v>
      </c>
      <c r="U61" s="23" t="n"/>
      <c r="V61" s="23" t="n"/>
      <c r="W61" s="23" t="n"/>
      <c r="X61" s="30" t="n">
        <v>100</v>
      </c>
      <c r="Y61" s="28" t="inlineStr">
        <is>
          <t> 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is>
      </c>
      <c r="Z61" s="28" t="inlineStr">
        <is>
          <t>[자동채점] | 근거충분성: 충분 | 근거페이지: [3, 23, 44, 332] | 근거: [지배구조보고서] 44p. 위원회는 심의 결의한 내용의 결과를 이사회에서 보고하여야 합니다.(2번째 줄) → 모든 위원회가 정관에 근거하여 운영규정을 갖추고 있으며, 사외이사 과반수 구성 및 전원 사외이사 구성(감사위, 보상위) 요건을 충족하고, 각 위원회가 심의/의결 안건을 다루고 있으므로 5단계 요건을 모두 충족합니다.</t>
        </is>
      </c>
      <c r="AA61" s="25" t="inlineStr">
        <is>
          <t>감사위, 사추위, 보상위, ESG위 등 전문성 있는 산하 위원회를 설치했습니까?</t>
        </is>
      </c>
      <c r="AB61" s="25" t="inlineStr">
        <is>
          <t>단계(1~5)</t>
        </is>
      </c>
    </row>
    <row r="62" ht="91.5" customHeight="1">
      <c r="A62" s="16" t="n">
        <v>61</v>
      </c>
      <c r="B62" s="17" t="inlineStr">
        <is>
          <t>G-2-4</t>
        </is>
      </c>
      <c r="C62" s="18" t="inlineStr">
        <is>
          <t>기본진단항목(v2.0)</t>
        </is>
      </c>
      <c r="D62" s="37" t="inlineStr">
        <is>
          <t>지배구조</t>
        </is>
      </c>
      <c r="E62" s="18" t="inlineStr">
        <is>
          <t>이사회 활동</t>
        </is>
      </c>
      <c r="F62" s="18" t="inlineStr">
        <is>
          <t>이사회 안건 처리</t>
        </is>
      </c>
      <c r="G62" s="18" t="inlineStr">
        <is>
          <t> 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is>
      </c>
      <c r="H62" s="18" t="inlineStr">
        <is>
          <t>이사회 구성 현황, 이사회 회의록 등</t>
        </is>
      </c>
      <c r="I62" s="18" t="inlineStr">
        <is>
          <t>지난 1개 회계연도 기준</t>
        </is>
      </c>
      <c r="J62" s="17" t="inlineStr">
        <is>
          <t>N/A</t>
        </is>
      </c>
      <c r="K62" s="18" t="inlineStr">
        <is>
          <t>수정, 보완 및 반대 의견이 나타난 안건 수 / 전체 이사회 상정 안건 수</t>
        </is>
      </c>
      <c r="L62" s="20" t="inlineStr">
        <is>
          <t>단계형</t>
        </is>
      </c>
      <c r="M62" s="16" t="n">
        <v>3</v>
      </c>
      <c r="N62" s="18" t="inlineStr">
        <is>
          <t>단계형: 1단계=0점 / 2단계=50점 / 3단계=100점</t>
        </is>
      </c>
      <c r="O62" s="17" t="inlineStr">
        <is>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is>
      </c>
      <c r="P62" s="33" t="inlineStr">
        <is>
          <t>GAP(대응지표 없음)</t>
        </is>
      </c>
      <c r="Q62" s="17" t="inlineStr">
        <is>
          <t>KSSB 별도 규정 없음</t>
        </is>
      </c>
      <c r="R62" s="18" t="inlineStr">
        <is>
          <t>지배구조보고서 가이드라인</t>
        </is>
      </c>
      <c r="S62" s="17" t="inlineStr">
        <is>
          <t>1_2_0_업종별 K-ESG 가이드라인(v2.0) 진단항목</t>
        </is>
      </c>
      <c r="T62" s="22" t="n">
        <v>1</v>
      </c>
      <c r="U62" s="23" t="n"/>
      <c r="V62" s="23" t="n"/>
      <c r="W62" s="23" t="n"/>
      <c r="X62" s="24" t="n">
        <v>1</v>
      </c>
      <c r="Y62" s="18" t="inlineStr">
        <is>
          <t> 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is>
      </c>
      <c r="Z62" s="18" t="inlineStr">
        <is>
          <t>[자동채점] | 근거충분성: 충분 | 근거페이지: [29, 40, 43, 46, 328] | 근거: [지배구조보고서] 40p. 최근 3년(2021년~2023년)간 당사의 개별이사 이사회 출석률 및 안건 찬성률은 다음과 같습니다. (수정가결은 찬성 의견으로 포함하여 산정)(2번째 줄) → 최근 3년간 안건 찬성률이 100%로 나타나 수정, 보완, 반대 의견이 확인되지 않아 1단계에 해당합니다.</t>
        </is>
      </c>
      <c r="AA62" s="25" t="inlineStr">
        <is>
          <t>안건 사전 검토를 위해 개최 최소 3~7일 전 배포 기간을 엄수합니까?</t>
        </is>
      </c>
      <c r="AB62" s="25" t="inlineStr">
        <is>
          <t>단계(1~5)</t>
        </is>
      </c>
    </row>
    <row r="63" ht="91.5" customHeight="1">
      <c r="A63" s="26" t="n">
        <v>62</v>
      </c>
      <c r="B63" s="27" t="inlineStr">
        <is>
          <t>G-3-1</t>
        </is>
      </c>
      <c r="C63" s="28" t="inlineStr">
        <is>
          <t>기본진단항목(v2.0)</t>
        </is>
      </c>
      <c r="D63" s="37" t="inlineStr">
        <is>
          <t>지배구조</t>
        </is>
      </c>
      <c r="E63" s="28" t="inlineStr">
        <is>
          <t>주주권리</t>
        </is>
      </c>
      <c r="F63" s="28" t="inlineStr">
        <is>
          <t>주주총회 소집 공고</t>
        </is>
      </c>
      <c r="G63" s="28" t="inlineStr">
        <is>
          <t> 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is>
      </c>
      <c r="H63" s="28" t="inlineStr">
        <is>
          <t>주주총회 소집 통지서 外 다음의 방식에 따른 공고 1) 조직의 사업장 게시판, 2) 조직의 온라인 홈페이지, 3) 명의개서대행사, 4) 일간지(신문), 5) 전자공시시스템, 6) 기타</t>
        </is>
      </c>
      <c r="I63" s="28" t="inlineStr">
        <is>
          <t>직전 회계연도</t>
        </is>
      </c>
      <c r="J63" s="27" t="inlineStr">
        <is>
          <t>N/A</t>
        </is>
      </c>
      <c r="K63" s="27" t="inlineStr">
        <is>
          <t>N/A</t>
        </is>
      </c>
      <c r="L63" s="29" t="inlineStr">
        <is>
          <t>단계형</t>
        </is>
      </c>
      <c r="M63" s="26" t="n">
        <v>5</v>
      </c>
      <c r="N63" s="28" t="inlineStr">
        <is>
          <t>단계형: 1단계=0점 / 2단계=25점 / 3단계=50점 / 4단계=75점 / 5단계=100점</t>
        </is>
      </c>
      <c r="O63" s="27" t="inlineStr">
        <is>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is>
      </c>
      <c r="P63" s="33" t="inlineStr">
        <is>
          <t>GAP(대응지표 없음)</t>
        </is>
      </c>
      <c r="Q63" s="27" t="inlineStr">
        <is>
          <t>KSSB 주주총회 절차 별도 규정 없음</t>
        </is>
      </c>
      <c r="R63" s="28" t="inlineStr">
        <is>
          <t>지배구조보고서 가이드라인</t>
        </is>
      </c>
      <c r="S63" s="27" t="inlineStr">
        <is>
          <t>1_2_0_업종별 K-ESG 가이드라인(v2.0) 진단항목</t>
        </is>
      </c>
      <c r="T63" s="22" t="n">
        <v>3</v>
      </c>
      <c r="U63" s="23" t="n"/>
      <c r="V63" s="23" t="n"/>
      <c r="W63" s="23" t="n"/>
      <c r="X63" s="30" t="n">
        <v>50</v>
      </c>
      <c r="Y63" s="2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is>
      </c>
      <c r="Z63" s="28" t="inlineStr">
        <is>
          <t>[자동채점] | 근거충분성: 충분 | 근거페이지: [2, 4, 6] | 근거: [지배구조보고서] 4p. 우편소집통지서발송(1%이상 주주), 국/영문 홈페이지 주주총회 개 최 공시, 금감원 및 거래소 공시(9번째 줄) → 서면(우편) 통지 외에 홈페이지 공시 및 금감원/거래소 공시 등 2개의 추가 방식을 이용하고 있어 3단계 요건을 충족함.</t>
        </is>
      </c>
      <c r="AA63" s="25" t="inlineStr">
        <is>
          <t>주총 소집 공고를 법정기일보다 빠른 3주/4주 전에 이행합니까?</t>
        </is>
      </c>
      <c r="AB63" s="25" t="inlineStr">
        <is>
          <t>단계(1~5)</t>
        </is>
      </c>
    </row>
    <row r="64" ht="91.5" customHeight="1">
      <c r="A64" s="16" t="n">
        <v>63</v>
      </c>
      <c r="B64" s="17" t="inlineStr">
        <is>
          <t>G-3-2</t>
        </is>
      </c>
      <c r="C64" s="18" t="inlineStr">
        <is>
          <t>기본진단항목(v2.0)</t>
        </is>
      </c>
      <c r="D64" s="37" t="inlineStr">
        <is>
          <t>지배구조</t>
        </is>
      </c>
      <c r="E64" s="18" t="inlineStr">
        <is>
          <t>주주권리</t>
        </is>
      </c>
      <c r="F64" s="18" t="inlineStr">
        <is>
          <t>주주총회 집중일 이외 개최</t>
        </is>
      </c>
      <c r="G64" s="18" t="inlineStr">
        <is>
          <t> 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is>
      </c>
      <c r="H64" s="18" t="inlineStr">
        <is>
          <t>주주총회 개최일, 주주총회 개최 계획</t>
        </is>
      </c>
      <c r="I64" s="18" t="inlineStr">
        <is>
          <t>직전 회계연도</t>
        </is>
      </c>
      <c r="J64" s="17" t="inlineStr">
        <is>
          <t>N/A</t>
        </is>
      </c>
      <c r="K64" s="17" t="inlineStr">
        <is>
          <t>N/A</t>
        </is>
      </c>
      <c r="L64" s="20" t="inlineStr">
        <is>
          <t>선택형</t>
        </is>
      </c>
      <c r="M64" s="16" t="n">
        <v>5</v>
      </c>
      <c r="N64" s="18" t="inlineStr">
        <is>
          <t>선택형: 요건1=0점 / 요건2=25점 / 요건3=50점 / 요건4=75점 / 요건5=100점</t>
        </is>
      </c>
      <c r="O64" s="18" t="inlineStr">
        <is>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is>
      </c>
      <c r="P64" s="33" t="inlineStr">
        <is>
          <t>GAP(대응지표 없음)</t>
        </is>
      </c>
      <c r="Q64" s="17" t="inlineStr">
        <is>
          <t>KSSB 별도 규정 없음</t>
        </is>
      </c>
      <c r="R64" s="18" t="inlineStr">
        <is>
          <t>지배구조보고서 가이드라인</t>
        </is>
      </c>
      <c r="S64" s="17" t="inlineStr">
        <is>
          <t>1_2_0_업종별 K-ESG 가이드라인(v2.0) 진단항목</t>
        </is>
      </c>
      <c r="T64" s="22" t="n">
        <v>5</v>
      </c>
      <c r="U64" s="23" t="n"/>
      <c r="V64" s="23" t="n"/>
      <c r="W64" s="23" t="n"/>
      <c r="X64" s="24" t="n">
        <v>100</v>
      </c>
      <c r="Y64" s="1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is>
      </c>
      <c r="Z64" s="18" t="inlineStr">
        <is>
          <t>[자동채점] | 근거충분성: 충분 | 근거페이지: [2, 4, 5, 6] | 근거: [지배구조보고서] 6p. 당사는 주주총회 집중일을 피해 개최하고 전자투표 시행과 주주총회 온라인 중계를 병행함으로써 최대한 많은 주주들이 참석할 수 있도록 노력하고 있습니다.(7번째 줄) → 기업지배구조 보고서 내에서 주주총회 집중일을 회피하기 위해 노력하고 있음을 명시하고 있어 5단계 요건을 충족함.</t>
        </is>
      </c>
      <c r="AA64" s="25" t="inlineStr">
        <is>
          <t>지배구조 보고서 내 '주주총회 집중일 이외 개최' 지표를 준수하고 있습니까?</t>
        </is>
      </c>
      <c r="AB64" s="25" t="inlineStr">
        <is>
          <t>단계(1~5)</t>
        </is>
      </c>
    </row>
    <row r="65" ht="91.5" customHeight="1">
      <c r="A65" s="26" t="n">
        <v>64</v>
      </c>
      <c r="B65" s="27" t="inlineStr">
        <is>
          <t>G-3-3</t>
        </is>
      </c>
      <c r="C65" s="28" t="inlineStr">
        <is>
          <t>기본진단항목(v2.0)</t>
        </is>
      </c>
      <c r="D65" s="37" t="inlineStr">
        <is>
          <t>지배구조</t>
        </is>
      </c>
      <c r="E65" s="28" t="inlineStr">
        <is>
          <t>주주권리</t>
        </is>
      </c>
      <c r="F65" s="28" t="inlineStr">
        <is>
          <t>집중/전자/서면 투표제</t>
        </is>
      </c>
      <c r="G65" s="28" t="inlineStr">
        <is>
          <t> 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is>
      </c>
      <c r="H65" s="28" t="inlineStr">
        <is>
          <t>조직의 정관, 이사회 결의사항</t>
        </is>
      </c>
      <c r="I65" s="28" t="inlineStr">
        <is>
          <t>직전 회계연도</t>
        </is>
      </c>
      <c r="J65" s="27" t="inlineStr">
        <is>
          <t>N/A</t>
        </is>
      </c>
      <c r="K65" s="27" t="inlineStr">
        <is>
          <t>N/A</t>
        </is>
      </c>
      <c r="L65" s="29" t="inlineStr">
        <is>
          <t>복합가중형</t>
        </is>
      </c>
      <c r="M65" s="26" t="n"/>
      <c r="N65" s="28" t="inlineStr">
        <is>
          <t>복합가중형: 2~3개 세부요소를 균등가중평균(예: 1/2+1/2, 1/3×3) — 세부 배점은 점검기준 상세 참조, 자사취득점수는 수동 산정</t>
        </is>
      </c>
      <c r="O65" s="28" t="inlineStr">
        <is>
          <t>집중투표제 도입 서면투표제 도입 전자투표제 도입 |  (1/5) (2/5) (2/5) |  1단계 정관에서 집중투표제를 배제 정관에서 서면투표제를 배제 정관에서 전자투표제를 배제하고 |  하고 있다. 하고 있다. 있다. |  2단계 정관에서 집중투표제를 명시 정관에서 서면투표제를 명시 정관에서 전자투표제를 명시하거나, |  하고 있다. 하고 있다. 이사회 결의로 도입하고 있다.</t>
        </is>
      </c>
      <c r="P65" s="33" t="inlineStr">
        <is>
          <t>GAP(대응지표 없음)</t>
        </is>
      </c>
      <c r="Q65" s="27" t="inlineStr">
        <is>
          <t>KSSB 별도 규정 없음</t>
        </is>
      </c>
      <c r="R65" s="28" t="inlineStr">
        <is>
          <t>지배구조보고서 가이드라인</t>
        </is>
      </c>
      <c r="S65" s="27" t="inlineStr">
        <is>
          <t>1_2_0_업종별 K-ESG 가이드라인(v2.0) 진단항목</t>
        </is>
      </c>
      <c r="T65" s="34" t="inlineStr">
        <is>
          <t>해당없음(복합가중형)</t>
        </is>
      </c>
      <c r="U65" s="23" t="n"/>
      <c r="V65" s="23" t="n"/>
      <c r="W65" s="23" t="n"/>
      <c r="X65" s="35" t="n">
        <v>1.3</v>
      </c>
      <c r="Y65" s="28" t="inlineStr">
        <is>
          <t> 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is>
      </c>
      <c r="Z65" s="28" t="inlineStr">
        <is>
          <t>[자동채점] | 근거충분성: 충분 | 근거페이지: [5, 343] | 근거: [집중투표제 도입] [사업보고서] 343p. 당사는 2019년 1월 23일 이사회 의결을 통해 전자투표제를 채택하였으며, 2019년 개최한 제71기 정기주주총회부터 전자투표제를 도입하였습니다. 한편, 집중투표제 및 서면투표제는 채택하고 있지 않습니다.(8번째 줄) → 정관에서 집중투표제를 배제하고 있어 1단계에 해당합니다. / [서면투표제 도입] [사업보고서] 343p. 한편, 집중투표제 및 서면투표제는 채택하고 있지 않습니다.(10번째 줄) → 정관에서 서면투표제를 배제하고 있어 1단계에 해당합니다. / [전자투표제 도입] [사업보고서] 343p. 당사는 2019년 1월 23일 이사회 의결을 통해 전자투표제를 채택하였으며, 2019년 개최한 제71기 정기주주총회부터 전자투표제를 도입하였습니다.(8번째 줄) → 이사회 결의를 통해 전자투표제를 도입하여 운영하고 있으므로 2단계에 해당합니다. | [AI검토필요] 복합가중형 - 표본검증 권장</t>
        </is>
      </c>
      <c r="AA65" s="25" t="inlineStr">
        <is>
          <t>집중/전자/서면 투표제에 대한 현황을 관리·공시하고 있습니까?</t>
        </is>
      </c>
      <c r="AB65" s="25" t="inlineStr">
        <is>
          <t>단계(1~5)</t>
        </is>
      </c>
    </row>
    <row r="66" ht="91.5" customHeight="1">
      <c r="A66" s="16" t="n">
        <v>65</v>
      </c>
      <c r="B66" s="17" t="inlineStr">
        <is>
          <t>G-3-4</t>
        </is>
      </c>
      <c r="C66" s="18" t="inlineStr">
        <is>
          <t>기본진단항목(v2.0)</t>
        </is>
      </c>
      <c r="D66" s="37" t="inlineStr">
        <is>
          <t>지배구조</t>
        </is>
      </c>
      <c r="E66" s="18" t="inlineStr">
        <is>
          <t>주주권리</t>
        </is>
      </c>
      <c r="F66" s="18" t="inlineStr">
        <is>
          <t>배당정책 및 이행</t>
        </is>
      </c>
      <c r="G66" s="18" t="inlineStr">
        <is>
          <t> 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is>
      </c>
      <c r="H66" s="18" t="inlineStr">
        <is>
          <t>배정정책, 현금현물배당결정</t>
        </is>
      </c>
      <c r="I66" s="18" t="inlineStr">
        <is>
          <t>직전 회계연도</t>
        </is>
      </c>
      <c r="J66" s="17" t="inlineStr">
        <is>
          <t>N/A</t>
        </is>
      </c>
      <c r="K66" s="17" t="inlineStr">
        <is>
          <t>N/A</t>
        </is>
      </c>
      <c r="L66" s="20" t="inlineStr">
        <is>
          <t>단계형</t>
        </is>
      </c>
      <c r="M66" s="16" t="n">
        <v>3</v>
      </c>
      <c r="N66" s="18" t="inlineStr">
        <is>
          <t>단계형: 1단계=0점 / 2단계=50점 / 3단계=100점</t>
        </is>
      </c>
      <c r="O66" s="17" t="inlineStr">
        <is>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is>
      </c>
      <c r="P66" s="33" t="inlineStr">
        <is>
          <t>GAP(대응지표 없음)</t>
        </is>
      </c>
      <c r="Q66" s="17" t="inlineStr">
        <is>
          <t>KSSB 별도 규정 없음</t>
        </is>
      </c>
      <c r="R66" s="18" t="inlineStr">
        <is>
          <t>지배구조보고서 가이드라인, 한국거래소 지침</t>
        </is>
      </c>
      <c r="S66" s="17" t="inlineStr">
        <is>
          <t>1_2_0_업종별 K-ESG 가이드라인(v2.0) 진단항목</t>
        </is>
      </c>
      <c r="T66" s="22" t="n">
        <v>3</v>
      </c>
      <c r="U66" s="23" t="n"/>
      <c r="V66" s="23" t="n"/>
      <c r="W66" s="23" t="n"/>
      <c r="X66" s="24" t="n">
        <v>100</v>
      </c>
      <c r="Y66" s="18" t="inlineStr">
        <is>
          <t> 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 조직의 단순한 배당성향 및 배당수익률 증가는 주주가치 증진과 직접 연계되어 있지 않다. 해당 항목은 주주가치 증진을 위해 배당성향 및 배당수익률 증가를 요구하는 것이 아니라, 주주가…</t>
        </is>
      </c>
      <c r="Z66" s="18" t="inlineStr">
        <is>
          <t>[자동채점] | 근거충분성: 충분 | 근거페이지: [7, 8, 281] | 근거: [지배구조보고서] 7p. 당사는 2022년 1월 27일 이사회 결의를 거쳐 「2022년~2024년 주주환원정책」을 마련하고, 이에 의거하여 2022년 1분기부터 분기 배당을 지속하고 있습니다.(6번째 줄) → 중장기 배당정책을 수립하여 공시하고 있으며, 해당 정책에 따라 분기 배당을 지속적으로 집행하고 있으므로 3단계 요건을 충족합니다.</t>
        </is>
      </c>
      <c r="AA66" s="25" t="inlineStr">
        <is>
          <t>중장기 배당 정책 수립/공시 및 선 배당액 확정 밸류업 정책을 이행합니까?</t>
        </is>
      </c>
      <c r="AB66" s="25" t="inlineStr">
        <is>
          <t>단계(1~5)</t>
        </is>
      </c>
    </row>
    <row r="67" ht="91.5" customHeight="1">
      <c r="A67" s="26" t="n">
        <v>66</v>
      </c>
      <c r="B67" s="27" t="inlineStr">
        <is>
          <t>G-4-1</t>
        </is>
      </c>
      <c r="C67" s="28" t="inlineStr">
        <is>
          <t>기본진단항목(v2.0)</t>
        </is>
      </c>
      <c r="D67" s="37" t="inlineStr">
        <is>
          <t>지배구조</t>
        </is>
      </c>
      <c r="E67" s="28" t="inlineStr">
        <is>
          <t>윤리경영</t>
        </is>
      </c>
      <c r="F67" s="28" t="inlineStr">
        <is>
          <t>윤리규범 위반사항 공시</t>
        </is>
      </c>
      <c r="G67" s="28" t="inlineStr">
        <is>
          <t> 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is>
      </c>
      <c r="H67" s="28" t="inlineStr">
        <is>
          <t>윤리규범 위반 내역 및 조치경과</t>
        </is>
      </c>
      <c r="I67" s="28" t="inlineStr">
        <is>
          <t>직전 회계연도</t>
        </is>
      </c>
      <c r="J67" s="27" t="inlineStr">
        <is>
          <t>N/A</t>
        </is>
      </c>
      <c r="K67" s="27" t="inlineStr">
        <is>
          <t>N/A</t>
        </is>
      </c>
      <c r="L67" s="29" t="inlineStr">
        <is>
          <t>선택형</t>
        </is>
      </c>
      <c r="M67" s="26" t="n">
        <v>5</v>
      </c>
      <c r="N67" s="28" t="inlineStr">
        <is>
          <t>선택형: 요건1=0점 / 요건2=25점 / 요건3=50점 / 요건4=75점 / 요건5=100점</t>
        </is>
      </c>
      <c r="O67" s="28" t="inlineStr">
        <is>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is>
      </c>
      <c r="P67" s="21" t="inlineStr">
        <is>
          <t>부분대응</t>
        </is>
      </c>
      <c r="Q67" s="27" t="inlineStr">
        <is>
          <t>KSSB 제1호 위험관리 원칙 준용</t>
        </is>
      </c>
      <c r="R67" s="27" t="inlineStr">
        <is>
          <t>GRI 205, 2-26</t>
        </is>
      </c>
      <c r="S67" s="27" t="inlineStr">
        <is>
          <t>1_2_0_업종별 K-ESG 가이드라인(v2.0) 진단항목</t>
        </is>
      </c>
      <c r="T67" s="22" t="n">
        <v>5</v>
      </c>
      <c r="U67" s="23" t="n"/>
      <c r="V67" s="23" t="n"/>
      <c r="W67" s="23" t="n"/>
      <c r="X67" s="30" t="n">
        <v>100</v>
      </c>
      <c r="Y67" s="28" t="inlineStr">
        <is>
          <t> 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is>
      </c>
      <c r="Z67" s="28" t="inlineStr">
        <is>
          <t>[자동채점] | 근거충분성: 충분 | 근거페이지: [12, 33, 412, 413] | 근거: [사업보고서] 413p. 당사는 과태료 납부 및 특별안전교육 시행, 화학물질 경고표지 부착 등 법규위반 사항에 대해 기준에 충족되도록 개선조치를 시행하였습니다.(4번째 줄) → 윤리규범 위반(산업안전보건법 등)에 대한 처벌 내역을 공시하고 있으며, 재발방지를 위한 교육 및 개선조치 계획을 명시하여 5단계 요건을 모두 충족함.</t>
        </is>
      </c>
      <c r="AA67" s="25" t="inlineStr">
        <is>
          <t>최근 4개년 간 횡령, 배임, 뇌물 등 부패 위반 제재 내역이 있습니까?</t>
        </is>
      </c>
      <c r="AB67" s="25" t="inlineStr">
        <is>
          <t>단계(1~5)</t>
        </is>
      </c>
    </row>
    <row r="68" ht="91.5" customHeight="1">
      <c r="A68" s="16" t="n">
        <v>67</v>
      </c>
      <c r="B68" s="17" t="inlineStr">
        <is>
          <t>G-5-1</t>
        </is>
      </c>
      <c r="C68" s="18" t="inlineStr">
        <is>
          <t>기본진단항목(v2.0)</t>
        </is>
      </c>
      <c r="D68" s="37" t="inlineStr">
        <is>
          <t>지배구조</t>
        </is>
      </c>
      <c r="E68" s="18" t="inlineStr">
        <is>
          <t>감사기구</t>
        </is>
      </c>
      <c r="F68" s="18" t="inlineStr">
        <is>
          <t>내부감사부서 설치</t>
        </is>
      </c>
      <c r="G68" s="18" t="inlineStr">
        <is>
          <t> 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is>
      </c>
      <c r="H68" s="18" t="inlineStr">
        <is>
          <t>내부감사부서 등 조직도 및 업무분장</t>
        </is>
      </c>
      <c r="I68" s="18" t="inlineStr">
        <is>
          <t>직전 회계연도</t>
        </is>
      </c>
      <c r="J68" s="17" t="inlineStr">
        <is>
          <t>N/A</t>
        </is>
      </c>
      <c r="K68" s="17" t="inlineStr">
        <is>
          <t>N/A</t>
        </is>
      </c>
      <c r="L68" s="20" t="inlineStr">
        <is>
          <t>단계형</t>
        </is>
      </c>
      <c r="M68" s="16" t="n">
        <v>5</v>
      </c>
      <c r="N68" s="18" t="inlineStr">
        <is>
          <t>단계형: 1단계=0점 / 2단계=25점 / 3단계=50점 / 4단계=75점 / 5단계=100점</t>
        </is>
      </c>
      <c r="O68" s="17" t="inlineStr">
        <is>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is>
      </c>
      <c r="P68" s="21" t="inlineStr">
        <is>
          <t>부분대응</t>
        </is>
      </c>
      <c r="Q68" s="17" t="inlineStr">
        <is>
          <t>KSSB 제1호 문단 27(1) 내부통제 취지 준용</t>
        </is>
      </c>
      <c r="R68" s="18" t="inlineStr">
        <is>
          <t>외감법, KCGS</t>
        </is>
      </c>
      <c r="S68" s="17" t="inlineStr">
        <is>
          <t>1_2_0_업종별 K-ESG 가이드라인(v2.0) 진단항목</t>
        </is>
      </c>
      <c r="T68" s="22" t="n">
        <v>5</v>
      </c>
      <c r="U68" s="23" t="n"/>
      <c r="V68" s="23" t="n"/>
      <c r="W68" s="23" t="n"/>
      <c r="X68" s="24" t="n">
        <v>100</v>
      </c>
      <c r="Y68" s="18" t="inlineStr">
        <is>
          <t> 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 국내 ｢상법｣에서는 상장회사 등에 내부감사부서 설치를 강제하는 규정이 없으나, ｢금융회사의 지배구조에 관한 법률｣ 제20조 및 ｢공공기관 운영에 관한 법률｣ 제32조에는 ‘감사위원회 또는 감사’의…</t>
        </is>
      </c>
      <c r="Z68" s="18" t="inlineStr">
        <is>
          <t>[자동채점] | 근거충분성: 충분 | 근거페이지: [51, 339] | 근거: [지배구조보고서] 51p. 당사는 감사위원회 업무에 대해 독립적인 위치에서 감사위원회 지시를 받고 위원회 지원사항 전반을 수행하기 위하여 이사회사무국 내 별도의 감사위원회지원팀을 2020년 2월에 신설하였습니다.(8번째 줄) → 감사위원회 지원 역할만을 수행하는 별도의 전담부서인 '감사위원회지원팀'을 설치하여 운영하고 있으므로 5단계 요건을 충족합니다.</t>
        </is>
      </c>
      <c r="AA68" s="25" t="inlineStr">
        <is>
          <t>감사위 직속 독립 내부감사 부서 및 인사권이 보장되어 있습니까?</t>
        </is>
      </c>
      <c r="AB68" s="25" t="inlineStr">
        <is>
          <t>단계(1~5)</t>
        </is>
      </c>
    </row>
    <row r="69" ht="91.5" customHeight="1">
      <c r="A69" s="26" t="n">
        <v>68</v>
      </c>
      <c r="B69" s="27" t="inlineStr">
        <is>
          <t>G-5-2</t>
        </is>
      </c>
      <c r="C69" s="28" t="inlineStr">
        <is>
          <t>기본진단항목(v2.0)</t>
        </is>
      </c>
      <c r="D69" s="37" t="inlineStr">
        <is>
          <t>지배구조</t>
        </is>
      </c>
      <c r="E69" s="28" t="inlineStr">
        <is>
          <t>감사기구</t>
        </is>
      </c>
      <c r="F69" s="28" t="inlineStr">
        <is>
          <t>감사기구 전문성 (감사기구 내 회계/재무 전문가)</t>
        </is>
      </c>
      <c r="G69" s="28" t="inlineStr">
        <is>
          <t> 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is>
      </c>
      <c r="H69" s="28" t="inlineStr">
        <is>
          <t>감사위원회(또는 감사) 구성</t>
        </is>
      </c>
      <c r="I69" s="28" t="inlineStr">
        <is>
          <t>직전 회계연도</t>
        </is>
      </c>
      <c r="J69" s="27" t="inlineStr">
        <is>
          <t>N/A</t>
        </is>
      </c>
      <c r="K69" s="27" t="inlineStr">
        <is>
          <t>N/A</t>
        </is>
      </c>
      <c r="L69" s="29" t="inlineStr">
        <is>
          <t>단계형</t>
        </is>
      </c>
      <c r="M69" s="26" t="n">
        <v>3</v>
      </c>
      <c r="N69" s="28" t="inlineStr">
        <is>
          <t>단계형: 1단계=0점 / 2단계=50점 / 3단계=100점</t>
        </is>
      </c>
      <c r="O69" s="27" t="inlineStr">
        <is>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is>
      </c>
      <c r="P69" s="21" t="inlineStr">
        <is>
          <t>부분대응</t>
        </is>
      </c>
      <c r="Q69" s="27" t="inlineStr">
        <is>
          <t>KSSB 제1호 문단 27(1)ㄏ 전문성 취지 준용</t>
        </is>
      </c>
      <c r="R69" s="27" t="inlineStr">
        <is>
          <t>KCGS</t>
        </is>
      </c>
      <c r="S69" s="27" t="inlineStr">
        <is>
          <t>1_2_0_업종별 K-ESG 가이드라인(v2.0) 진단항목</t>
        </is>
      </c>
      <c r="T69" s="22" t="n">
        <v>3</v>
      </c>
      <c r="U69" s="23" t="n"/>
      <c r="V69" s="23" t="n"/>
      <c r="W69" s="23" t="n"/>
      <c r="X69" s="30" t="n">
        <v>100</v>
      </c>
      <c r="Y69" s="28" t="inlineStr">
        <is>
          <t> 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is>
      </c>
      <c r="Z69" s="28" t="inlineStr">
        <is>
          <t>[자동채점] | 근거충분성: 충분 | 근거페이지: [49, 50, 52, 338, 340] | 근거: [지배구조보고서] 49p. 당사 감사위원회는 재무, 회계, 금융 전문가 3명을 포함한 총 4명의 사외이사로만 구성되어 있으며(3번째 줄) → 감사위원 4명 중 3명이 회계 및 재무 전문가로 구성되어 전체의 50%를 초과하므로 3단계 요건을 충족함.</t>
        </is>
      </c>
      <c r="AA69" s="25" t="inlineStr">
        <is>
          <t>감사위원회 내 재무/회계 전문가(공인회계사 등)를 확보하고 있습니까?</t>
        </is>
      </c>
      <c r="AB69" s="25" t="inlineStr">
        <is>
          <t>단계(1~5)</t>
        </is>
      </c>
    </row>
    <row r="70" ht="91.5" customHeight="1">
      <c r="A70" s="16" t="n">
        <v>69</v>
      </c>
      <c r="B70" s="17" t="inlineStr">
        <is>
          <t>G-6-1</t>
        </is>
      </c>
      <c r="C70" s="18" t="inlineStr">
        <is>
          <t>기본진단항목(v2.0)</t>
        </is>
      </c>
      <c r="D70" s="37" t="inlineStr">
        <is>
          <t>지배구조</t>
        </is>
      </c>
      <c r="E70" s="18" t="inlineStr">
        <is>
          <t>지배구조 법/규제 위반</t>
        </is>
      </c>
      <c r="F70" s="18" t="inlineStr">
        <is>
          <t>지배구조 법/규제 위반</t>
        </is>
      </c>
      <c r="G70" s="18" t="inlineStr">
        <is>
          <t> 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is>
      </c>
      <c r="H70" s="18" t="inlineStr">
        <is>
          <t>‘전자공시시스템’ 上 사업보고서, ‘조직별 홈페이지’ 上 지속가능경영보고서</t>
        </is>
      </c>
      <c r="I70" s="18" t="inlineStr">
        <is>
          <t>최근 4개 회계연도</t>
        </is>
      </c>
      <c r="J70" s="17" t="inlineStr">
        <is>
          <t>N/A</t>
        </is>
      </c>
      <c r="K70" s="17" t="inlineStr">
        <is>
          <t>∑(지배구조 법/규제 위반 건 * 처벌수위별 감점 기준)</t>
        </is>
      </c>
      <c r="L70" s="20" t="inlineStr">
        <is>
          <t>감점형</t>
        </is>
      </c>
      <c r="M70" s="16" t="n">
        <v>3</v>
      </c>
      <c r="N70" s="18" t="inlineStr">
        <is>
          <t>감점형: 기준 100점에서 위반유형별(-50/-30/-10점) 차감(중복 적용 가능), 최저 0점</t>
        </is>
      </c>
      <c r="O70" s="18" t="inlineStr">
        <is>
          <t>유형 1 |  지난 4개년 간 지배구조 법/규제 위반내역 중 처분이 확정된 건수에 대해, 처벌수위가 사법상 형벌, 벌금, 과료인 경우, 또는 지배 |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  금전적 처분에 해당하는 과태료, 과징금, 이행강제금 등인 경우 |  유형 3 |  지난 4개년 간 지배구조 법/규제 위반내역 중 처분이 확정된 건수에 대해, 지배구조 법/규제 위반의 처벌수위가 행정상 처분 중 |  비금전적 처분에 해당하는 시정명령, 시정권고, 경고 등인 경우 |  * 감점 사항이 없을 경우, 본 항목의 점수는 100점으로 산정. 최저점은 0점으로 제한</t>
        </is>
      </c>
      <c r="P70" s="21" t="inlineStr">
        <is>
          <t>부분대응</t>
        </is>
      </c>
      <c r="Q70" s="17" t="inlineStr">
        <is>
          <t>KSSB 제1호 위험관리 원칙 준용</t>
        </is>
      </c>
      <c r="R70" s="17" t="inlineStr">
        <is>
          <t>GRI 2-27</t>
        </is>
      </c>
      <c r="S70" s="17" t="inlineStr">
        <is>
          <t>1_2_0_업종별 K-ESG 가이드라인(v2.0) 진단항목</t>
        </is>
      </c>
      <c r="T70" s="34" t="inlineStr">
        <is>
          <t>해당없음(감점형)</t>
        </is>
      </c>
      <c r="U70" s="22" t="n">
        <v>0</v>
      </c>
      <c r="V70" s="22" t="n">
        <v>0</v>
      </c>
      <c r="W70" s="22" t="n">
        <v>0</v>
      </c>
      <c r="X70" s="24" t="n">
        <v>100</v>
      </c>
      <c r="Y70" s="18" t="inlineStr">
        <is>
          <t> 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is>
      </c>
      <c r="Z70" s="18" t="inlineStr">
        <is>
          <t>[자동채점] | 근거충분성: 충분 | 근거페이지: [17, 18, 83, 412, 413] | 근거: 위반사항 없음</t>
        </is>
      </c>
      <c r="AA70" s="25" t="inlineStr">
        <is>
          <t>최근 3개년 간 지배구조 법/규제 위반 관련 사례가 있었습니까? (있다면 유형·건수 기재)</t>
        </is>
      </c>
      <c r="AB70" s="25" t="inlineStr">
        <is>
          <t>단계(1~5)</t>
        </is>
      </c>
    </row>
    <row r="71" ht="91.5" customHeight="1">
      <c r="A71" s="26" t="n">
        <v>70</v>
      </c>
      <c r="B71" s="27" t="inlineStr">
        <is>
          <t>E-기후변화 대응-추가1</t>
        </is>
      </c>
      <c r="C71" s="28" t="inlineStr">
        <is>
          <t>추가진단항목(v2.0)</t>
        </is>
      </c>
      <c r="D71" s="32" t="inlineStr">
        <is>
          <t>환경</t>
        </is>
      </c>
      <c r="E71" s="28" t="inlineStr">
        <is>
          <t>기후변화대응</t>
        </is>
      </c>
      <c r="F71" s="28" t="inlineStr">
        <is>
          <t>산림탄소흡수량</t>
        </is>
      </c>
      <c r="G71" s="28" t="inlineStr">
        <is>
          <t> 조직의 탄소배출을 상쇄하기 위한 목적으로 신규조림, 재조림, 산림경영, 식생복구, 목제품 이용, 산림 바이오매스 이용, 산림 전용 및 산림황폐화 방지 활동(REDD+ 등) 등 산림을 통해 탄소 흡수량을 획득하는 수준을 확인</t>
        </is>
      </c>
      <c r="H71" s="28" t="inlineStr">
        <is>
          <t>산림탄소흡수량 공시 여부, 연도별 산림탄소흡수량 산출 현황 (사업보고서, 홈페이지, 산림탄소흡수량 모니터링 및 검증 보고서)</t>
        </is>
      </c>
      <c r="I71" s="28" t="inlineStr">
        <is>
          <t>최근 4개년 (회계연도 기준)</t>
        </is>
      </c>
      <c r="J71" s="28" t="inlineStr">
        <is>
          <t>국내, 해외 지점 포함</t>
        </is>
      </c>
      <c r="K71" s="27" t="inlineStr">
        <is>
          <t>N/A</t>
        </is>
      </c>
      <c r="L71" s="29" t="inlineStr">
        <is>
          <t>단계형</t>
        </is>
      </c>
      <c r="M71" s="26" t="n">
        <v>5</v>
      </c>
      <c r="N71" s="28" t="inlineStr">
        <is>
          <t>단계형: 1단계=0점 / 2단계=25점 / 3단계=50점 / 4단계=75점 / 5단계=100점</t>
        </is>
      </c>
      <c r="O71" s="27" t="inlineStr">
        <is>
          <t>&lt;산림탄소흡수량 산출 기준&gt; |  (a) 산림바이오매스 탄소흡수량 tC |  (b) 고사유기물 및 산림토양의 탄소저장변화량 (선택) tC |  (c) 총 탄소흡수량 (c=a+b) tC |  (d) 베이스라인 흡수량 tC |  (e) 사업활동에 따른 배출량 tCO2 |  (f) 누출량 tCO2 |  (g) t 기간 년 |  (h) 이산화탄소 순흡수량 (h=g/100*(c-d)*44/12-e-f) tCO2 |  1단계 |  과거 4년간 산림탄소흡수량 정보 없음 |  2단계 |  과거 4년간 산림탄소흡수량 공시 |  3단계 |  과거 4년간 자사 배출량 대비 산림탄소흡수 상쇄량 하락 추세 |  4단계 |  과거 4년간 자사 배출량 대비 산림탄소흡수 상쇄량 상승 추세 |  5단계 |  과거 4년간 자사 배출량 대비 산림탄소흡수 상쇄량 매년 상승 추세 |  * 3개년 이하 데이터 보유 시 해당 데이터로 추세 산정</t>
        </is>
      </c>
      <c r="P71" s="33" t="inlineStr">
        <is>
          <t>GAP(대응지표 없음)</t>
        </is>
      </c>
      <c r="Q71" s="27" t="inlineStr">
        <is>
          <t>KSSB 산림탄소흡수 별도 규정 없음</t>
        </is>
      </c>
      <c r="R71" s="27" t="inlineStr">
        <is>
          <t>GRI 304, TNFD</t>
        </is>
      </c>
      <c r="S71" s="27" t="inlineStr">
        <is>
          <t>K-ESG 가이드라인 v2.0 (추가 진단항목, 3장)</t>
        </is>
      </c>
      <c r="T71" s="22" t="n">
        <v>1</v>
      </c>
      <c r="U71" s="23" t="n"/>
      <c r="V71" s="23" t="n"/>
      <c r="W71" s="23" t="n"/>
      <c r="X71" s="30" t="n">
        <v>1</v>
      </c>
      <c r="Y71" s="27" t="inlineStr">
        <is>
          <t>&lt;산림탄소흡수량 산출 기준&gt;
 (a) 산림바이오매스 탄소흡수량 tC
 (b) 고사유기물 및 산림토양의 탄소저장변화량 (선택) tC
 (c) 총 탄소흡수량 (c=a+b) tC
 (d) 베이스라인 흡수량 tC
 (e) 사업활동에 따른 배출량 tCO2
 (f) 누출량 tCO2
 (g) t 기간 년
 (h) 이산화탄소 순흡수량 (h=g/100*(c-d)*44/12-e-f) tCO2
 1단계
 과거 4년간 산림탄소흡수량 정보 없음
 2단계
 과거 4년간 산림탄소흡수량 공시
 3단계
 과거 4년간 자사 배출량 대비 산림탄소흡수 상쇄량 하락…</t>
        </is>
      </c>
      <c r="Z71" s="28" t="inlineStr">
        <is>
          <t>[자동채점] | 근거충분성: 충분 | 근거페이지: [37, 38, 44, 80] | 근거: [사업보고서] 44p. 당사 온실가스 배출량 및 에너지 사용량 정보는 다음과 같습니다.(19번째 줄) → 제공된 보고서 내에 산림탄소흡수량에 대한 정보가 전혀 공시되어 있지 않아 1단계에 해당합니다.</t>
        </is>
      </c>
      <c r="AA71" s="25" t="inlineStr">
        <is>
          <t>산림탄소흡수량에 대한 현황을 관리·공시하고 있습니까?</t>
        </is>
      </c>
      <c r="AB71" s="25" t="inlineStr">
        <is>
          <t>단계(1~5)</t>
        </is>
      </c>
    </row>
    <row r="72" ht="91.5" customHeight="1">
      <c r="A72" s="16" t="n">
        <v>71</v>
      </c>
      <c r="B72" s="17" t="inlineStr">
        <is>
          <t>E-기후변화 대응-추가2</t>
        </is>
      </c>
      <c r="C72" s="18" t="inlineStr">
        <is>
          <t>추가진단항목(v2.0)</t>
        </is>
      </c>
      <c r="D72" s="32" t="inlineStr">
        <is>
          <t>환경</t>
        </is>
      </c>
      <c r="E72" s="18" t="inlineStr">
        <is>
          <t>기후변화대응</t>
        </is>
      </c>
      <c r="F72" s="18" t="inlineStr">
        <is>
          <t>친환경 차량 보유 비율</t>
        </is>
      </c>
      <c r="G72" s="18" t="inlineStr">
        <is>
          <t> 조직이 국가온실가스감축목표(NDC) 등 온실가스 배출량 감축 목표에 따라, 운송 부문에서 실질적인 감축 활동을 추진하고 있는지 확인  온실가스배출량감축을위해, 조직소유의기존내연기관운송차량을온실가스배출량이낮은친환경운송차량으로전환하는지의 노력을 측정</t>
        </is>
      </c>
      <c r="H72" s="18" t="inlineStr">
        <is>
          <t>‘조직별 홈페이지’ 上 지속가능경영보고서 내 ‘친환경 차량 보유 비율’</t>
        </is>
      </c>
      <c r="I72" s="18" t="inlineStr">
        <is>
          <t>최근 회계연도</t>
        </is>
      </c>
      <c r="J72" s="17" t="inlineStr">
        <is>
          <t>N/A</t>
        </is>
      </c>
      <c r="K72" s="18" t="inlineStr">
        <is>
          <t>친환경 차량 보유 비율 = 직전 회계년도 기준 조직 내 보유한 친환경 차량 수 / 직전 회계연도 기준 조직 내 보유한 전체 차량 수</t>
        </is>
      </c>
      <c r="L72" s="20" t="inlineStr">
        <is>
          <t>단계형</t>
        </is>
      </c>
      <c r="M72" s="16" t="n">
        <v>5</v>
      </c>
      <c r="N72" s="18" t="inlineStr">
        <is>
          <t>단계형: 1단계=0점 / 2단계=25점 / 3단계=50점 / 4단계=75점 / 5단계=100점</t>
        </is>
      </c>
      <c r="O72" s="17" t="inlineStr">
        <is>
          <t>1단계 |  조직 내 친환경 차량의 보유 비율 0% ~ 20% |  2단계 |  조직 내 친환경 차량의 보유 비율 21% ~ 40% 이내 |  3단계 |  조직 내 친환경 차량의 보유 비율 41% ~ 60% 이내 |  4단계 |  조직 내 친환경 차량의 보유 비율 61% ~ 80% 이내 |  5단계 |  조직 내 친환경 차량의 보유 비율 81% ~ 100% 이내</t>
        </is>
      </c>
      <c r="P72" s="21" t="inlineStr">
        <is>
          <t>부분대응</t>
        </is>
      </c>
      <c r="Q72" s="17" t="inlineStr">
        <is>
          <t>KSSB 제2호 문단 29(5) 자본배치 취지 준용</t>
        </is>
      </c>
      <c r="R72" s="17" t="inlineStr">
        <is>
          <t>GRI 305-5</t>
        </is>
      </c>
      <c r="S72" s="17" t="inlineStr">
        <is>
          <t>K-ESG 가이드라인 v2.0 (추가 진단항목, 3장)</t>
        </is>
      </c>
      <c r="T72" s="22" t="n">
        <v>1</v>
      </c>
      <c r="U72" s="23" t="n"/>
      <c r="V72" s="23" t="n"/>
      <c r="W72" s="23" t="n"/>
      <c r="X72" s="24" t="n">
        <v>1</v>
      </c>
      <c r="Y72" s="17" t="inlineStr">
        <is>
          <t>1단계
 조직 내 친환경 차량의 보유 비율 0% ~ 20%
 2단계
 조직 내 친환경 차량의 보유 비율 21% ~ 40% 이내
 3단계
 조직 내 친환경 차량의 보유 비율 41% ~ 60% 이내
 4단계
 조직 내 친환경 차량의 보유 비율 61% ~ 80% 이내
 5단계
 조직 내 친환경 차량의 보유 비율 81% ~ 100% 이내</t>
        </is>
      </c>
      <c r="Z72" s="18" t="inlineStr">
        <is>
          <t>[자동채점] | 근거충분성: 불충분 | 근거페이지: [80, 83, 91, 92, 358] | 근거: [지속가능경영보고서] 91p. 근거부족(줄 위치 특정 실패) → 제공된 보고서 내에 친환경 차량 보유 비율에 대한 정량적 데이터가 명시되어 있지 않아 1단계로 판단함.</t>
        </is>
      </c>
      <c r="AA72" s="25" t="inlineStr">
        <is>
          <t>친환경 차량 보유 비율을 정량적으로 산정하여 관리·공시하고 있습니까?</t>
        </is>
      </c>
      <c r="AB72" s="25" t="inlineStr">
        <is>
          <t>단계(1~5)</t>
        </is>
      </c>
    </row>
    <row r="73" ht="91.5" customHeight="1">
      <c r="A73" s="26" t="n">
        <v>72</v>
      </c>
      <c r="B73" s="27" t="inlineStr">
        <is>
          <t>S-동반성장-추가1</t>
        </is>
      </c>
      <c r="C73" s="28" t="inlineStr">
        <is>
          <t>추가진단항목(v2.0)</t>
        </is>
      </c>
      <c r="D73" s="36" t="inlineStr">
        <is>
          <t>사회</t>
        </is>
      </c>
      <c r="E73" s="28" t="inlineStr">
        <is>
          <t>동반성장</t>
        </is>
      </c>
      <c r="F73" s="28" t="inlineStr">
        <is>
          <t>공급망 안정</t>
        </is>
      </c>
      <c r="G73" s="28"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73" s="28" t="inlineStr">
        <is>
          <t>공급망 관리 전략, 원부자재 수급 체계, 협력사 ESG 리스크 평가 결과</t>
        </is>
      </c>
      <c r="I73" s="28" t="inlineStr">
        <is>
          <t>직전 회계연도</t>
        </is>
      </c>
      <c r="J73" s="28" t="inlineStr">
        <is>
          <t>국내 및 해외 사업장</t>
        </is>
      </c>
      <c r="K73" s="27" t="inlineStr">
        <is>
          <t>N/A</t>
        </is>
      </c>
      <c r="L73" s="29" t="inlineStr">
        <is>
          <t>선택형</t>
        </is>
      </c>
      <c r="M73" s="26" t="n">
        <v>5</v>
      </c>
      <c r="N73" s="28" t="inlineStr">
        <is>
          <t>선택형: 요건1=0점 / 요건2=25점 / 요건3=50점 / 요건4=75점 / 요건5=100점</t>
        </is>
      </c>
      <c r="O73" s="28"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73" s="21" t="inlineStr">
        <is>
          <t>부분대응</t>
        </is>
      </c>
      <c r="Q73" s="27" t="inlineStr">
        <is>
          <t>KSSB 제2호 물리·전환위험 관점의 공급망 리스크 취지 준용</t>
        </is>
      </c>
      <c r="R73" s="27" t="inlineStr">
        <is>
          <t>GRI 414</t>
        </is>
      </c>
      <c r="S73" s="27" t="inlineStr">
        <is>
          <t>K-ESG 가이드라인 v2.0 (추가 진단항목, 3장)</t>
        </is>
      </c>
      <c r="T73" s="22" t="n">
        <v>2</v>
      </c>
      <c r="U73" s="23" t="n"/>
      <c r="V73" s="23" t="n"/>
      <c r="W73" s="23" t="n"/>
      <c r="X73" s="30" t="n">
        <v>25</v>
      </c>
      <c r="Y73" s="28"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73" s="28" t="inlineStr">
        <is>
          <t>[자동채점] | 근거충분성: 부분적 | 근거페이지: [58, 59, 92] | 근거: [지속가능경영보고서] 92p. 책임 있는 광물 구매를 위해 OECD 실사 지침에 따른 당사 정책하에 공급망 전체를 투명하게 추적 및 관리 하고 있습니다.(3번째 줄) → 1차 협력사뿐만 아니라 광물 공급망 전체(원산지 포함)를 추적 및 관리하고 있어 2단계 요건을 충족하나, 공급선 다변화나 물류 다변화 등에 대한 구체적인 근거는 확인되지 않아 2단계에 해당함.</t>
        </is>
      </c>
      <c r="AA73" s="25" t="inlineStr">
        <is>
          <t>공급망 안정에 대한 현황을 관리·공시하고 있습니까?</t>
        </is>
      </c>
      <c r="AB73" s="25" t="inlineStr">
        <is>
          <t>선택형(요건 충족 수)</t>
        </is>
      </c>
    </row>
    <row r="74" ht="91.5" customHeight="1">
      <c r="A74" s="16" t="n">
        <v>73</v>
      </c>
      <c r="B74" s="17" t="inlineStr">
        <is>
          <t>S-동반성장-추가2</t>
        </is>
      </c>
      <c r="C74" s="18" t="inlineStr">
        <is>
          <t>추가진단항목(v2.0)</t>
        </is>
      </c>
      <c r="D74" s="36" t="inlineStr">
        <is>
          <t>사회</t>
        </is>
      </c>
      <c r="E74" s="18" t="inlineStr">
        <is>
          <t>동반성장</t>
        </is>
      </c>
      <c r="F74" s="18" t="inlineStr">
        <is>
          <t>협력사 동반성장 기여</t>
        </is>
      </c>
      <c r="G74" s="18"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74" s="18" t="inlineStr">
        <is>
          <t>‘조직별 홈페이지’ 上 동반성장 프로그램 실적</t>
        </is>
      </c>
      <c r="I74" s="18" t="inlineStr">
        <is>
          <t>최근 회계연도</t>
        </is>
      </c>
      <c r="J74" s="17" t="inlineStr">
        <is>
          <t>N/A</t>
        </is>
      </c>
      <c r="K74" s="18" t="inlineStr">
        <is>
          <t>동반성장 지원기금 비율 = 최근 회계연도 말 동반성장 총 지원금액 / 최근 회계연도 말 총 매출액</t>
        </is>
      </c>
      <c r="L74" s="20" t="inlineStr">
        <is>
          <t>복합가중형</t>
        </is>
      </c>
      <c r="M74" s="16" t="n"/>
      <c r="N74" s="18" t="inlineStr">
        <is>
          <t>복합가중형: 2~3개 세부요소를 균등가중평균(예: 1/2+1/2, 1/3×3) — 세부 배점은 점검기준 상세 참조, 자사취득점수는 수동 산정</t>
        </is>
      </c>
      <c r="O74" s="18"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t>
        </is>
      </c>
      <c r="P74" s="33" t="inlineStr">
        <is>
          <t>GAP(대응지표 없음)</t>
        </is>
      </c>
      <c r="Q74" s="17" t="inlineStr">
        <is>
          <t>KSSB 규정 없음</t>
        </is>
      </c>
      <c r="R74" s="17" t="inlineStr">
        <is>
          <t>GRI 204</t>
        </is>
      </c>
      <c r="S74" s="17" t="inlineStr">
        <is>
          <t>K-ESG 가이드라인 v2.0 (추가 진단항목, 3장)</t>
        </is>
      </c>
      <c r="T74" s="34" t="inlineStr">
        <is>
          <t>해당없음(복합가중형)</t>
        </is>
      </c>
      <c r="U74" s="23" t="n"/>
      <c r="V74" s="23" t="n"/>
      <c r="W74" s="23" t="n"/>
      <c r="X74" s="35" t="n">
        <v>1</v>
      </c>
      <c r="Y74" s="18"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74" s="18" t="inlineStr">
        <is>
          <t>[자동채점] | 근거충분성: 부분적 | 근거페이지: [57, 63, 64, 65] | 근거: [영역1 (재무적)] [지속가능경영보고서] 64p. 기술협력 투자 금액(2020년부터 누적) (단위: 억 원) ... 9266억 원(12번째 줄) → 제시된 근거에는 누적 투자 금액만 명시되어 있을 뿐, 지난 4개년(2020~2023)의 연도별 재무적 지원자금 추세를 확인할 수 있는 데이터가 부족하여 0점으로 처리하였습니다. / [영역2 (비재무적)] [지속가능경영보고서] 64p. SK하이닉스는 협력사와의 상생을 위해 2018년부터 ‘SHE 컨설팅 프로그램’을 운영하고 있습니다. SHE 컨설팅은 협력사별 맞춤 컨설팅 지원 범위에 추가해 총 200여 개 협력사를 대상으로 중대 재해처벌법상 의무 이행을 위한 관리 체계 구축 여부를 주요 항목으로 ...(줄 위치 특정 실패) → 비재무적 지원 수혜기업의 연도별 변화 추이를 파악할 수 있는 시계열 데이터가 제시되지 않아 추세 산정이 불가능하므로 0점으로 처리하였습니다. | [AI검토필요] 복합가중형 - 표본검증 권장</t>
        </is>
      </c>
      <c r="AA74" s="25" t="inlineStr">
        <is>
          <t>협력사 동반성장 기여를 계획적으로 수행하고 성과를 관리하고 있습니까?</t>
        </is>
      </c>
      <c r="AB74" s="25" t="inlineStr">
        <is>
          <t>복합입력(세부요소 수동 0~100)</t>
        </is>
      </c>
    </row>
    <row r="75" ht="91.5" customHeight="1">
      <c r="A75" s="26" t="n">
        <v>74</v>
      </c>
      <c r="B75" s="27" t="inlineStr">
        <is>
          <t>S-소비자-추가1</t>
        </is>
      </c>
      <c r="C75" s="28" t="inlineStr">
        <is>
          <t>추가진단항목(v2.0)</t>
        </is>
      </c>
      <c r="D75" s="36" t="inlineStr">
        <is>
          <t>사회</t>
        </is>
      </c>
      <c r="E75" s="28" t="inlineStr">
        <is>
          <t>소비자</t>
        </is>
      </c>
      <c r="F75" s="28" t="inlineStr">
        <is>
          <t>소비자 정보 제공</t>
        </is>
      </c>
      <c r="G75" s="28" t="inlineStr">
        <is>
          <t> 조직이 소비자의 알 권리를 충족하기 위해 얼마나 다양한 정보를 적절하게 제공하고 있는지 확인</t>
        </is>
      </c>
      <c r="H75" s="28" t="inlineStr">
        <is>
          <t>소비자 정보 제공 현황 (사업보고서, 홈페이지, 소비자중심경영 공적기술서 등)</t>
        </is>
      </c>
      <c r="I75" s="28" t="inlineStr">
        <is>
          <t>최근 회계연도</t>
        </is>
      </c>
      <c r="J75" s="27" t="inlineStr">
        <is>
          <t>N/A</t>
        </is>
      </c>
      <c r="K75" s="27" t="inlineStr">
        <is>
          <t>N/A</t>
        </is>
      </c>
      <c r="L75" s="29" t="inlineStr">
        <is>
          <t>복합가중형</t>
        </is>
      </c>
      <c r="M75" s="26" t="n"/>
      <c r="N75" s="28" t="inlineStr">
        <is>
          <t>복합가중형: 2~3개 세부요소를 균등가중평균(예: 1/2+1/2, 1/3×3) — 세부 배점은 점검기준 상세 참조, 자사취득점수는 수동 산정</t>
        </is>
      </c>
      <c r="O75" s="28"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75" s="33" t="inlineStr">
        <is>
          <t>GAP(대응지표 없음)</t>
        </is>
      </c>
      <c r="Q75" s="27" t="inlineStr">
        <is>
          <t>KSSB 규정 없음</t>
        </is>
      </c>
      <c r="R75" s="27" t="inlineStr">
        <is>
          <t>GRI 417</t>
        </is>
      </c>
      <c r="S75" s="27" t="inlineStr">
        <is>
          <t>K-ESG 가이드라인 v2.0 (추가 진단항목, 3장)</t>
        </is>
      </c>
      <c r="T75" s="34" t="inlineStr">
        <is>
          <t>해당없음(복합가중형)</t>
        </is>
      </c>
      <c r="U75" s="23" t="n"/>
      <c r="V75" s="23" t="n"/>
      <c r="W75" s="23" t="n"/>
      <c r="X75" s="35" t="n">
        <v>6.2</v>
      </c>
      <c r="Y75" s="28"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75" s="28" t="inlineStr">
        <is>
          <t>[자동채점] | 근거충분성: 부분적 | 근거페이지: [4, 13, 14, 22, 29] | 근거: [1) 다양한 소비자정보 제공 채널 운영] [지배구조보고서] 14p. 당사는 홈페이지(www.skhynix.com), 금융감독원 전자공시시스템(dart.fss.or.kr), 한국거래소 기업공시채널(kind.krx.co.kr) 등 공시 조회 시스템을 통해 기업 정보를 제공하고 있으며(18번째 줄) → 홈페이지 및 공시 시스템 등 다양한 채널을 통해 정보를 제공하고 있음이 확인됩니다. / [2) 상품정보, 구매정보, 결제 및 배송 정보, 상담/문의 정보 등 충실한 소비자정보 제공] [지배구조보고서] 14p. 근거부족(22번째 줄) → 주주 및 기업 정보 제공에 관한 내용은 확인되나, 일반 소비자를 위한 상품, 구매, 결제, 배송 등 소비자 정보 제공에 대한 구체적인 근거가 부족합니다. / [3) 검색 등 소비자정보에 대한 접근성] [지배구조보고서] 14p. 기존 전화 방식을 통한 참여 외에도 홈페이지를 통한 실시간 Webcasting 서비스를 2019년부터 제공하여 주주들의 정보 접근성 및 편의성을 한층 강화하였습니다.(5번째 줄) → 홈페이지 및 실시간 웹캐스팅 등을 통해 정보 접근성을 강화하고 있습니다. / [4) VOC 등 소비자 의견 개진 방법 보장] [지배구조보고서] 14p. 근거부족(22번째 줄) → 주주를 위한 IR 문의 채널은 언급되어 있으나, 일반 소비자를 위한 VOC(고객의 소리) 개진 방법 보장에 대한 근거는 없습니다. / [5) VOC 등 소비자 의견 제기의 처리 절차 명시] [지배구조보고서] 14p. 근거부족(22번째 줄) → 소비자 의견 제기 및 처리 절차에 관한 명시적인 근거가 확인되지 않습니다. / [6) 소비자정보 제공 전 법규 준수 여부 확인 절차 유무] [지배구조보고서] 14p. 공시에 대한 관리를 위해 사내 전결 규정 및 공시정보관리 규정을 두고 있으며, 사내 포탈을 사용하여 시스템으로도 관리하고 있습니다.(5번째 줄) → 공시 정</t>
        </is>
      </c>
      <c r="AA75" s="25" t="inlineStr">
        <is>
          <t>소비자 정보 제공에 대한 현황을 관리·공시하고 있습니까?</t>
        </is>
      </c>
      <c r="AB75" s="25" t="inlineStr">
        <is>
          <t>복합입력(세부요소 수동 0~100)</t>
        </is>
      </c>
    </row>
    <row r="76" ht="91.5" customHeight="1">
      <c r="A76" s="16" t="n">
        <v>75</v>
      </c>
      <c r="B76" s="17" t="inlineStr">
        <is>
          <t>S-소비자-추가2</t>
        </is>
      </c>
      <c r="C76" s="18" t="inlineStr">
        <is>
          <t>추가진단항목(v2.0)</t>
        </is>
      </c>
      <c r="D76" s="36" t="inlineStr">
        <is>
          <t>사회</t>
        </is>
      </c>
      <c r="E76" s="18" t="inlineStr">
        <is>
          <t>소비자</t>
        </is>
      </c>
      <c r="F76" s="18" t="inlineStr">
        <is>
          <t>소비자 안전</t>
        </is>
      </c>
      <c r="G76" s="18" t="inlineStr">
        <is>
          <t> 조직이 생산/판매하는 상품/서비스로 인해 소비자의 생명, 신체 또는 재산에 위해가 발생하지 않도록 어떤 체계와 노력을 수행하고 있는지 확인</t>
        </is>
      </c>
      <c r="H76" s="18" t="inlineStr">
        <is>
          <t>소비자 안전 관련 규정, 활동, 실적 (사업보고서, 홈페이지, 소비자중심경영 공적기술서 등)</t>
        </is>
      </c>
      <c r="I76" s="18" t="inlineStr">
        <is>
          <t>최근 회계연도</t>
        </is>
      </c>
      <c r="J76" s="17" t="inlineStr">
        <is>
          <t>N/A</t>
        </is>
      </c>
      <c r="K76" s="17" t="inlineStr">
        <is>
          <t>N/A</t>
        </is>
      </c>
      <c r="L76" s="20" t="inlineStr">
        <is>
          <t>단계형</t>
        </is>
      </c>
      <c r="M76" s="16" t="n">
        <v>5</v>
      </c>
      <c r="N76" s="18" t="inlineStr">
        <is>
          <t>단계형: 1단계=0점 / 2단계=25점 / 3단계=50점 / 4단계=75점 / 5단계=100점</t>
        </is>
      </c>
      <c r="O76" s="17"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76" s="33" t="inlineStr">
        <is>
          <t>GAP(대응지표 없음)</t>
        </is>
      </c>
      <c r="Q76" s="17" t="inlineStr">
        <is>
          <t>KSSB 규정 없음</t>
        </is>
      </c>
      <c r="R76" s="17" t="inlineStr">
        <is>
          <t>GRI 416</t>
        </is>
      </c>
      <c r="S76" s="17" t="inlineStr">
        <is>
          <t>K-ESG 가이드라인 v2.0 (추가 진단항목, 3장)</t>
        </is>
      </c>
      <c r="T76" s="22" t="n">
        <v>1</v>
      </c>
      <c r="U76" s="23" t="n"/>
      <c r="V76" s="23" t="n"/>
      <c r="W76" s="23" t="n"/>
      <c r="X76" s="24" t="n">
        <v>1</v>
      </c>
      <c r="Y76" s="17"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76" s="18" t="inlineStr">
        <is>
          <t>[자동채점] | 근거충분성: 불충분 | 근거페이지: [30, 32, 34, 59, 92] | 근거: [지속가능경영보고서] 92p. SK하이닉스는 ‘Safety First’의 기조 아래 무엇보다도 안전을 최우선시하며 모두가 행복하게 일할 수 있는 일터를 만들기 위해 노력하고 있습니다.(3번째 줄) → 제시된 근거들은 모두 구성원 및 협력사 대상의 '산업 안전보건'에 관한 내용이며, 기업이 생산/판매하는 상품/서비스의 '소비자 안전'과 관련된 규정이나 활동은 확인되지 않아 1단계로 판단함.</t>
        </is>
      </c>
      <c r="AA76" s="25" t="inlineStr">
        <is>
          <t>소비자 안전에 대한 현황을 관리·공시하고 있습니까?</t>
        </is>
      </c>
      <c r="AB76" s="25" t="inlineStr">
        <is>
          <t>단계(1~5)</t>
        </is>
      </c>
    </row>
    <row r="77" ht="91.5" customHeight="1">
      <c r="A77" s="26" t="n">
        <v>76</v>
      </c>
      <c r="B77" s="27" t="inlineStr">
        <is>
          <t>S-소비자-추가3</t>
        </is>
      </c>
      <c r="C77" s="28" t="inlineStr">
        <is>
          <t>추가진단항목(v2.0)</t>
        </is>
      </c>
      <c r="D77" s="36" t="inlineStr">
        <is>
          <t>사회</t>
        </is>
      </c>
      <c r="E77" s="28" t="inlineStr">
        <is>
          <t>소비자</t>
        </is>
      </c>
      <c r="F77" s="28" t="inlineStr">
        <is>
          <t>고객만족 대응 체계 운영</t>
        </is>
      </c>
      <c r="G77" s="28"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77" s="28" t="inlineStr">
        <is>
          <t>소비자 불만 처리 관련 규정, 조직의 유무, 자료 및 지표 관리 현황 (사업보고서, 내부 규정, 소비자중심경영 공적 기술서 등)</t>
        </is>
      </c>
      <c r="I77" s="28" t="inlineStr">
        <is>
          <t>최근 회계연도</t>
        </is>
      </c>
      <c r="J77" s="27" t="inlineStr">
        <is>
          <t>N/A</t>
        </is>
      </c>
      <c r="K77" s="27" t="inlineStr">
        <is>
          <t>N/A</t>
        </is>
      </c>
      <c r="L77" s="29" t="inlineStr">
        <is>
          <t>복합가중형</t>
        </is>
      </c>
      <c r="M77" s="26" t="n"/>
      <c r="N77" s="28" t="inlineStr">
        <is>
          <t>복합가중형: 2~3개 세부요소를 균등가중평균(예: 1/2+1/2, 1/3×3) — 세부 배점은 점검기준 상세 참조, 자사취득점수는 수동 산정</t>
        </is>
      </c>
      <c r="O77" s="28"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77" s="33" t="inlineStr">
        <is>
          <t>GAP(대응지표 없음)</t>
        </is>
      </c>
      <c r="Q77" s="27" t="inlineStr">
        <is>
          <t>KSSB 규정 없음</t>
        </is>
      </c>
      <c r="R77" s="27" t="inlineStr">
        <is>
          <t>GRI 416, K-ESG</t>
        </is>
      </c>
      <c r="S77" s="27" t="inlineStr">
        <is>
          <t>K-ESG 가이드라인 v2.0 (추가 진단항목, 3장)</t>
        </is>
      </c>
      <c r="T77" s="34" t="inlineStr">
        <is>
          <t>해당없음(복합가중형)</t>
        </is>
      </c>
      <c r="U77" s="23" t="n"/>
      <c r="V77" s="23" t="n"/>
      <c r="W77" s="23" t="n"/>
      <c r="X77" s="35" t="n">
        <v>15</v>
      </c>
      <c r="Y77" s="28"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77" s="28" t="inlineStr">
        <is>
          <t>[자동채점] | 근거충분성: 부분적 | 근거페이지: [15, 19, 21, 54] | 근거: [소비자불만 처리 관련 규정] [지배구조보고서] 21p. SK하이닉스는 품질 경쟁력 확보 및 고객 가치 제고를 위해 품질경영시스템(IATF 16949:2016)을 도입해 보다 고도화된 프로세스를 구축했습니다. 이번에 발간한 Quality Manual에는 제조 품질 방침 등이 포함되어 있습니다.(8번째 줄) → 품질경영시스템(IATF 16949) 및 Quality Manual을 통해 품질 및 고객 요구사항 대응을 위한 규정 체계를 갖추고 있습니다. / [소비자불만 처리 담당 조직] [지속가능경영보고서] 19p. 홈페이지 내 고객 질문요청 접수처 CSC(Customer Service Center) 운영(3번째 줄) → 고객 질문 및 요청을 접수하고 처리하는 전담 채널인 CSC(Customer Service Center)를 운영하고 있습니다. / [소비자불만 처리내용의 관리] [지속가능경영보고서] 19p. 홈페이지 내 고객 질문요청 접수처 CSC(Customer Service Center) 운영(3번째 줄) → 고객 접수처를 운영하고 있으나, 해당 내용을 DB화하여 제품 개선이나 신제품 개발에 활용한다는 구체적인 근거가 부족하여 3단계로 평가합니다. / [소비자불만 관련 지표 관리] [지속가능경영보고서] 54p. 근거 없음(줄 위치 특정 실패) → 소비자 불만 관련 지표를 수립하고 정기적으로 모니터링한다는 구체적인 근거를 확인할 수 없습니다. | [AI검토필요] 복합가중형 - 표본검증 권장</t>
        </is>
      </c>
      <c r="AA77" s="25" t="inlineStr">
        <is>
          <t>고객만족 대응 체계 운영을 수립하여 운영하고 있습니까?</t>
        </is>
      </c>
      <c r="AB77" s="25" t="inlineStr">
        <is>
          <t>복합입력(세부요소 수동 0~100)</t>
        </is>
      </c>
    </row>
    <row r="78" ht="91.5" customHeight="1">
      <c r="A78" s="16" t="n">
        <v>77</v>
      </c>
      <c r="B78" s="17" t="inlineStr">
        <is>
          <t>S-노동-추가1</t>
        </is>
      </c>
      <c r="C78" s="18" t="inlineStr">
        <is>
          <t>추가진단항목(v2.0)</t>
        </is>
      </c>
      <c r="D78" s="36" t="inlineStr">
        <is>
          <t>사회</t>
        </is>
      </c>
      <c r="E78" s="18" t="inlineStr">
        <is>
          <t>노동</t>
        </is>
      </c>
      <c r="F78" s="18" t="inlineStr">
        <is>
          <t>정규직 중 고졸자 비율</t>
        </is>
      </c>
      <c r="G78" s="18" t="inlineStr">
        <is>
          <t> 대학 졸업자에 비해 취업 여건이 열악한 고등학교 졸업자에게 적절한 취업 기회를 주고 있는지 확인  정규직(무기계약직 포함) 중 고졸자 비율을 점검</t>
        </is>
      </c>
      <c r="H78" s="18" t="inlineStr">
        <is>
          <t>‘전자공시시스템’ 上 사업보고서, ‘조직별 홈페이지’ 上 지속가능경영보고서</t>
        </is>
      </c>
      <c r="I78" s="18" t="inlineStr">
        <is>
          <t>직전 회계연도</t>
        </is>
      </c>
      <c r="J78" s="18" t="inlineStr">
        <is>
          <t>국내 및 해외 사업장</t>
        </is>
      </c>
      <c r="K78" s="18" t="inlineStr">
        <is>
          <t>정규직 중 고졸자 비율 = 직전 회계연도 말 정규직 중 고졸자 수 / 직전 회계연도 말 총 정규직 수</t>
        </is>
      </c>
      <c r="L78" s="20" t="inlineStr">
        <is>
          <t>단계형</t>
        </is>
      </c>
      <c r="M78" s="16" t="n">
        <v>5</v>
      </c>
      <c r="N78" s="18" t="inlineStr">
        <is>
          <t>단계형: 1단계=0점 / 2단계=25점 / 3단계=50점 / 4단계=75점 / 5단계=100점</t>
        </is>
      </c>
      <c r="O78" s="17"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78" s="33" t="inlineStr">
        <is>
          <t>GAP(대응지표 없음)</t>
        </is>
      </c>
      <c r="Q78" s="17" t="inlineStr">
        <is>
          <t>KSSB 규정 없음</t>
        </is>
      </c>
      <c r="R78" s="17" t="inlineStr">
        <is>
          <t>GRI 405</t>
        </is>
      </c>
      <c r="S78" s="17" t="inlineStr">
        <is>
          <t>K-ESG 가이드라인 v2.0 (추가 진단항목, 3장)</t>
        </is>
      </c>
      <c r="T78" s="22" t="n">
        <v>1</v>
      </c>
      <c r="U78" s="23" t="n"/>
      <c r="V78" s="23" t="n"/>
      <c r="W78" s="23" t="n"/>
      <c r="X78" s="24" t="n">
        <v>1</v>
      </c>
      <c r="Y78" s="17"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78" s="18" t="inlineStr">
        <is>
          <t>[자동채점] | 근거충분성: 충분 | 근거페이지: [12, 66, 84, 86] | 근거: [지배구조보고서] 12p. 정규직 중 고졸자 비율을 정량적으로 산정하여 관리·공시하고 있습니까?(6번째 줄) → 제공된 지속가능경영보고서 및 지배구조보고서 내에 정규직 중 고졸자 비율에 대한 정보가 공시되어 있지 않아 1단계에 해당함.</t>
        </is>
      </c>
      <c r="AA78" s="25" t="inlineStr">
        <is>
          <t>정규직 중 고졸자 비율을 정량적으로 산정하여 관리·공시하고 있습니까?</t>
        </is>
      </c>
      <c r="AB78" s="25" t="inlineStr">
        <is>
          <t>단계(1~5)</t>
        </is>
      </c>
    </row>
    <row r="79" ht="91.5" customHeight="1">
      <c r="A79" s="26" t="n">
        <v>78</v>
      </c>
      <c r="B79" s="27" t="inlineStr">
        <is>
          <t>S-노동-추가2</t>
        </is>
      </c>
      <c r="C79" s="28" t="inlineStr">
        <is>
          <t>추가진단항목(v2.0)</t>
        </is>
      </c>
      <c r="D79" s="36" t="inlineStr">
        <is>
          <t>사회</t>
        </is>
      </c>
      <c r="E79" s="28" t="inlineStr">
        <is>
          <t>노동</t>
        </is>
      </c>
      <c r="F79" s="28" t="inlineStr">
        <is>
          <t>여가친화 경영</t>
        </is>
      </c>
      <c r="G79" s="28"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79" s="2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79" s="28" t="inlineStr">
        <is>
          <t>직전 회계연도</t>
        </is>
      </c>
      <c r="J79" s="28" t="inlineStr">
        <is>
          <t>국내 및 해외 사업장</t>
        </is>
      </c>
      <c r="K79" s="27" t="inlineStr">
        <is>
          <t>N/A</t>
        </is>
      </c>
      <c r="L79" s="29" t="inlineStr">
        <is>
          <t>단계형</t>
        </is>
      </c>
      <c r="M79" s="26" t="n">
        <v>2</v>
      </c>
      <c r="N79" s="28" t="inlineStr">
        <is>
          <t>단계형: 1단계=0점 / 2단계=100점</t>
        </is>
      </c>
      <c r="O79" s="27" t="inlineStr">
        <is>
          <t>- 1단계 : 여가친화인증 미획득 |  - 2단계 : 여가친화인증 획득</t>
        </is>
      </c>
      <c r="P79" s="33" t="inlineStr">
        <is>
          <t>GAP(대응지표 없음)</t>
        </is>
      </c>
      <c r="Q79" s="27" t="inlineStr">
        <is>
          <t>KSSB 규정 없음</t>
        </is>
      </c>
      <c r="R79" s="27" t="inlineStr">
        <is>
          <t>GRI 401</t>
        </is>
      </c>
      <c r="S79" s="27" t="inlineStr">
        <is>
          <t>K-ESG 가이드라인 v2.0 (추가 진단항목, 3장)</t>
        </is>
      </c>
      <c r="T79" s="22" t="n">
        <v>1</v>
      </c>
      <c r="U79" s="23" t="n"/>
      <c r="V79" s="23" t="n"/>
      <c r="W79" s="23" t="n"/>
      <c r="X79" s="30" t="n">
        <v>1</v>
      </c>
      <c r="Y79" s="27" t="inlineStr">
        <is>
          <t>- 1단계 : 여가친화인증 미획득
 - 2단계 : 여가친화인증 획득</t>
        </is>
      </c>
      <c r="Z79" s="28" t="inlineStr">
        <is>
          <t>[자동채점] | 근거충분성: 부분적 | 근거페이지: [68, 76, 86] | 근거: [지속가능경영보고서] 68p. SK하이닉스는 가족친화 제도를 모범적으로 운영하는 기업에 부여되는 ‘가족친화인증’을 2009년부터 15년 동안 유지하면서 2023년 가족친화 최고기업으로 선정됐습니다.(줄 위치 특정 실패) → 제시된 근거는 '가족친화인증' 획득 사실만을 명시하고 있으며, 진단항목에서 요구하는 '여가친화인증' 획득 여부에 대한 정보는 확인되지 않아 1단계로 판단함.</t>
        </is>
      </c>
      <c r="AA79" s="25" t="inlineStr">
        <is>
          <t>여가친화 경영을 수립하여 운영하고 있습니까?</t>
        </is>
      </c>
      <c r="AB79" s="25" t="inlineStr">
        <is>
          <t>단계(1~2)</t>
        </is>
      </c>
    </row>
    <row r="80" ht="91.5" customHeight="1">
      <c r="A80" s="16" t="n">
        <v>79</v>
      </c>
      <c r="B80" s="17" t="inlineStr">
        <is>
          <t>S-노동-추가3</t>
        </is>
      </c>
      <c r="C80" s="18" t="inlineStr">
        <is>
          <t>추가진단항목(v2.0)</t>
        </is>
      </c>
      <c r="D80" s="36" t="inlineStr">
        <is>
          <t>사회</t>
        </is>
      </c>
      <c r="E80" s="18" t="inlineStr">
        <is>
          <t>노동</t>
        </is>
      </c>
      <c r="F80" s="17" t="inlineStr">
        <is>
          <t>50세 이상 비자발적 이직예정자 중 재취업지원 제공 비율</t>
        </is>
      </c>
      <c r="G80" s="18"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80" s="18" t="inlineStr">
        <is>
          <t>‘전자공시시스템’ 上 사업보고서, ‘조직별 홈페이지’ 上 지속가능경영보고서</t>
        </is>
      </c>
      <c r="I80" s="18" t="inlineStr">
        <is>
          <t>직전 회계연도</t>
        </is>
      </c>
      <c r="J80" s="18" t="inlineStr">
        <is>
          <t>국내 및 해외 사업장</t>
        </is>
      </c>
      <c r="K80" s="18" t="inlineStr">
        <is>
          <t>직전 회계연도 50세 이상 비자발적 이직예정자 중 서비스 제공받은 구성원 / 직전 회계연도 50세 이상 총 비자발적 이직 예정자</t>
        </is>
      </c>
      <c r="L80" s="20" t="inlineStr">
        <is>
          <t>단계형</t>
        </is>
      </c>
      <c r="M80" s="16" t="n">
        <v>3</v>
      </c>
      <c r="N80" s="18" t="inlineStr">
        <is>
          <t>단계형: 1단계=0점 / 2단계=50점 / 3단계=100점</t>
        </is>
      </c>
      <c r="O80" s="17" t="inlineStr">
        <is>
          <t>- 1단계 : 재취업지원서비스 미제공 또는 제공 비율 감소 추세 |  - 2단계 : 재취업지원서비스 제공 비율 유지 추세 |  - 3단계 : 재취업지원서비스 제공 비율 증가 추세</t>
        </is>
      </c>
      <c r="P80" s="33" t="inlineStr">
        <is>
          <t>GAP(대응지표 없음)</t>
        </is>
      </c>
      <c r="Q80" s="17" t="inlineStr">
        <is>
          <t>KSSB 규정 없음</t>
        </is>
      </c>
      <c r="R80" s="17" t="inlineStr">
        <is>
          <t>GRI 401</t>
        </is>
      </c>
      <c r="S80" s="17" t="inlineStr">
        <is>
          <t>K-ESG 가이드라인 v2.0 (추가 진단항목, 3장)</t>
        </is>
      </c>
      <c r="T80" s="22" t="n">
        <v>1</v>
      </c>
      <c r="U80" s="23" t="n"/>
      <c r="V80" s="23" t="n"/>
      <c r="W80" s="23" t="n"/>
      <c r="X80" s="24" t="n">
        <v>1</v>
      </c>
      <c r="Y80" s="17" t="inlineStr">
        <is>
          <t>- 1단계 : 재취업지원서비스 미제공 또는 제공 비율 감소 추세
 - 2단계 : 재취업지원서비스 제공 비율 유지 추세
 - 3단계 : 재취업지원서비스 제공 비율 증가 추세</t>
        </is>
      </c>
      <c r="Z80" s="18" t="inlineStr">
        <is>
          <t>[자동채점] | 근거충분성: 불충분 | 근거페이지: [33, 84, 85] | 근거: [지속가능경영보고서] 85p. 50세 이상 비자발적 이직예정자 중 재취업지원 제공 비율을 정량적으로 산정하여 관리·공시하고 있습니까?(줄 위치 특정 실패) → 제공된 보고서 내에 50세 이상 비자발적 이직예정자에 대한 재취업지원 서비스 제공 여부나 관련 정량적 데이터가 명시되어 있지 않아 1단계로 판단함.</t>
        </is>
      </c>
      <c r="AA80" s="25" t="inlineStr">
        <is>
          <t>50세 이상 비자발적 이직예정자 중 재취업지원 제공 비율을 정량적으로 산정하여 관리·공시하고 있습니까?</t>
        </is>
      </c>
      <c r="AB80" s="25" t="inlineStr">
        <is>
          <t>단계(1~3)</t>
        </is>
      </c>
    </row>
    <row r="81" ht="91.5" customHeight="1">
      <c r="A81" s="26" t="n">
        <v>80</v>
      </c>
      <c r="B81" s="27" t="inlineStr">
        <is>
          <t>S-정보보호-추가1</t>
        </is>
      </c>
      <c r="C81" s="28" t="inlineStr">
        <is>
          <t>추가진단항목(v2.0)</t>
        </is>
      </c>
      <c r="D81" s="36" t="inlineStr">
        <is>
          <t>사회</t>
        </is>
      </c>
      <c r="E81" s="28" t="inlineStr">
        <is>
          <t>정보보호</t>
        </is>
      </c>
      <c r="F81" s="28" t="inlineStr">
        <is>
          <t>개인정보보호를 위한 자율적 노력 및 활동</t>
        </is>
      </c>
      <c r="G81" s="28" t="inlineStr">
        <is>
          <t> 조직이 정보주체의 개인정보 자기결정권 보장을 위해서 법적 준수사항 외 자율적으로 개인정보보호를 위해 수행하는 활동 및 노력을 확인</t>
        </is>
      </c>
      <c r="H81" s="28" t="inlineStr">
        <is>
          <t>개인정보보호 관련 활동 현황 (사업보고서, 홈페이지, 지속가능성보고서 등)</t>
        </is>
      </c>
      <c r="I81" s="28" t="inlineStr">
        <is>
          <t>최근 회계연도</t>
        </is>
      </c>
      <c r="J81" s="28" t="inlineStr">
        <is>
          <t>국내 사업장</t>
        </is>
      </c>
      <c r="K81" s="27" t="inlineStr">
        <is>
          <t>N/A</t>
        </is>
      </c>
      <c r="L81" s="29" t="inlineStr">
        <is>
          <t>복합가중형</t>
        </is>
      </c>
      <c r="M81" s="26" t="n"/>
      <c r="N81" s="28" t="inlineStr">
        <is>
          <t>복합가중형: 2~3개 세부요소를 균등가중평균(예: 1/2+1/2, 1/3×3) — 세부 배점은 점검기준 상세 참조, 자사취득점수는 수동 산정</t>
        </is>
      </c>
      <c r="O81" s="28"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81" s="33" t="inlineStr">
        <is>
          <t>GAP(대응지표 없음)</t>
        </is>
      </c>
      <c r="Q81" s="27" t="inlineStr">
        <is>
          <t>KSSB 규정 없음</t>
        </is>
      </c>
      <c r="R81" s="27" t="inlineStr">
        <is>
          <t>GRI 418-1, ISMS-P</t>
        </is>
      </c>
      <c r="S81" s="27" t="inlineStr">
        <is>
          <t>K-ESG 가이드라인 v2.0 (추가 진단항목, 3장)</t>
        </is>
      </c>
      <c r="T81" s="34" t="inlineStr">
        <is>
          <t>해당없음(복합가중형)</t>
        </is>
      </c>
      <c r="U81" s="23" t="n"/>
      <c r="V81" s="23" t="n"/>
      <c r="W81" s="23" t="n"/>
      <c r="X81" s="35" t="n">
        <v>50</v>
      </c>
      <c r="Y81" s="28"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81" s="28" t="inlineStr">
        <is>
          <t>[자동채점] | 근거충분성: 부분적 | 근거페이지: [13, 56] | 근거: [개인정보보호를 위한 자율적 노력 및 활동] [지속가능경영보고서] 56p. 중국 사업장은 현지 법에 따라 개인정보 영향평가 수행 및 개인정보 해외 이전 계약을 완료했습니다.(줄 위치 특정 실패) → 제시된 근거 중 '영향평가 수행' 항목(③)이 확인되어 2단계 기준인 1개 이상 활동사항 공시를 충족하므로 50점을 부여합니다. | [AI검토필요] 복합가중형 - 표본검증 권장</t>
        </is>
      </c>
      <c r="AA81" s="25" t="inlineStr">
        <is>
          <t>개인정보보호를 위한 자율적 노력 및 활동을 계획적으로 수행하고 성과를 관리하고 있습니까?</t>
        </is>
      </c>
      <c r="AB81" s="25" t="inlineStr">
        <is>
          <t>복합입력(세부요소 수동 0~100)</t>
        </is>
      </c>
    </row>
    <row r="82" ht="91.5" customHeight="1">
      <c r="A82" s="16" t="n">
        <v>81</v>
      </c>
      <c r="B82" s="17" t="inlineStr">
        <is>
          <t>S-지역사회-추가1</t>
        </is>
      </c>
      <c r="C82" s="18" t="inlineStr">
        <is>
          <t>추가진단항목(v2.0)</t>
        </is>
      </c>
      <c r="D82" s="36" t="inlineStr">
        <is>
          <t>사회</t>
        </is>
      </c>
      <c r="E82" s="18" t="inlineStr">
        <is>
          <t>지역사회</t>
        </is>
      </c>
      <c r="F82" s="18" t="inlineStr">
        <is>
          <t>농어촌지역 상생협력 및 균형발전</t>
        </is>
      </c>
      <c r="G82" s="18" t="inlineStr">
        <is>
          <t> 조직이 농어촌지역 간 상생협력을 통해 농어업인의 삶의 질 향상 및 농어촌 지역사회의 발전에 기여하는 수준을 확인</t>
        </is>
      </c>
      <c r="H82" s="18" t="inlineStr">
        <is>
          <t>농어촌 상생협력기금 출연협약 체결 여부, 지출에 대한 공시 여부, 연도별 매출액 대비 상생협력기금 출연액 증감 여부(사업보고서, 홈페이지, 지속가능성보고서 등)</t>
        </is>
      </c>
      <c r="I82" s="18" t="inlineStr">
        <is>
          <t>최근 4개년 (회계연도 기준)</t>
        </is>
      </c>
      <c r="J82" s="18" t="inlineStr">
        <is>
          <t>국내 사업장</t>
        </is>
      </c>
      <c r="K82" s="17" t="inlineStr">
        <is>
          <t>N/A</t>
        </is>
      </c>
      <c r="L82" s="20" t="inlineStr">
        <is>
          <t>복합가중형</t>
        </is>
      </c>
      <c r="M82" s="16" t="n"/>
      <c r="N82" s="18" t="inlineStr">
        <is>
          <t>복합가중형: 2~3개 세부요소를 균등가중평균(예: 1/2+1/2, 1/3×3) — 세부 배점은 점검기준 상세 참조, 자사취득점수는 수동 산정</t>
        </is>
      </c>
      <c r="O82" s="18"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t>
        </is>
      </c>
      <c r="P82" s="33" t="inlineStr">
        <is>
          <t>GAP(대응지표 없음)</t>
        </is>
      </c>
      <c r="Q82" s="17" t="inlineStr">
        <is>
          <t>KSSB 규정 없음</t>
        </is>
      </c>
      <c r="R82" s="17" t="inlineStr">
        <is>
          <t>K-ESG 고유</t>
        </is>
      </c>
      <c r="S82" s="17" t="inlineStr">
        <is>
          <t>K-ESG 가이드라인 v2.0 (추가 진단항목, 3장)</t>
        </is>
      </c>
      <c r="T82" s="34" t="inlineStr">
        <is>
          <t>해당없음(복합가중형)</t>
        </is>
      </c>
      <c r="U82" s="23" t="n"/>
      <c r="V82" s="23" t="n"/>
      <c r="W82" s="23" t="n"/>
      <c r="X82" s="35" t="n">
        <v>1</v>
      </c>
      <c r="Y82" s="18"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82" s="18" t="inlineStr">
        <is>
          <t>[자동채점] | 근거충분성: 불충분 | 근거페이지: [57, 64, 65, 287] | 근거: [농어촌 상생협력기금 출연협약 체결 여부] [지속가능경영보고서] 65p. 근거부족(줄 위치 특정 실패) → 제공된 보고서 내에서 농어촌 상생협력기금 출연협약 체결 여부에 대한 구체적인 언급이나 관련 데이터를 확인할 수 없습니다. / [연도별 매출액 대비 상생협력기금 출연액 증감] [지속가능경영보고서] 65p. 근거부족(줄 위치 특정 실패) → 농어촌 상생협력기금 출연액에 대한 데이터가 존재하지 않아 증감 여부를 판단할 수 없습니다. | [AI검토필요] 복합가중형 - 표본검증 권장</t>
        </is>
      </c>
      <c r="AA82" s="25" t="inlineStr">
        <is>
          <t>농어촌지역 상생협력 및 균형발전에 대한 현황을 관리·공시하고 있습니까?</t>
        </is>
      </c>
      <c r="AB82" s="25" t="inlineStr">
        <is>
          <t>복합입력(세부요소 수동 0~100)</t>
        </is>
      </c>
    </row>
    <row r="83" ht="91.5" customHeight="1">
      <c r="A83" s="26" t="n">
        <v>82</v>
      </c>
      <c r="B83" s="27" t="inlineStr">
        <is>
          <t>S-지역사회-추가2</t>
        </is>
      </c>
      <c r="C83" s="28" t="inlineStr">
        <is>
          <t>추가진단항목(v2.0)</t>
        </is>
      </c>
      <c r="D83" s="36" t="inlineStr">
        <is>
          <t>사회</t>
        </is>
      </c>
      <c r="E83" s="28" t="inlineStr">
        <is>
          <t>지역사회</t>
        </is>
      </c>
      <c r="F83" s="28" t="inlineStr">
        <is>
          <t>산학협력 활성화 기여</t>
        </is>
      </c>
      <c r="G83" s="28"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83" s="28" t="inlineStr">
        <is>
          <t>산학협력 활동 공시 여부, 산학협력 마일리지 점수(매출액 대비) (사업보고서, 산학협력 마일리지 홈페이지(www.muic.or.kr) 등)</t>
        </is>
      </c>
      <c r="I83" s="28" t="inlineStr">
        <is>
          <t>최근 4개년 (회계연도 기준)</t>
        </is>
      </c>
      <c r="J83" s="28" t="inlineStr">
        <is>
          <t>국내 사업장 및 국내 소재 대학</t>
        </is>
      </c>
      <c r="K83" s="27" t="inlineStr">
        <is>
          <t>N/A</t>
        </is>
      </c>
      <c r="L83" s="29" t="inlineStr">
        <is>
          <t>단계형</t>
        </is>
      </c>
      <c r="M83" s="26" t="n">
        <v>5</v>
      </c>
      <c r="N83" s="28" t="inlineStr">
        <is>
          <t>단계형: 1단계=0점 / 2단계=25점 / 3단계=50점 / 4단계=75점 / 5단계=100점</t>
        </is>
      </c>
      <c r="O83" s="27"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t>
        </is>
      </c>
      <c r="P83" s="33" t="inlineStr">
        <is>
          <t>GAP(대응지표 없음)</t>
        </is>
      </c>
      <c r="Q83" s="27" t="inlineStr">
        <is>
          <t>KSSB 규정 없음</t>
        </is>
      </c>
      <c r="R83" s="27" t="inlineStr">
        <is>
          <t>K-ESG 고유</t>
        </is>
      </c>
      <c r="S83" s="27" t="inlineStr">
        <is>
          <t>K-ESG 가이드라인 v2.0 (추가 진단항목, 3장)</t>
        </is>
      </c>
      <c r="T83" s="22" t="n">
        <v>2</v>
      </c>
      <c r="U83" s="23" t="n"/>
      <c r="V83" s="23" t="n"/>
      <c r="W83" s="23" t="n"/>
      <c r="X83" s="30" t="n">
        <v>25</v>
      </c>
      <c r="Y83" s="27"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83" s="28" t="inlineStr">
        <is>
          <t>[자동채점] | 근거충분성: 충분 | 근거페이지: [63, 65, 69] | 근거: [지속가능경영보고서] 65p. 매년 각 대학과의 산학 협력을 통해 반도체 기술 관련 커리큘럼을 체계적으로 갖추고, 우수 인재를 조기에 확보해 반도체 전(줄 위치 특정 실패) → 산학협력 활동 내용은 공시하고 있으나, 평가 기준인 '산학협력 마일리지' 점수에 대한 정보공시가 확인되지 않아 2단계에 해당함.</t>
        </is>
      </c>
      <c r="AA83" s="25" t="inlineStr">
        <is>
          <t>산학협력 활성화 기여를 계획적으로 수행하고 성과를 관리하고 있습니까?</t>
        </is>
      </c>
      <c r="AB83" s="25" t="inlineStr">
        <is>
          <t>단계(1~5)</t>
        </is>
      </c>
    </row>
    <row r="84" ht="91.5" customHeight="1">
      <c r="A84" s="16" t="n">
        <v>83</v>
      </c>
      <c r="B84" s="17" t="inlineStr">
        <is>
          <t>S-지역사회-추가3</t>
        </is>
      </c>
      <c r="C84" s="18" t="inlineStr">
        <is>
          <t>추가진단항목(v2.0)</t>
        </is>
      </c>
      <c r="D84" s="36" t="inlineStr">
        <is>
          <t>사회</t>
        </is>
      </c>
      <c r="E84" s="18" t="inlineStr">
        <is>
          <t>지역사회</t>
        </is>
      </c>
      <c r="F84" s="18" t="inlineStr">
        <is>
          <t>미래세대 성장 및 교육 기여</t>
        </is>
      </c>
      <c r="G84" s="18"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84" s="18" t="inlineStr">
        <is>
          <t>미래세대 성장 및 교육 기여 활동 지출액, 수혜인원 및 지원 기간(매출액 대비) (사업보고서, 지속가능성보고서, 홈페이지 등)</t>
        </is>
      </c>
      <c r="I84" s="18" t="inlineStr">
        <is>
          <t>최근 4개년 (회계연도 기준)</t>
        </is>
      </c>
      <c r="J84" s="18" t="inlineStr">
        <is>
          <t>국내 사업장 및 국내 소재 대학</t>
        </is>
      </c>
      <c r="K84" s="17" t="inlineStr">
        <is>
          <t>N/A</t>
        </is>
      </c>
      <c r="L84" s="20" t="inlineStr">
        <is>
          <t>단계형</t>
        </is>
      </c>
      <c r="M84" s="16" t="n">
        <v>5</v>
      </c>
      <c r="N84" s="18" t="inlineStr">
        <is>
          <t>단계형: 1단계=0점 / 2단계=25점 / 3단계=50점 / 4단계=75점 / 5단계=100점</t>
        </is>
      </c>
      <c r="O84" s="17"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t>
        </is>
      </c>
      <c r="P84" s="33" t="inlineStr">
        <is>
          <t>GAP(대응지표 없음)</t>
        </is>
      </c>
      <c r="Q84" s="17" t="inlineStr">
        <is>
          <t>KSSB 규정 없음</t>
        </is>
      </c>
      <c r="R84" s="17" t="inlineStr">
        <is>
          <t>K-ESG 고유</t>
        </is>
      </c>
      <c r="S84" s="17" t="inlineStr">
        <is>
          <t>K-ESG 가이드라인 v2.0 (추가 진단항목, 3장)</t>
        </is>
      </c>
      <c r="T84" s="22" t="n">
        <v>2</v>
      </c>
      <c r="U84" s="23" t="n"/>
      <c r="V84" s="23" t="n"/>
      <c r="W84" s="23" t="n"/>
      <c r="X84" s="24" t="n">
        <v>25</v>
      </c>
      <c r="Y84" s="17"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84" s="18" t="inlineStr">
        <is>
          <t>[자동채점] | 근거충분성: 부분적 | 근거페이지: [22, 26, 65, 73] | 근거: [지속가능경영보고서] 65p. 반도체 커리큘럼 도입 이후 참여 학생 수는 매년 2000명 이상으로(줄 위치 특정 실패) → 미래세대 교육 프로그램 운영 내용과 수혜 인원(매년 2000명 이상)은 공시하고 있으나, 활동에 대한 구체적인 지출액 정보가 확인되지 않아 2단계에 해당함.</t>
        </is>
      </c>
      <c r="AA84" s="25" t="inlineStr">
        <is>
          <t>미래세대 성장 및 교육 기여를 계획적으로 수행하고 성과를 관리하고 있습니까?</t>
        </is>
      </c>
      <c r="AB84" s="25" t="inlineStr">
        <is>
          <t>단계(1~5)</t>
        </is>
      </c>
    </row>
    <row r="85" ht="91.5" customHeight="1">
      <c r="A85" s="26" t="n">
        <v>84</v>
      </c>
      <c r="B85" s="27" t="inlineStr">
        <is>
          <t>G-경영진-추가1</t>
        </is>
      </c>
      <c r="C85" s="28" t="inlineStr">
        <is>
          <t>추가진단항목(v2.0)</t>
        </is>
      </c>
      <c r="D85" s="37" t="inlineStr">
        <is>
          <t>지배구조</t>
        </is>
      </c>
      <c r="E85" s="28" t="inlineStr">
        <is>
          <t>경영진</t>
        </is>
      </c>
      <c r="F85" s="28" t="inlineStr">
        <is>
          <t>경영진 성과평가 및 보상</t>
        </is>
      </c>
      <c r="G85" s="28" t="inlineStr">
        <is>
          <t> 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is>
      </c>
      <c r="H85" s="28" t="inlineStr">
        <is>
          <t>‘전자공시시스템’ 上 사업보고서, ‘조직별 홈페이지’ 上 지속가능경영보고서</t>
        </is>
      </c>
      <c r="I85" s="28" t="inlineStr">
        <is>
          <t>최근 1개 회계연도</t>
        </is>
      </c>
      <c r="J85" s="27" t="inlineStr">
        <is>
          <t>N/A</t>
        </is>
      </c>
      <c r="K85" s="27" t="inlineStr">
        <is>
          <t>N/A</t>
        </is>
      </c>
      <c r="L85" s="29" t="inlineStr">
        <is>
          <t>선택형</t>
        </is>
      </c>
      <c r="M85" s="26" t="n">
        <v>5</v>
      </c>
      <c r="N85" s="28" t="inlineStr">
        <is>
          <t>선택형: 요건1=0점 / 요건2=25점 / 요건3=50점 / 요건4=75점 / 요건5=100점</t>
        </is>
      </c>
      <c r="O85" s="28" t="inlineStr">
        <is>
          <t>요건1 |  조직의 재무적 성과와 연계하여 정량적 ‘성과평가 지표’가 설정되어 있는 경우 |  (매출액, 영업이익, 현금흐름, EBIT, 시가총액, 주주수익률 등) |  요건2 |  조직의 비재무적 성과와 연계하여 정량적 ‘성과평가 지표’가 설정되어 있는 경우 |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  (경영진 행위가 불법적이거나, 조직에 심각한 피해를 초래한 사유 등)</t>
        </is>
      </c>
      <c r="P85" s="21" t="inlineStr">
        <is>
          <t>부분대응</t>
        </is>
      </c>
      <c r="Q85" s="27" t="inlineStr">
        <is>
          <t>KSSB 제2호 문단 29(7) 경영진 보상-기후지표 연계 취지 준용(ESG 전반 KPI 연계는 KSSB가 더 포괄적)</t>
        </is>
      </c>
      <c r="R85" s="27" t="inlineStr">
        <is>
          <t>GRI 2-19, KCGS</t>
        </is>
      </c>
      <c r="S85" s="27" t="inlineStr">
        <is>
          <t>K-ESG 가이드라인 v2.0 (추가 진단항목, 3장)</t>
        </is>
      </c>
      <c r="T85" s="22" t="n">
        <v>3</v>
      </c>
      <c r="U85" s="23" t="n"/>
      <c r="V85" s="23" t="n"/>
      <c r="W85" s="23" t="n"/>
      <c r="X85" s="30" t="n">
        <v>50</v>
      </c>
      <c r="Y85" s="28" t="inlineStr">
        <is>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is>
      </c>
      <c r="Z85" s="28" t="inlineStr">
        <is>
          <t>[자동채점] | 근거충분성: 충분 | 근거페이지: [28, 156, 270, 331] | 근거: [지속가능경영보고서] 28p. PSU는 2023년부터 운영하고 있으며 부여 3년 후 SK하이닉스 주가 및 KOSPI 200 상승률을 반영해 지급(7번째 줄) → 재무적 성과(영업이익 등)와 비재무적 성과(KPI)를 활용하며, 3년 이상의 중장기 성과평가 지표(PSU)를 운영하고 있어 3단계 요건을 충족함.</t>
        </is>
      </c>
      <c r="AA85" s="25" t="inlineStr">
        <is>
          <t>경영진 성과평가 및 보상을 수립하여 운영하고 있습니까?</t>
        </is>
      </c>
      <c r="AB85" s="25" t="inlineStr">
        <is>
          <t>선택형(요건 충족 수)</t>
        </is>
      </c>
    </row>
    <row r="86" ht="91.5" customHeight="1">
      <c r="A86" s="16" t="n">
        <v>85</v>
      </c>
      <c r="B86" s="17" t="inlineStr">
        <is>
          <t>G-윤리경영-추가1</t>
        </is>
      </c>
      <c r="C86" s="18" t="inlineStr">
        <is>
          <t>추가진단항목(v2.0)</t>
        </is>
      </c>
      <c r="D86" s="37" t="inlineStr">
        <is>
          <t>지배구조</t>
        </is>
      </c>
      <c r="E86" s="18" t="inlineStr">
        <is>
          <t>윤리경영</t>
        </is>
      </c>
      <c r="F86" s="18" t="inlineStr">
        <is>
          <t>윤리경영/반부패 관련 법규/행동강령 등 준수</t>
        </is>
      </c>
      <c r="G86" s="18" t="inlineStr">
        <is>
          <t> 조직이 윤리경영 및 부패방지 관련 법규, 행동강령 및 실천규범 등을 준수하고 있는지 확인</t>
        </is>
      </c>
      <c r="H86" s="18" t="inlineStr">
        <is>
          <t>회사(계열사 제외), 임직원(계열사 제외)의 법규 위반 사항 중 사회 관련 법규 위반 사실 (사업보고서, 지속가능성보고서, 법규위반 정보 관련 웹사이트)</t>
        </is>
      </c>
      <c r="I86" s="18" t="inlineStr">
        <is>
          <t>최근 회계연도 기준</t>
        </is>
      </c>
      <c r="J86" s="18" t="inlineStr">
        <is>
          <t>국내, 해외 지점 포함</t>
        </is>
      </c>
      <c r="K86" s="17" t="inlineStr">
        <is>
          <t>N/A</t>
        </is>
      </c>
      <c r="L86" s="20" t="inlineStr">
        <is>
          <t>감점형</t>
        </is>
      </c>
      <c r="M86" s="16" t="n">
        <v>4</v>
      </c>
      <c r="N86" s="18" t="inlineStr">
        <is>
          <t>감점형: 유형1=-50점 / 유형2=-30점 / 유형3=-10점 (기준 100점에서 위반유형별 차감, 최저 0점, 중복 합산 가능)</t>
        </is>
      </c>
      <c r="O86" s="18" t="inlineStr">
        <is>
          <t>유형1(1단계): 처벌 및 조치내용 중 「과징금·벌금·징역·금고·구류」가 포함된 처벌이 있는 경우 | 유형2(2단계): 처벌 및 조치내용 중 「과태료·범칙금·이행강제금」이 포함된 처벌이 있는 경우 | 유형3(3단계): 상기 조치 이외의 처벌(금전적 처벌 없이 시정명령·영업정지 등 제재만 있는 경우) | 처벌·조치내역이 없는 경우 감점 없음(=100점), 사회 분야 총 평가 최저점은 0점으로 하한 설정. 전년도 회사(계열사 제외)·임직원(계열사 제외)의 윤리경영/반부패 관련 법규·행동강령 위반 사실을 기준으로 평가하며, 항소 중인 건은 전년도 현재 판결 기준으로 평가(금융지주회사는 계열사 및 자회사 포함)</t>
        </is>
      </c>
      <c r="P86" s="21" t="inlineStr">
        <is>
          <t>부분대응</t>
        </is>
      </c>
      <c r="Q86" s="17" t="inlineStr">
        <is>
          <t>KSSB 제1호 위험관리 원칙 준용</t>
        </is>
      </c>
      <c r="R86" s="17" t="inlineStr">
        <is>
          <t>GRI 205</t>
        </is>
      </c>
      <c r="S86" s="17" t="inlineStr">
        <is>
          <t>K-ESG 가이드라인 v2.0 (추가 진단항목, 3장)</t>
        </is>
      </c>
      <c r="T86" s="34" t="inlineStr">
        <is>
          <t>해당없음(감점형)</t>
        </is>
      </c>
      <c r="U86" s="22" t="n">
        <v>0</v>
      </c>
      <c r="V86" s="22" t="n">
        <v>0</v>
      </c>
      <c r="W86" s="22" t="n">
        <v>0</v>
      </c>
      <c r="X86" s="24" t="n">
        <v>100</v>
      </c>
      <c r="Y86" s="18" t="inlineStr">
        <is>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is>
      </c>
      <c r="Z86" s="18" t="inlineStr">
        <is>
          <t>[자동채점] | 근거충분성: 충분 | 근거페이지: [11, 13, 343] | 근거: 위반사항 없음</t>
        </is>
      </c>
      <c r="AA86" s="25" t="inlineStr">
        <is>
          <t>윤리경영/반부패 관련 법규/행동강령 등 준수를 수립하여 운영하고 있습니까?</t>
        </is>
      </c>
      <c r="AB86" s="25" t="inlineStr">
        <is>
          <t>OX(위반유형별 감점)</t>
        </is>
      </c>
    </row>
    <row r="87" ht="91.5" customHeight="1">
      <c r="A87" s="26" t="n">
        <v>86</v>
      </c>
      <c r="B87" s="28" t="inlineStr">
        <is>
          <t>반도체-E-1</t>
        </is>
      </c>
      <c r="C87" s="28" t="inlineStr">
        <is>
          <t>업종특화(반도체 v1.0)</t>
        </is>
      </c>
      <c r="D87" s="32" t="inlineStr">
        <is>
          <t>환경</t>
        </is>
      </c>
      <c r="E87" s="28" t="inlineStr">
        <is>
          <t>온실가스 및 에너지</t>
        </is>
      </c>
      <c r="F87" s="28" t="inlineStr">
        <is>
          <t>에너지 효율적 제품</t>
        </is>
      </c>
      <c r="G87" s="28" t="inlineStr">
        <is>
          <t>조직이 개발·생산하는 제품 중 에너지 효율적 제품의 비중을 점검하고, 사용단계 에너지 절감 노력을 확인</t>
        </is>
      </c>
      <c r="H87" s="27" t="inlineStr">
        <is>
          <t>'조직별 홈페이지' 上 지속가능경영보고서</t>
        </is>
      </c>
      <c r="I87" s="28" t="inlineStr">
        <is>
          <t>최근 4개 회계연도</t>
        </is>
      </c>
      <c r="J87" s="28" t="inlineStr">
        <is>
          <t>국내외 사업장 및 기타 연결실체</t>
        </is>
      </c>
      <c r="K87" s="27" t="inlineStr">
        <is>
          <t>(에너지 효율적 제품의 수 / 조직이 생산하고 있는 전체 제품의 수) X 100</t>
        </is>
      </c>
      <c r="L87" s="29" t="inlineStr">
        <is>
          <t>단계형</t>
        </is>
      </c>
      <c r="M87" s="26" t="n">
        <v>3</v>
      </c>
      <c r="N87" s="28" t="inlineStr">
        <is>
          <t>단계형: 1단계=0점 / 2단계=50점 / 3단계=100점</t>
        </is>
      </c>
      <c r="O87" s="27" t="inlineStr">
        <is>
          <t>1단계: 지난 4개년간 에너지 효율적 제품의 비중 감소 추세 | 2단계: 지난 4개년간 에너지 효율적 제품의 비중 변동 없음 | 3단계: 지난 4개년간 에너지 효율적 제품의 비중 증가 추세</t>
        </is>
      </c>
      <c r="P87" s="33" t="inlineStr">
        <is>
          <t>GAP(대응지표 없음)</t>
        </is>
      </c>
      <c r="Q87" s="27" t="inlineStr">
        <is>
          <t>KSSB 업종기반지표(반도체 S2 부속지침)로 별도 개발 예정</t>
        </is>
      </c>
      <c r="R87" s="27" t="inlineStr">
        <is>
          <t>SASB Semiconductors</t>
        </is>
      </c>
      <c r="S87" s="27" t="inlineStr">
        <is>
          <t>2_업종별 K-ESG 가이드라인(반도체) 진단항목</t>
        </is>
      </c>
      <c r="T87" s="22" t="n">
        <v>3</v>
      </c>
      <c r="U87" s="23" t="n"/>
      <c r="V87" s="23" t="n"/>
      <c r="W87" s="23" t="n"/>
      <c r="X87" s="30" t="n">
        <v>100</v>
      </c>
      <c r="Y87" s="27" t="inlineStr">
        <is>
          <t>Energy Star, EU Energy Label, 국내 에너지소비효율등급표시제도 등 공인 인증 또는 자체평가로 입증 가능한 에너지 효율 제품 비중을 측정. 설비(장비) 생산기업은 판매 장비의 에너지효율 비중으로 대체 측정 가능.</t>
        </is>
      </c>
      <c r="Z87" s="28" t="inlineStr">
        <is>
          <t>[자동채점] | 근거충분성: 충분 | 근거페이지: [21, 40, 50, 51, 53] | 근거: [지속가능경영보고서] 51p. 세대를 거듭할수록 에너지 효율이 증가하는 제품을 개발하기 위해 기술력을 집중하고 있습니다.(줄 위치 특정 실패) → 보고서 내에서 세대를 거듭할수록 에너지 효율이 증가하는 제품을 개발하고 있음을 명시하고 있어 3단계 요건을 충족합니다.</t>
        </is>
      </c>
      <c r="AA87" s="25" t="inlineStr">
        <is>
          <t>사용 단계 전력 소모를 절감한 에너지 효율 반도체/장비 비중이 증가 추세입니까?</t>
        </is>
      </c>
      <c r="AB87" s="25" t="inlineStr">
        <is>
          <t>단계(1~3)/감점형</t>
        </is>
      </c>
    </row>
    <row r="88" ht="91.5" customHeight="1">
      <c r="A88" s="16" t="n">
        <v>87</v>
      </c>
      <c r="B88" s="18" t="inlineStr">
        <is>
          <t>반도체-E-2</t>
        </is>
      </c>
      <c r="C88" s="18" t="inlineStr">
        <is>
          <t>업종특화(반도체 v1.0)</t>
        </is>
      </c>
      <c r="D88" s="32" t="inlineStr">
        <is>
          <t>환경</t>
        </is>
      </c>
      <c r="E88" s="18" t="inlineStr">
        <is>
          <t>용수</t>
        </is>
      </c>
      <c r="F88" s="18" t="inlineStr">
        <is>
          <t>초순수 사용량</t>
        </is>
      </c>
      <c r="G88" s="18" t="inlineStr">
        <is>
          <t>반도체 생산에 필요한 초순수(Ultra-pure Water) 사용량을 효과적으로 측정·모니터링·관리하고 있는지 점검</t>
        </is>
      </c>
      <c r="H88" s="17" t="inlineStr">
        <is>
          <t>'조직별 홈페이지' 上 지속가능경영보고서</t>
        </is>
      </c>
      <c r="I88" s="18" t="inlineStr">
        <is>
          <t>최근 4개 회계연도</t>
        </is>
      </c>
      <c r="J88" s="18" t="inlineStr">
        <is>
          <t>국내외 사업장 및 기타 연결실체</t>
        </is>
      </c>
      <c r="K88" s="18" t="inlineStr">
        <is>
          <t>원단위 초순수 사용량 = 전체 초순수 사용량 / 원단위 활용 분모(매출액·생산량 등)</t>
        </is>
      </c>
      <c r="L88" s="20" t="inlineStr">
        <is>
          <t>단계형</t>
        </is>
      </c>
      <c r="M88" s="16" t="n">
        <v>3</v>
      </c>
      <c r="N88" s="18" t="inlineStr">
        <is>
          <t>단계형: 1단계=0점 / 2단계=50점 / 3단계=100점</t>
        </is>
      </c>
      <c r="O88" s="17" t="inlineStr">
        <is>
          <t>1단계: 지난 4개년간 원단위 초순수 사용량 증가 추세 | 2단계: 지난 4개년간 원단위 초순수 사용량 변동 없음 | 3단계: 지난 4개년간 원단위 초순수 사용량 감소 추세 (미산정 시 0점)</t>
        </is>
      </c>
      <c r="P88" s="33" t="inlineStr">
        <is>
          <t>GAP(대응지표 없음)</t>
        </is>
      </c>
      <c r="Q88" s="17" t="inlineStr">
        <is>
          <t>KSSB 업종기반지표로 별도 개발 예정</t>
        </is>
      </c>
      <c r="R88" s="17" t="inlineStr">
        <is>
          <t>GRI 303, SASB Semiconductors</t>
        </is>
      </c>
      <c r="S88" s="17" t="inlineStr">
        <is>
          <t>2_업종별 K-ESG 가이드라인(반도체) 진단항목</t>
        </is>
      </c>
      <c r="T88" s="22" t="n">
        <v>1</v>
      </c>
      <c r="U88" s="23" t="n"/>
      <c r="V88" s="23" t="n"/>
      <c r="W88" s="23" t="n"/>
      <c r="X88" s="24" t="n">
        <v>1</v>
      </c>
      <c r="Y88" s="18" t="inlineStr">
        <is>
          <t>초순수는 반도체 웨이퍼·마스크 세정에 필수적인 자원으로, 물부족·기후변화에 따른 공급비용 증가 리스크 관리 지표. 연평균성장률(CAGR)로 4개년 추세 판정.</t>
        </is>
      </c>
      <c r="Z88" s="18" t="inlineStr">
        <is>
          <t>[자동채점] | 근거충분성: 부분적 | 근거페이지: [43, 50, 81, 82] | 근거: [지속가능경영보고서] 82p. 초순수 사용량 37,373 40,179 39,515 36,262(줄 위치 특정 실패) → 제시된 4개년(2020~2023) 초순수 사용량 데이터는 37,373에서 40,179로 증가 후 39,515, 36,262로 변동하고 있어, 원단위 사용량에 대한 명확한 감소 추세를 확인할 수 없으며 관련 원단위 데이터가 부재하여 1단계로 판단함.</t>
        </is>
      </c>
      <c r="AA88" s="25" t="inlineStr">
        <is>
          <t>웨이퍼 세정에 필수적인 초순수(UPW) 원단위 사용량이 감소 추세입니까?</t>
        </is>
      </c>
      <c r="AB88" s="25" t="inlineStr">
        <is>
          <t>단계(1~3)/감점형</t>
        </is>
      </c>
    </row>
    <row r="89" ht="91.5" customHeight="1">
      <c r="A89" s="26" t="n">
        <v>88</v>
      </c>
      <c r="B89" s="28" t="inlineStr">
        <is>
          <t>반도체-E-3</t>
        </is>
      </c>
      <c r="C89" s="28" t="inlineStr">
        <is>
          <t>업종특화(반도체 v1.0)</t>
        </is>
      </c>
      <c r="D89" s="32" t="inlineStr">
        <is>
          <t>환경</t>
        </is>
      </c>
      <c r="E89" s="28" t="inlineStr">
        <is>
          <t>용수</t>
        </is>
      </c>
      <c r="F89" s="28" t="inlineStr">
        <is>
          <t>물 부족 지역에서의 용수 사용량</t>
        </is>
      </c>
      <c r="G89" s="28" t="inlineStr">
        <is>
          <t>조직의 사업장 중 물부족지역(Water-stressed areas)에 노출된 사업장의 원단위 용수 사용량을 점검</t>
        </is>
      </c>
      <c r="H89" s="27" t="inlineStr">
        <is>
          <t>'조직별 홈페이지' 上 지속가능경영보고서</t>
        </is>
      </c>
      <c r="I89" s="28" t="inlineStr">
        <is>
          <t>최근 4개 회계연도</t>
        </is>
      </c>
      <c r="J89" s="28" t="inlineStr">
        <is>
          <t>국내외 사업장 및 기타 연결실체</t>
        </is>
      </c>
      <c r="K89" s="28" t="inlineStr">
        <is>
          <t>물부족지역 사업장 원단위 용수사용량 = 물부족지역 사업장 용수사용량 / 원단위 활용 분모</t>
        </is>
      </c>
      <c r="L89" s="29" t="inlineStr">
        <is>
          <t>단계형</t>
        </is>
      </c>
      <c r="M89" s="26" t="n">
        <v>3</v>
      </c>
      <c r="N89" s="28" t="inlineStr">
        <is>
          <t>단계형: 1단계=0점 / 2단계=50점 / 3단계=100점</t>
        </is>
      </c>
      <c r="O89" s="27" t="inlineStr">
        <is>
          <t>1단계: 지난 4개년간 물부족지역 사업장 원단위 용수사용량 증가 추세 | 2단계: 변동 없음 | 3단계: 감소 추세 (미식별·미측정 시 0점)</t>
        </is>
      </c>
      <c r="P89" s="33" t="inlineStr">
        <is>
          <t>GAP(대응지표 없음)</t>
        </is>
      </c>
      <c r="Q89" s="27" t="inlineStr">
        <is>
          <t>KSSB 업종기반지표로 별도 개발 예정</t>
        </is>
      </c>
      <c r="R89" s="27" t="inlineStr">
        <is>
          <t>CDP Water Security, SASB Semiconductors</t>
        </is>
      </c>
      <c r="S89" s="27" t="inlineStr">
        <is>
          <t>2_업종별 K-ESG 가이드라인(반도체) 진단항목</t>
        </is>
      </c>
      <c r="T89" s="22" t="n">
        <v>1</v>
      </c>
      <c r="U89" s="23" t="n"/>
      <c r="V89" s="23" t="n"/>
      <c r="W89" s="23" t="n"/>
      <c r="X89" s="30" t="n">
        <v>1</v>
      </c>
      <c r="Y89" s="28" t="inlineStr">
        <is>
          <t>물부족지역 식별은 세계자원연구소(WRI Aqueduct), 세계자연기금(WWF Water Risk Filter) 등에서 확인 가능.</t>
        </is>
      </c>
      <c r="Z89" s="28" t="inlineStr">
        <is>
          <t>[자동채점] | 근거충분성: 부분적 | 근거페이지: [42, 43, 82, 91] | 근거: [지속가능경영보고서] 91p. 물 스트레스 ‘High’ 이상 지역의 취수량 비율 | % | 40 | 38 | 38 | 34(5번째 줄) → 물 부족 지역의 취수량 비율은 감소 추세이나, 원단위 용수 사용량에 대한 구체적인 데이터가 제시되지 않아 1단계(미식별·미측정 시 0점)로 판단함.</t>
        </is>
      </c>
      <c r="AA89" s="25" t="inlineStr">
        <is>
          <t>수자원 취수 원단위 총 용수 사용량이 감소 추세입니까?</t>
        </is>
      </c>
      <c r="AB89" s="25" t="inlineStr">
        <is>
          <t>단계(1~3)/감점형</t>
        </is>
      </c>
    </row>
    <row r="90" ht="91.5" customHeight="1">
      <c r="A90" s="16" t="n">
        <v>89</v>
      </c>
      <c r="B90" s="18" t="inlineStr">
        <is>
          <t>반도체-E-4</t>
        </is>
      </c>
      <c r="C90" s="18" t="inlineStr">
        <is>
          <t>업종특화(반도체 v1.0)</t>
        </is>
      </c>
      <c r="D90" s="32" t="inlineStr">
        <is>
          <t>환경</t>
        </is>
      </c>
      <c r="E90" s="18" t="inlineStr">
        <is>
          <t>오염물질</t>
        </is>
      </c>
      <c r="F90" s="18" t="inlineStr">
        <is>
          <t>과불화탄소 배출량</t>
        </is>
      </c>
      <c r="G90" s="18" t="inlineStr">
        <is>
          <t>반도체 식각·챔버세정 공정에서 발생하는 과불화탄소(PFCs, GWP 7,000) 배출을 관리하는지 확인</t>
        </is>
      </c>
      <c r="H90" s="17" t="inlineStr">
        <is>
          <t>'조직별 홈페이지' 上 지속가능경영보고서, TCFD 보고서, CDP 보고서 등</t>
        </is>
      </c>
      <c r="I90" s="18" t="inlineStr">
        <is>
          <t>최근 4개 회계연도</t>
        </is>
      </c>
      <c r="J90" s="18" t="inlineStr">
        <is>
          <t>국내외 사업장 및 기타 연결실체</t>
        </is>
      </c>
      <c r="K90" s="18" t="inlineStr">
        <is>
          <t>원단위 대비 PFC 배출량 = 총 PFC 배출량(tCO2eq) / 원단위 활용 분모</t>
        </is>
      </c>
      <c r="L90" s="20" t="inlineStr">
        <is>
          <t>단계형</t>
        </is>
      </c>
      <c r="M90" s="16" t="n">
        <v>3</v>
      </c>
      <c r="N90" s="18" t="inlineStr">
        <is>
          <t>단계형: 1단계=0점 / 2단계=50점 / 3단계=100점</t>
        </is>
      </c>
      <c r="O90" s="17" t="inlineStr">
        <is>
          <t>1단계: 지난 4개년간 원단위 PFC 배출량 증가 추세 | 2단계: 변동 없음 | 3단계: 감소 추세 (미관리 시 0점)</t>
        </is>
      </c>
      <c r="P90" s="33" t="inlineStr">
        <is>
          <t>GAP(대응지표 없음)</t>
        </is>
      </c>
      <c r="Q90" s="17" t="inlineStr">
        <is>
          <t>KSSB 업종기반지표로 별도 개발 예정(GHG Scope1 총량에는 포함)</t>
        </is>
      </c>
      <c r="R90" s="17" t="inlineStr">
        <is>
          <t>SASB Semiconductors</t>
        </is>
      </c>
      <c r="S90" s="17" t="inlineStr">
        <is>
          <t>2_업종별 K-ESG 가이드라인(반도체) 진단항목</t>
        </is>
      </c>
      <c r="T90" s="22" t="n">
        <v>3</v>
      </c>
      <c r="U90" s="23" t="n"/>
      <c r="V90" s="23" t="n"/>
      <c r="W90" s="23" t="n"/>
      <c r="X90" s="24" t="n">
        <v>100</v>
      </c>
      <c r="Y90" s="17" t="inlineStr">
        <is>
          <t>EU 불화온실가스 저감 규정(Regulation (EU) No 517/2014), 교토의정서 7대 온실가스에 해당.</t>
        </is>
      </c>
      <c r="Z90" s="18" t="inlineStr">
        <is>
          <t>[자동채점] | 근거충분성: 충분 | 근거페이지: [44, 50, 91, 416] | 근거: [지속가능경영보고서] 91p. PFCs 총배출량 tCO2eq 1,036,958 961,220 1,020,389 184,136(4번째 줄) → 제시된 4개년(2020~2023) PFCs 총배출량 데이터가 1,036,958에서 184,136으로 전반적인 감소 추세를 보이고 있어 3단계 요건을 충족함.</t>
        </is>
      </c>
      <c r="AA90" s="25" t="inlineStr">
        <is>
          <t>과불화탄소 배출량에 대한 현황을 관리·공시하고 있습니까?</t>
        </is>
      </c>
      <c r="AB90" s="25" t="inlineStr">
        <is>
          <t>단계(1~3)/감점형</t>
        </is>
      </c>
    </row>
    <row r="91" ht="91.5" customHeight="1">
      <c r="A91" s="26" t="n">
        <v>90</v>
      </c>
      <c r="B91" s="28" t="inlineStr">
        <is>
          <t>반도체-E-5</t>
        </is>
      </c>
      <c r="C91" s="28" t="inlineStr">
        <is>
          <t>업종특화(반도체 v1.0)</t>
        </is>
      </c>
      <c r="D91" s="32" t="inlineStr">
        <is>
          <t>환경</t>
        </is>
      </c>
      <c r="E91" s="28" t="inlineStr">
        <is>
          <t>오염물질</t>
        </is>
      </c>
      <c r="F91" s="28" t="inlineStr">
        <is>
          <t>휘발성 유기화합물 배출량</t>
        </is>
      </c>
      <c r="G91" s="28" t="inlineStr">
        <is>
          <t>제품 생산과정에서 발생하는 휘발성유기화합물(VOC) 배출을 관리하는지 확인</t>
        </is>
      </c>
      <c r="H91" s="27" t="inlineStr">
        <is>
          <t>'조직별 홈페이지' 上 지속가능경영보고서, TCFD·CDP 보고서 등</t>
        </is>
      </c>
      <c r="I91" s="28" t="inlineStr">
        <is>
          <t>최근 4개 회계연도</t>
        </is>
      </c>
      <c r="J91" s="28" t="inlineStr">
        <is>
          <t>국내외 사업장 및 기타 연결실체</t>
        </is>
      </c>
      <c r="K91" s="28" t="inlineStr">
        <is>
          <t>원단위 대비 VOC 배출량 = 총 VOC 배출량(Metric ton) / 원단위 활용 분모</t>
        </is>
      </c>
      <c r="L91" s="29" t="inlineStr">
        <is>
          <t>단계형</t>
        </is>
      </c>
      <c r="M91" s="26" t="n">
        <v>3</v>
      </c>
      <c r="N91" s="28" t="inlineStr">
        <is>
          <t>단계형: 1단계=0점 / 2단계=50점 / 3단계=100점</t>
        </is>
      </c>
      <c r="O91" s="27" t="inlineStr">
        <is>
          <t>1단계: 지난 4개년간 원단위 VOC 배출량 증가 추세 | 2단계: 변동 없음 | 3단계: 감소 추세 (미관리 시 0점)</t>
        </is>
      </c>
      <c r="P91" s="33" t="inlineStr">
        <is>
          <t>GAP(대응지표 없음)</t>
        </is>
      </c>
      <c r="Q91" s="27" t="inlineStr">
        <is>
          <t>KSSB 업종기반지표로 별도 개발 예정</t>
        </is>
      </c>
      <c r="R91" s="27" t="inlineStr">
        <is>
          <t>SASB Semiconductors</t>
        </is>
      </c>
      <c r="S91" s="27" t="inlineStr">
        <is>
          <t>2_업종별 K-ESG 가이드라인(반도체) 진단항목</t>
        </is>
      </c>
      <c r="T91" s="22" t="n">
        <v>1</v>
      </c>
      <c r="U91" s="23" t="n"/>
      <c r="V91" s="23" t="n"/>
      <c r="W91" s="23" t="n"/>
      <c r="X91" s="30" t="n">
        <v>1</v>
      </c>
      <c r="Y91" s="28" t="inlineStr">
        <is>
          <t>국내 대기환경보전법 휘발성유기화합물 지정고시(37개 물질), 미국 EPA 40 CFR Part 51.100, RBA 행동규범 배출관리 요구사항 참고.</t>
        </is>
      </c>
      <c r="Z91" s="28" t="inlineStr">
        <is>
          <t>[자동채점] | 근거충분성: 충분 | 근거페이지: [81, 82, 96, 239, 416] | 근거: [지속가능경영보고서] 82p. 공정에서 사용되는 물질이 아니며, 배출 농도가 미미해 오염물질 배출량에 영향을 주지 않는다고 판단, 2020년부터 이천/청주 대기오염 관리물질에서 제외(줄 위치 특정 실패) → 휘발성 유기화합물(VOC) 배출량에 대한 구체적인 관리 현황이나 4개년 배출량 데이터가 공시되어 있지 않아 미관리 항목으로 판단됩니다. | [AI검토필요] LLM이 유효범위(1~3) 밖의 값(0)을 답해 1로 보정함</t>
        </is>
      </c>
      <c r="AA91" s="25" t="inlineStr">
        <is>
          <t>휘발성 유기화합물 배출량에 대한 현황을 관리·공시하고 있습니까?</t>
        </is>
      </c>
      <c r="AB91" s="25" t="inlineStr">
        <is>
          <t>단계(1~3)/감점형</t>
        </is>
      </c>
    </row>
    <row r="92" ht="91.5" customHeight="1">
      <c r="A92" s="16" t="n">
        <v>91</v>
      </c>
      <c r="B92" s="18" t="inlineStr">
        <is>
          <t>반도체-G-1</t>
        </is>
      </c>
      <c r="C92" s="18" t="inlineStr">
        <is>
          <t>업종특화(반도체 v1.0)</t>
        </is>
      </c>
      <c r="D92" s="37" t="inlineStr">
        <is>
          <t>지배구조</t>
        </is>
      </c>
      <c r="E92" s="18" t="inlineStr">
        <is>
          <t>윤리경영</t>
        </is>
      </c>
      <c r="F92" s="18" t="inlineStr">
        <is>
          <t>반경쟁행위 위반사항 공시</t>
        </is>
      </c>
      <c r="G92" s="18" t="inlineStr">
        <is>
          <t>조직이 반경쟁행위(가격담합·시장지배력남용 등) 관련 법/규제를 준수하는지, 위반시 처벌수위별 감점으로 점검</t>
        </is>
      </c>
      <c r="H92" s="17" t="inlineStr">
        <is>
          <t>'전자공시시스템' 上 사업보고서, '조직별 홈페이지' 上 지속가능경영보고서</t>
        </is>
      </c>
      <c r="I92" s="18" t="inlineStr">
        <is>
          <t>최근 4개 회계연도</t>
        </is>
      </c>
      <c r="J92" s="18" t="inlineStr">
        <is>
          <t>국내외 사업장 및 기타 연결실체</t>
        </is>
      </c>
      <c r="K92" s="17" t="inlineStr">
        <is>
          <t>∑(반경쟁행위 위반 건 × 처벌수위별 감점기준)</t>
        </is>
      </c>
      <c r="L92" s="20" t="inlineStr">
        <is>
          <t>감점형</t>
        </is>
      </c>
      <c r="M92" s="16" t="n">
        <v>3</v>
      </c>
      <c r="N92" s="18" t="inlineStr">
        <is>
          <t>감점형: 유형1=-50점 / 유형2=-30점 / 유형3=-10점 (감점형: 100점 기준 위반유형별 차감, 최저 0점)</t>
        </is>
      </c>
      <c r="O92" s="18" t="inlineStr">
        <is>
          <t>유형1: 확정판결 中 사법상 형벌·벌금·과료 또는 입찰참가자격 제한 | 유형2: 확정판결 中 금전적 행정처분(과태료·과징금·이행강제금) | 유형3: 확정판결 中 비금전적 행정처분(시정명령·시정권고·경고) — 감점 없을 시 100점, 최저점 0점 하한</t>
        </is>
      </c>
      <c r="P92" s="33" t="inlineStr">
        <is>
          <t>GAP(대응지표 없음)</t>
        </is>
      </c>
      <c r="Q92" s="17" t="inlineStr">
        <is>
          <t>KSSB 규정 없음</t>
        </is>
      </c>
      <c r="R92" s="17" t="inlineStr">
        <is>
          <t>SASB Semiconductors, 공정거래법</t>
        </is>
      </c>
      <c r="S92" s="17" t="inlineStr">
        <is>
          <t>2_업종별 K-ESG 가이드라인(반도체) 진단항목</t>
        </is>
      </c>
      <c r="T92" s="34" t="inlineStr">
        <is>
          <t>해당없음(감점형)</t>
        </is>
      </c>
      <c r="U92" s="22" t="n">
        <v>0</v>
      </c>
      <c r="V92" s="22" t="n">
        <v>0</v>
      </c>
      <c r="W92" s="22" t="n">
        <v>0</v>
      </c>
      <c r="X92" s="24" t="n">
        <v>100</v>
      </c>
      <c r="Y92" s="18" t="inlineStr">
        <is>
          <t>반도체 산업표준 제정 과정의 상호라이선스·특허풀 활용 등으로 가격담합 등 반독점 리스크가 상대적으로 높은 업종 특성 반영.</t>
        </is>
      </c>
      <c r="Z92" s="18" t="inlineStr">
        <is>
          <t>[자동채점] | 근거충분성: 충분 | 근거페이지: [13, 92, 343, 344, 413] | 근거: 위반사항 없음</t>
        </is>
      </c>
      <c r="AA92" s="25" t="inlineStr">
        <is>
          <t>반경쟁행위 위반사항 공시를 충실히 이행하고 있습니까?</t>
        </is>
      </c>
      <c r="AB92" s="25" t="inlineStr">
        <is>
          <t>단계(1~3)/감점형</t>
        </is>
      </c>
    </row>
  </sheetData>
  <dataValidations count="4">
    <dataValidation sqref="T2 T4:T8 T13 T24 T26:T27 T29:T32 T34 T38:T42 T44:T51 T55:T57 T59:T61 T63:T64 T67:T68 T71:T73 T76 T78 T83:T85" showDropDown="0" showInputMessage="0" showErrorMessage="1" allowBlank="1" errorTitle="입력 범위 오류" error="1~5 사이의 정수만 입력하세요." type="whole">
      <formula1>1</formula1>
      <formula2>5</formula2>
    </dataValidation>
    <dataValidation sqref="T3 T9:T11 T14:T21 T23 T35:T37 T43 T58 T62 T66 T69 T80 T87:T91" showDropDown="0" showInputMessage="0" showErrorMessage="1" allowBlank="1" errorTitle="입력 범위 오류" error="1~3 사이의 정수만 입력하세요." type="whole">
      <formula1>1</formula1>
      <formula2>3</formula2>
    </dataValidation>
    <dataValidation sqref="U22:W22 U52:W53 U70:W70 U86:W86 U92:W92" showDropDown="0" showInputMessage="0" showErrorMessage="1" allowBlank="1" errorTitle="입력 오류" error="0(해당없음) 또는 1(해당)만 입력하세요." type="whole">
      <formula1>0</formula1>
      <formula2>1</formula2>
    </dataValidation>
    <dataValidation sqref="T79" showDropDown="0" showInputMessage="0" showErrorMessage="1" allowBlank="1" errorTitle="입력 범위 오류" error="1~2 사이의 정수만 입력하세요." type="whole">
      <formula1>1</formula1>
      <formula2>2</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A6A6A6"/>
    <outlinePr summaryBelow="1" summaryRight="1"/>
    <pageSetUpPr/>
  </sheetPr>
  <dimension ref="A1:F314"/>
  <sheetViews>
    <sheetView showGridLines="0" zoomScaleNormal="100" workbookViewId="0">
      <pane ySplit="1" topLeftCell="A267" activePane="bottomLeft" state="frozen"/>
      <selection pane="bottomLeft" activeCell="F4" sqref="F4"/>
    </sheetView>
  </sheetViews>
  <sheetFormatPr baseColWidth="8" defaultColWidth="8.6640625" defaultRowHeight="14.4"/>
  <cols>
    <col width="16" customWidth="1" min="1" max="1"/>
    <col width="28" customWidth="1" min="2" max="2"/>
    <col width="9" customWidth="1" min="3" max="3"/>
    <col width="10" customWidth="1" min="4" max="4"/>
    <col width="8" customWidth="1" min="5" max="5"/>
    <col width="80" customWidth="1" min="6" max="6"/>
  </cols>
  <sheetData>
    <row r="1" ht="21.75" customHeight="1">
      <c r="A1" s="14" t="inlineStr">
        <is>
          <t>분류코드</t>
        </is>
      </c>
      <c r="B1" s="14" t="inlineStr">
        <is>
          <t>진단항목명</t>
        </is>
      </c>
      <c r="C1" s="14" t="inlineStr">
        <is>
          <t>단계번호</t>
        </is>
      </c>
      <c r="D1" s="14" t="inlineStr">
        <is>
          <t>단계라벨</t>
        </is>
      </c>
      <c r="E1" s="14" t="inlineStr">
        <is>
          <t>배점</t>
        </is>
      </c>
      <c r="F1" s="14" t="inlineStr">
        <is>
          <t>단계별 판단기준(K-ESG v2.0 원문)</t>
        </is>
      </c>
    </row>
    <row r="2" ht="15" customHeight="1">
      <c r="A2" s="17" t="inlineStr">
        <is>
          <t>P-1-1</t>
        </is>
      </c>
      <c r="B2" s="17" t="inlineStr">
        <is>
          <t>ESG 정보공시 방식</t>
        </is>
      </c>
      <c r="C2" s="16" t="n">
        <v>1</v>
      </c>
      <c r="D2" s="17" t="inlineStr">
        <is>
          <t>1단계</t>
        </is>
      </c>
      <c r="E2" s="16" t="n">
        <v>0</v>
      </c>
      <c r="F2" s="18" t="inlineStr">
        <is>
          <t>조직이 어떠한 방식으로든 ESG 정보를 공시하지 않는 경우</t>
        </is>
      </c>
    </row>
    <row r="3" ht="29.25" customHeight="1">
      <c r="A3" s="27" t="inlineStr">
        <is>
          <t>P-1-1</t>
        </is>
      </c>
      <c r="B3" s="27" t="inlineStr">
        <is>
          <t>ESG 정보공시 방식</t>
        </is>
      </c>
      <c r="C3" s="26" t="n">
        <v>2</v>
      </c>
      <c r="D3" s="27" t="inlineStr">
        <is>
          <t>2단계</t>
        </is>
      </c>
      <c r="E3" s="26" t="n">
        <v>25</v>
      </c>
      <c r="F3" s="28" t="inlineStr">
        <is>
          <t>조직의 홈페이지, 지속가능경영보고서, 사업보고서, 기타 간행물 등에 ESG 정보를 분산하여 공시하고 있는 경우</t>
        </is>
      </c>
    </row>
    <row r="4" ht="29.25" customHeight="1">
      <c r="A4" s="17" t="inlineStr">
        <is>
          <t>P-1-1</t>
        </is>
      </c>
      <c r="B4" s="17" t="inlineStr">
        <is>
          <t>ESG 정보공시 방식</t>
        </is>
      </c>
      <c r="C4" s="16" t="n">
        <v>3</v>
      </c>
      <c r="D4" s="17" t="inlineStr">
        <is>
          <t>3단계</t>
        </is>
      </c>
      <c r="E4" s="16" t="n">
        <v>50</v>
      </c>
      <c r="F4" s="18" t="inlineStr">
        <is>
          <t>조직의 홈페이지, 지속가능경영보고서, 사업보고서, 기타 간행물 등에 ESG 정보를 통합하여 공시하고 있는 경우</t>
        </is>
      </c>
    </row>
    <row r="5" ht="29.25" customHeight="1">
      <c r="A5" s="27" t="inlineStr">
        <is>
          <t>P-1-1</t>
        </is>
      </c>
      <c r="B5" s="27" t="inlineStr">
        <is>
          <t>ESG 정보공시 방식</t>
        </is>
      </c>
      <c r="C5" s="26" t="n">
        <v>4</v>
      </c>
      <c r="D5" s="27" t="inlineStr">
        <is>
          <t>4단계</t>
        </is>
      </c>
      <c r="E5" s="26" t="n">
        <v>75</v>
      </c>
      <c r="F5" s="27" t="inlineStr">
        <is>
          <t>ESG 정보를 통합한 조직의 홈페이지, 지속가능경영보고서, 사업보고서, 기타 간행물 등을 지정된 장소에 비치하거나, 특정 URL에 담고 있는 경우</t>
        </is>
      </c>
    </row>
    <row r="6" ht="29.25" customHeight="1">
      <c r="A6" s="17" t="inlineStr">
        <is>
          <t>P-1-1</t>
        </is>
      </c>
      <c r="B6" s="17" t="inlineStr">
        <is>
          <t>ESG 정보공시 방식</t>
        </is>
      </c>
      <c r="C6" s="16" t="n">
        <v>5</v>
      </c>
      <c r="D6" s="17" t="inlineStr">
        <is>
          <t>5단계</t>
        </is>
      </c>
      <c r="E6" s="16" t="n">
        <v>100</v>
      </c>
      <c r="F6" s="17" t="inlineStr">
        <is>
          <t>ESG 정보를 통합한 조직의 홈페이지, 지속가능경영보고서, 사업보고서, 기타 간행물 등의 발행여부를 ‘전자공시시스템-자율공시’ 사항으로 알리는 경우</t>
        </is>
      </c>
    </row>
    <row r="7" ht="15" customHeight="1">
      <c r="A7" s="27" t="inlineStr">
        <is>
          <t>P-1-2</t>
        </is>
      </c>
      <c r="B7" s="27" t="inlineStr">
        <is>
          <t>ESG 정보공시 주기</t>
        </is>
      </c>
      <c r="C7" s="26" t="n">
        <v>1</v>
      </c>
      <c r="D7" s="27" t="inlineStr">
        <is>
          <t>1단계</t>
        </is>
      </c>
      <c r="E7" s="26" t="n">
        <v>0</v>
      </c>
      <c r="F7" s="27" t="inlineStr">
        <is>
          <t>ESG 정보공시 주기를 특정할 수 없거나, 명시하고 있지 않는 경우</t>
        </is>
      </c>
    </row>
    <row r="8" ht="15" customHeight="1">
      <c r="A8" s="17" t="inlineStr">
        <is>
          <t>P-1-2</t>
        </is>
      </c>
      <c r="B8" s="17" t="inlineStr">
        <is>
          <t>ESG 정보공시 주기</t>
        </is>
      </c>
      <c r="C8" s="16" t="n">
        <v>2</v>
      </c>
      <c r="D8" s="17" t="inlineStr">
        <is>
          <t>2단계</t>
        </is>
      </c>
      <c r="E8" s="16" t="n">
        <v>50</v>
      </c>
      <c r="F8" s="17" t="inlineStr">
        <is>
          <t>2년 단위로 보고서 발간 및 ESG 정보를 공시하는 경우</t>
        </is>
      </c>
    </row>
    <row r="9" ht="15" customHeight="1">
      <c r="A9" s="27" t="inlineStr">
        <is>
          <t>P-1-2</t>
        </is>
      </c>
      <c r="B9" s="27" t="inlineStr">
        <is>
          <t>ESG 정보공시 주기</t>
        </is>
      </c>
      <c r="C9" s="26" t="n">
        <v>3</v>
      </c>
      <c r="D9" s="27" t="inlineStr">
        <is>
          <t>3단계</t>
        </is>
      </c>
      <c r="E9" s="26" t="n">
        <v>100</v>
      </c>
      <c r="F9" s="27" t="inlineStr">
        <is>
          <t>1년 단위로 보고서 발간 및 ESG 정보를 공시하는 경우</t>
        </is>
      </c>
    </row>
    <row r="10" ht="15" customHeight="1">
      <c r="A10" s="17" t="inlineStr">
        <is>
          <t>P-1-3</t>
        </is>
      </c>
      <c r="B10" s="17" t="inlineStr">
        <is>
          <t>ESG 정보공시 범위</t>
        </is>
      </c>
      <c r="C10" s="16" t="n">
        <v>1</v>
      </c>
      <c r="D10" s="17" t="inlineStr">
        <is>
          <t>1단계</t>
        </is>
      </c>
      <c r="E10" s="16" t="n">
        <v>0</v>
      </c>
      <c r="F10" s="17" t="inlineStr">
        <is>
          <t>ESG 정보공시 범위를 특정할 수 없거나, 명시하고 있지 않는 경우</t>
        </is>
      </c>
    </row>
    <row r="11" ht="29.25" customHeight="1">
      <c r="A11" s="27" t="inlineStr">
        <is>
          <t>P-1-3</t>
        </is>
      </c>
      <c r="B11" s="27" t="inlineStr">
        <is>
          <t>ESG 정보공시 범위</t>
        </is>
      </c>
      <c r="C11" s="26" t="n">
        <v>2</v>
      </c>
      <c r="D11" s="27" t="inlineStr">
        <is>
          <t>2단계</t>
        </is>
      </c>
      <c r="E11" s="26" t="n">
        <v>25</v>
      </c>
      <c r="F11" s="28" t="inlineStr">
        <is>
          <t>조직이 법적으로 직접 소유하고 있는 사업장(ex. 별도재무제표 기준)의 일부 또는 모든 ESG 정보를 공시하고 있는 경우</t>
        </is>
      </c>
    </row>
    <row r="12" ht="29.25" customHeight="1">
      <c r="A12" s="17" t="inlineStr">
        <is>
          <t>P-1-3</t>
        </is>
      </c>
      <c r="B12" s="17" t="inlineStr">
        <is>
          <t>ESG 정보공시 범위</t>
        </is>
      </c>
      <c r="C12" s="16" t="n">
        <v>3</v>
      </c>
      <c r="D12" s="17" t="inlineStr">
        <is>
          <t>3단계</t>
        </is>
      </c>
      <c r="E12" s="16" t="n">
        <v>50</v>
      </c>
      <c r="F12" s="18" t="inlineStr">
        <is>
          <t>조직의 영향력과 통제력 범위에 있는 곳(자회사, 종속법인, 연결실체 등)의 일부 ESG 정보를 공시하고 있는 경우</t>
        </is>
      </c>
    </row>
    <row r="13" ht="29.25" customHeight="1">
      <c r="A13" s="27" t="inlineStr">
        <is>
          <t>P-1-3</t>
        </is>
      </c>
      <c r="B13" s="27" t="inlineStr">
        <is>
          <t>ESG 정보공시 범위</t>
        </is>
      </c>
      <c r="C13" s="26" t="n">
        <v>4</v>
      </c>
      <c r="D13" s="27" t="inlineStr">
        <is>
          <t>4단계</t>
        </is>
      </c>
      <c r="E13" s="26" t="n">
        <v>75</v>
      </c>
      <c r="F13" s="28" t="inlineStr">
        <is>
          <t>조직의 영향력과 통제력 범위에 있는 곳(자회사, 종속법인, 연결실체 등)의 일부 ESG 정보를 공시하고 있는 경우. 단, 조직의 영향력과 통제력 범위로 ESG 정보공시 범위를 확대한다는 계획을 제시하고 있는 경우</t>
        </is>
      </c>
    </row>
    <row r="14" ht="29.25" customHeight="1">
      <c r="A14" s="17" t="inlineStr">
        <is>
          <t>P-1-3</t>
        </is>
      </c>
      <c r="B14" s="17" t="inlineStr">
        <is>
          <t>ESG 정보공시 범위</t>
        </is>
      </c>
      <c r="C14" s="16" t="n">
        <v>5</v>
      </c>
      <c r="D14" s="17" t="inlineStr">
        <is>
          <t>5단계</t>
        </is>
      </c>
      <c r="E14" s="16" t="n">
        <v>100</v>
      </c>
      <c r="F14" s="18" t="inlineStr">
        <is>
          <t>조직의 영향력과 통제력 범위에 있는 곳(자회사, 종속법인, 연결실체 등)의 모든 ESG 정보를 공시하고 있는 경우</t>
        </is>
      </c>
    </row>
    <row r="15" ht="15" customHeight="1">
      <c r="A15" s="27" t="inlineStr">
        <is>
          <t>P-2-1</t>
        </is>
      </c>
      <c r="B15" s="27" t="inlineStr">
        <is>
          <t>ESG 핵심이슈 및 KPI</t>
        </is>
      </c>
      <c r="C15" s="26" t="n">
        <v>1</v>
      </c>
      <c r="D15" s="27" t="inlineStr">
        <is>
          <t>1단계</t>
        </is>
      </c>
      <c r="E15" s="26" t="n">
        <v>0</v>
      </c>
      <c r="F15" s="28" t="inlineStr">
        <is>
          <t>중대성 평가 결과 또는 ESG 핵심이슈를 공시하고 있지 않은 경우</t>
        </is>
      </c>
    </row>
    <row r="16" ht="15" customHeight="1">
      <c r="A16" s="17" t="inlineStr">
        <is>
          <t>P-2-1</t>
        </is>
      </c>
      <c r="B16" s="17" t="inlineStr">
        <is>
          <t>ESG 핵심이슈 및 KPI</t>
        </is>
      </c>
      <c r="C16" s="16" t="n">
        <v>2</v>
      </c>
      <c r="D16" s="17" t="inlineStr">
        <is>
          <t>2단계</t>
        </is>
      </c>
      <c r="E16" s="16" t="n">
        <v>25</v>
      </c>
      <c r="F16" s="18" t="inlineStr">
        <is>
          <t>중대성 평가 결과와 핵심이슈를 명확히 정의하고 있는 경우</t>
        </is>
      </c>
    </row>
    <row r="17" ht="29.25" customHeight="1">
      <c r="A17" s="27" t="inlineStr">
        <is>
          <t>P-2-1</t>
        </is>
      </c>
      <c r="B17" s="27" t="inlineStr">
        <is>
          <t>ESG 핵심이슈 및 KPI</t>
        </is>
      </c>
      <c r="C17" s="26" t="n">
        <v>3</v>
      </c>
      <c r="D17" s="27" t="inlineStr">
        <is>
          <t>3단계</t>
        </is>
      </c>
      <c r="E17" s="26" t="n">
        <v>50</v>
      </c>
      <c r="F17" s="27" t="inlineStr">
        <is>
          <t>2단계 + 핵심이슈에 대해 조직이 관리하고 있는 성과지표를 설명하고 있는 경우 (예를 들어, 기후변화가 핵심이슈일 경우, 온실가스 배출량 데이터 제시)</t>
        </is>
      </c>
    </row>
    <row r="18" ht="29.25" customHeight="1">
      <c r="A18" s="17" t="inlineStr">
        <is>
          <t>P-2-1</t>
        </is>
      </c>
      <c r="B18" s="17" t="inlineStr">
        <is>
          <t>ESG 핵심이슈 및 KPI</t>
        </is>
      </c>
      <c r="C18" s="16" t="n">
        <v>4</v>
      </c>
      <c r="D18" s="17" t="inlineStr">
        <is>
          <t>4단계</t>
        </is>
      </c>
      <c r="E18" s="16" t="n">
        <v>75</v>
      </c>
      <c r="F18" s="17" t="inlineStr">
        <is>
          <t>3단계 + 핵심이슈가 사업적/사회적 관점에서 중요한 사유를 설명하고 있는 경우 (예를 들어, 사업적/사회적 관점의 기회 요인과 리스크 요인 등)</t>
        </is>
      </c>
    </row>
    <row r="19" ht="29.25" customHeight="1">
      <c r="A19" s="27" t="inlineStr">
        <is>
          <t>P-2-1</t>
        </is>
      </c>
      <c r="B19" s="27" t="inlineStr">
        <is>
          <t>ESG 핵심이슈 및 KPI</t>
        </is>
      </c>
      <c r="C19" s="26" t="n">
        <v>5</v>
      </c>
      <c r="D19" s="27" t="inlineStr">
        <is>
          <t>5단계</t>
        </is>
      </c>
      <c r="E19" s="26" t="n">
        <v>100</v>
      </c>
      <c r="F19" s="27" t="inlineStr">
        <is>
          <t>4단계 + 핵심이슈를 관리하기 위한 시스템 및 절차를 설명하고 있는 경우 (조직, 전략 및 계획, 고충처리체계, 활동 및 교육 등)</t>
        </is>
      </c>
    </row>
    <row r="20" ht="29.25" customHeight="1">
      <c r="A20" s="17" t="inlineStr">
        <is>
          <t>P-3-1</t>
        </is>
      </c>
      <c r="B20" s="17" t="inlineStr">
        <is>
          <t>ESG 정보공시 검증</t>
        </is>
      </c>
      <c r="C20" s="16" t="n">
        <v>1</v>
      </c>
      <c r="D20" s="18" t="inlineStr">
        <is>
          <t>요건1</t>
        </is>
      </c>
      <c r="E20" s="16" t="n">
        <v>0</v>
      </c>
      <c r="F20" s="18" t="inlineStr">
        <is>
          <t>검증의견서에 검증기관(또는 검증인)이 명시되어 있는 경우 (또는, 검증기관이 License Number를 보유하고 있는 경우)</t>
        </is>
      </c>
    </row>
    <row r="21" ht="29.25" customHeight="1">
      <c r="A21" s="27" t="inlineStr">
        <is>
          <t>P-3-1</t>
        </is>
      </c>
      <c r="B21" s="27" t="inlineStr">
        <is>
          <t>ESG 정보공시 검증</t>
        </is>
      </c>
      <c r="C21" s="26" t="n">
        <v>2</v>
      </c>
      <c r="D21" s="28" t="inlineStr">
        <is>
          <t>요건2</t>
        </is>
      </c>
      <c r="E21" s="26" t="n">
        <v>25</v>
      </c>
      <c r="F21" s="28" t="inlineStr">
        <is>
          <t>검증의견서에 검증기관과의 독립성 성명이 포함되어 있는 경우 (즉, 검증기관과 검증받는 조직간 이해관계 상충이 없음을 선언한 경우)</t>
        </is>
      </c>
    </row>
    <row r="22" ht="29.25" customHeight="1">
      <c r="A22" s="17" t="inlineStr">
        <is>
          <t>P-3-1</t>
        </is>
      </c>
      <c r="B22" s="17" t="inlineStr">
        <is>
          <t>ESG 정보공시 검증</t>
        </is>
      </c>
      <c r="C22" s="16" t="n">
        <v>3</v>
      </c>
      <c r="D22" s="18" t="inlineStr">
        <is>
          <t>요건3</t>
        </is>
      </c>
      <c r="E22" s="16" t="n">
        <v>50</v>
      </c>
      <c r="F22" s="18" t="inlineStr">
        <is>
          <t>검증의견서에 검증표준(방법론)이 제시되어 있는 경우 (AA1000AS, ISAE3000, 또는 제3자 검증기관이 개발한 자체 검증표준 등)</t>
        </is>
      </c>
    </row>
    <row r="23" ht="15" customHeight="1">
      <c r="A23" s="27" t="inlineStr">
        <is>
          <t>P-3-1</t>
        </is>
      </c>
      <c r="B23" s="27" t="inlineStr">
        <is>
          <t>ESG 정보공시 검증</t>
        </is>
      </c>
      <c r="C23" s="26" t="n">
        <v>4</v>
      </c>
      <c r="D23" s="28" t="inlineStr">
        <is>
          <t>요건4</t>
        </is>
      </c>
      <c r="E23" s="26" t="n">
        <v>75</v>
      </c>
      <c r="F23" s="28" t="inlineStr">
        <is>
          <t>검증의견서에 ESG 정보 검증수준을 공개하고 있는 경우 (Type1/Type2, Moderate/High, 제한적/합리적 등)</t>
        </is>
      </c>
    </row>
    <row r="24" ht="29.25" customHeight="1">
      <c r="A24" s="17" t="inlineStr">
        <is>
          <t>P-3-1</t>
        </is>
      </c>
      <c r="B24" s="17" t="inlineStr">
        <is>
          <t>ESG 정보공시 검증</t>
        </is>
      </c>
      <c r="C24" s="16" t="n">
        <v>5</v>
      </c>
      <c r="D24" s="18" t="inlineStr">
        <is>
          <t>요건5</t>
        </is>
      </c>
      <c r="E24" s="16" t="n">
        <v>100</v>
      </c>
      <c r="F24" s="18" t="inlineStr">
        <is>
          <t>검증의견서에 제3자 검증기관이 검증한 정보공시 지표가 적시되어 있는 경우 (즉, 조직의 모든 ESG 정보 중 어떠한 정보를 검증하였는지 명시하는 경우)</t>
        </is>
      </c>
    </row>
    <row r="25" ht="15" customHeight="1">
      <c r="A25" s="27" t="inlineStr">
        <is>
          <t>E-1-1</t>
        </is>
      </c>
      <c r="B25" s="28" t="inlineStr">
        <is>
          <t>환경경영 목표 수립</t>
        </is>
      </c>
      <c r="C25" s="26" t="n">
        <v>1</v>
      </c>
      <c r="D25" s="27" t="inlineStr">
        <is>
          <t>1단계</t>
        </is>
      </c>
      <c r="E25" s="26" t="n">
        <v>0</v>
      </c>
      <c r="F25" s="28" t="inlineStr">
        <is>
          <t>단기/중장기 성과목표, 또는 조직의 환경경영 방향성을 나타내는 환경경영 미션/비전/지향점이 없는 경우</t>
        </is>
      </c>
    </row>
    <row r="26" ht="15" customHeight="1">
      <c r="A26" s="17" t="inlineStr">
        <is>
          <t>E-1-1</t>
        </is>
      </c>
      <c r="B26" s="18" t="inlineStr">
        <is>
          <t>환경경영 목표 수립</t>
        </is>
      </c>
      <c r="C26" s="16" t="n">
        <v>2</v>
      </c>
      <c r="D26" s="17" t="inlineStr">
        <is>
          <t>2단계</t>
        </is>
      </c>
      <c r="E26" s="16" t="n">
        <v>25</v>
      </c>
      <c r="F26" s="18" t="inlineStr">
        <is>
          <t>환경경영 미션/비전/지향점만 제시하고 있는 경우</t>
        </is>
      </c>
    </row>
    <row r="27" ht="15" customHeight="1">
      <c r="A27" s="27" t="inlineStr">
        <is>
          <t>E-1-1</t>
        </is>
      </c>
      <c r="B27" s="28" t="inlineStr">
        <is>
          <t>환경경영 목표 수립</t>
        </is>
      </c>
      <c r="C27" s="26" t="n">
        <v>3</v>
      </c>
      <c r="D27" s="27" t="inlineStr">
        <is>
          <t>3단계</t>
        </is>
      </c>
      <c r="E27" s="26" t="n">
        <v>50</v>
      </c>
      <c r="F27" s="27" t="inlineStr">
        <is>
          <t>2단계 + 조직의 환경 분야 핵심이슈에 대한 단기 목표만 설정하고 있는 경우</t>
        </is>
      </c>
    </row>
    <row r="28" ht="15" customHeight="1">
      <c r="A28" s="17" t="inlineStr">
        <is>
          <t>E-1-1</t>
        </is>
      </c>
      <c r="B28" s="18" t="inlineStr">
        <is>
          <t>환경경영 목표 수립</t>
        </is>
      </c>
      <c r="C28" s="16" t="n">
        <v>4</v>
      </c>
      <c r="D28" s="17" t="inlineStr">
        <is>
          <t>4단계</t>
        </is>
      </c>
      <c r="E28" s="16" t="n">
        <v>75</v>
      </c>
      <c r="F28" s="17" t="inlineStr">
        <is>
          <t>3단계 + 중장기 목표까지 수립하고 있는 경우</t>
        </is>
      </c>
    </row>
    <row r="29" ht="15" customHeight="1">
      <c r="A29" s="27" t="inlineStr">
        <is>
          <t>E-1-1</t>
        </is>
      </c>
      <c r="B29" s="28" t="inlineStr">
        <is>
          <t>환경경영 목표 수립</t>
        </is>
      </c>
      <c r="C29" s="26" t="n">
        <v>5</v>
      </c>
      <c r="D29" s="27" t="inlineStr">
        <is>
          <t>5단계</t>
        </is>
      </c>
      <c r="E29" s="26" t="n">
        <v>100</v>
      </c>
      <c r="F29" s="27" t="inlineStr">
        <is>
          <t>4단계 + 중장기 목표 달성을 위한 과제와, 이행점검 지표를 마련한 경우</t>
        </is>
      </c>
    </row>
    <row r="30" ht="29.25" customHeight="1">
      <c r="A30" s="17" t="inlineStr">
        <is>
          <t>E-1-2</t>
        </is>
      </c>
      <c r="B30" s="18" t="inlineStr">
        <is>
          <t>환경경영 추진체계</t>
        </is>
      </c>
      <c r="C30" s="16" t="n">
        <v>1</v>
      </c>
      <c r="D30" s="18" t="inlineStr">
        <is>
          <t>요건1</t>
        </is>
      </c>
      <c r="E30" s="16" t="n">
        <v>0</v>
      </c>
      <c r="F30" s="18" t="inlineStr">
        <is>
          <t>환경경영 추진을 위한 전사 거버넌스 체계를 구축하고 있는 경우 (전담조직, 실무협의회, 경영회의 및 내부점검체계 등)</t>
        </is>
      </c>
    </row>
    <row r="31" ht="29.25" customHeight="1">
      <c r="A31" s="27" t="inlineStr">
        <is>
          <t>E-1-2</t>
        </is>
      </c>
      <c r="B31" s="28" t="inlineStr">
        <is>
          <t>환경경영 추진체계</t>
        </is>
      </c>
      <c r="C31" s="26" t="n">
        <v>2</v>
      </c>
      <c r="D31" s="28" t="inlineStr">
        <is>
          <t>요건2</t>
        </is>
      </c>
      <c r="E31" s="26" t="n">
        <v>25</v>
      </c>
      <c r="F31" s="28" t="inlineStr">
        <is>
          <t>환경경영 추진을 위한 전사 전담조직을 운영하고 있는 경우 (전사 환경경영 기획, 점검, 성과관리 등 실행업무 담당)</t>
        </is>
      </c>
    </row>
    <row r="32" ht="15" customHeight="1">
      <c r="A32" s="17" t="inlineStr">
        <is>
          <t>E-1-2</t>
        </is>
      </c>
      <c r="B32" s="18" t="inlineStr">
        <is>
          <t>환경경영 추진체계</t>
        </is>
      </c>
      <c r="C32" s="16" t="n">
        <v>3</v>
      </c>
      <c r="D32" s="18" t="inlineStr">
        <is>
          <t>요건3</t>
        </is>
      </c>
      <c r="E32" s="16" t="n">
        <v>50</v>
      </c>
      <c r="F32" s="18" t="inlineStr">
        <is>
          <t>환경경영 과제 실행에 필요한 자원을 투입하고 있는 경우 (환경투자 예산, 역량강화 교육, 내외부 전문인력 등)</t>
        </is>
      </c>
    </row>
    <row r="33" ht="29.25" customHeight="1">
      <c r="A33" s="27" t="inlineStr">
        <is>
          <t>E-1-2</t>
        </is>
      </c>
      <c r="B33" s="28" t="inlineStr">
        <is>
          <t>환경경영 추진체계</t>
        </is>
      </c>
      <c r="C33" s="26" t="n">
        <v>4</v>
      </c>
      <c r="D33" s="28" t="inlineStr">
        <is>
          <t>요건4</t>
        </is>
      </c>
      <c r="E33" s="26" t="n">
        <v>75</v>
      </c>
      <c r="F33" s="28" t="inlineStr">
        <is>
          <t>환경경영 추진 현황을 점검/분석/평가하는 시스템이 있는 경우 (IT기반 모니터링 시스템, 과제점검 회의, 제3자 의견수렴 등)</t>
        </is>
      </c>
    </row>
    <row r="34" ht="29.25" customHeight="1">
      <c r="A34" s="17" t="inlineStr">
        <is>
          <t>E-1-2</t>
        </is>
      </c>
      <c r="B34" s="18" t="inlineStr">
        <is>
          <t>환경경영 추진체계</t>
        </is>
      </c>
      <c r="C34" s="16" t="n">
        <v>5</v>
      </c>
      <c r="D34" s="18" t="inlineStr">
        <is>
          <t>요건5</t>
        </is>
      </c>
      <c r="E34" s="16" t="n">
        <v>100</v>
      </c>
      <c r="F34" s="18" t="inlineStr">
        <is>
          <t>환경경영 과제 이행현황이 경영진 포함 관련 구성원의 성과평가지표(KPIs)에 반영되어 있는 경우 * 선택 항목의 합산값으로 평가</t>
        </is>
      </c>
    </row>
    <row r="35" ht="15" customHeight="1">
      <c r="A35" s="27" t="inlineStr">
        <is>
          <t>E-2-1</t>
        </is>
      </c>
      <c r="B35" s="28" t="inlineStr">
        <is>
          <t>원부자재 사용량</t>
        </is>
      </c>
      <c r="C35" s="26" t="n">
        <v>1</v>
      </c>
      <c r="D35" s="27" t="inlineStr">
        <is>
          <t>1단계</t>
        </is>
      </c>
      <c r="E35" s="26" t="n">
        <v>0</v>
      </c>
      <c r="F35" s="28" t="inlineStr">
        <is>
          <t>지난 4개년 원단위 원부자재 사용량 증가 추세</t>
        </is>
      </c>
    </row>
    <row r="36" ht="15" customHeight="1">
      <c r="A36" s="17" t="inlineStr">
        <is>
          <t>E-2-1</t>
        </is>
      </c>
      <c r="B36" s="18" t="inlineStr">
        <is>
          <t>원부자재 사용량</t>
        </is>
      </c>
      <c r="C36" s="16" t="n">
        <v>2</v>
      </c>
      <c r="D36" s="17" t="inlineStr">
        <is>
          <t>2단계</t>
        </is>
      </c>
      <c r="E36" s="16" t="n">
        <v>50</v>
      </c>
      <c r="F36" s="18" t="inlineStr">
        <is>
          <t>지난 4개년 원단위 원부자재 사용량 변동 없음</t>
        </is>
      </c>
    </row>
    <row r="37" ht="29.25" customHeight="1">
      <c r="A37" s="27" t="inlineStr">
        <is>
          <t>E-2-1</t>
        </is>
      </c>
      <c r="B37" s="28" t="inlineStr">
        <is>
          <t>원부자재 사용량</t>
        </is>
      </c>
      <c r="C37" s="26" t="n">
        <v>3</v>
      </c>
      <c r="D37" s="27" t="inlineStr">
        <is>
          <t>3단계</t>
        </is>
      </c>
      <c r="E37" s="26" t="n">
        <v>100</v>
      </c>
      <c r="F37" s="28" t="inlineStr">
        <is>
          <t>지난 4개년 원단위 원부자재 사용량 감소 추세 * 원단위 원부자재 사용량을 관리하지 않는 경우 0점 적용 * 3개년 이하 데이터 보유 시 해당 데이터로 추세 산정 * '유지 추세'로 판단할 경우 2단계로 적용하여 평가</t>
        </is>
      </c>
    </row>
    <row r="38" ht="15" customHeight="1">
      <c r="A38" s="17" t="inlineStr">
        <is>
          <t>E-2-2</t>
        </is>
      </c>
      <c r="B38" s="18" t="inlineStr">
        <is>
          <t>재생 원부자재 비율</t>
        </is>
      </c>
      <c r="C38" s="16" t="n">
        <v>1</v>
      </c>
      <c r="D38" s="17" t="inlineStr">
        <is>
          <t>1단계</t>
        </is>
      </c>
      <c r="E38" s="16" t="n">
        <v>0</v>
      </c>
      <c r="F38" s="18" t="inlineStr">
        <is>
          <t>지난 4개년 재생 원부자재 사용 비율 감소 추세</t>
        </is>
      </c>
    </row>
    <row r="39" ht="15" customHeight="1">
      <c r="A39" s="27" t="inlineStr">
        <is>
          <t>E-2-2</t>
        </is>
      </c>
      <c r="B39" s="28" t="inlineStr">
        <is>
          <t>재생 원부자재 비율</t>
        </is>
      </c>
      <c r="C39" s="26" t="n">
        <v>2</v>
      </c>
      <c r="D39" s="27" t="inlineStr">
        <is>
          <t>2단계</t>
        </is>
      </c>
      <c r="E39" s="26" t="n">
        <v>50</v>
      </c>
      <c r="F39" s="28" t="inlineStr">
        <is>
          <t>지난 4개년 재생 원부자재 사용 비율 변동 없음</t>
        </is>
      </c>
    </row>
    <row r="40" ht="43.5" customHeight="1">
      <c r="A40" s="17" t="inlineStr">
        <is>
          <t>E-2-2</t>
        </is>
      </c>
      <c r="B40" s="18" t="inlineStr">
        <is>
          <t>재생 원부자재 비율</t>
        </is>
      </c>
      <c r="C40" s="16" t="n">
        <v>3</v>
      </c>
      <c r="D40" s="17" t="inlineStr">
        <is>
          <t>3단계</t>
        </is>
      </c>
      <c r="E40" s="16" t="n">
        <v>100</v>
      </c>
      <c r="F40" s="18" t="inlineStr">
        <is>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is>
      </c>
    </row>
    <row r="41" ht="26.25" customHeight="1">
      <c r="A41" s="27" t="inlineStr">
        <is>
          <t>E-3-1</t>
        </is>
      </c>
      <c r="B41" s="28" t="inlineStr">
        <is>
          <t>온실가스 배출량 (Scope1 &amp; Scope2)</t>
        </is>
      </c>
      <c r="C41" s="26" t="n">
        <v>1</v>
      </c>
      <c r="D41" s="27" t="inlineStr">
        <is>
          <t>1단계</t>
        </is>
      </c>
      <c r="E41" s="26" t="n">
        <v>0</v>
      </c>
      <c r="F41" s="28" t="inlineStr">
        <is>
          <t>지난 4개년 원단위 온실가스 배출량 증가 추세</t>
        </is>
      </c>
    </row>
    <row r="42" ht="26.25" customHeight="1">
      <c r="A42" s="17" t="inlineStr">
        <is>
          <t>E-3-1</t>
        </is>
      </c>
      <c r="B42" s="18" t="inlineStr">
        <is>
          <t>온실가스 배출량 (Scope1 &amp; Scope2)</t>
        </is>
      </c>
      <c r="C42" s="16" t="n">
        <v>2</v>
      </c>
      <c r="D42" s="17" t="inlineStr">
        <is>
          <t>2단계</t>
        </is>
      </c>
      <c r="E42" s="16" t="n">
        <v>50</v>
      </c>
      <c r="F42" s="18" t="inlineStr">
        <is>
          <t>지난 4개년 원단위 온실가스 배출량 변동 없음</t>
        </is>
      </c>
    </row>
    <row r="43" ht="43.5" customHeight="1">
      <c r="A43" s="27" t="inlineStr">
        <is>
          <t>E-3-1</t>
        </is>
      </c>
      <c r="B43" s="28" t="inlineStr">
        <is>
          <t>온실가스 배출량 (Scope1 &amp; Scope2)</t>
        </is>
      </c>
      <c r="C43" s="26" t="n">
        <v>3</v>
      </c>
      <c r="D43" s="27" t="inlineStr">
        <is>
          <t>3단계</t>
        </is>
      </c>
      <c r="E43" s="26" t="n">
        <v>100</v>
      </c>
      <c r="F43" s="28" t="inlineStr">
        <is>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is>
      </c>
    </row>
    <row r="44" ht="29.25" customHeight="1">
      <c r="A44" s="17" t="inlineStr">
        <is>
          <t>E-3-3</t>
        </is>
      </c>
      <c r="B44" s="18" t="inlineStr">
        <is>
          <t>온실가스 배출량 검증</t>
        </is>
      </c>
      <c r="C44" s="16" t="n">
        <v>1</v>
      </c>
      <c r="D44" s="18" t="inlineStr">
        <is>
          <t>요건1</t>
        </is>
      </c>
      <c r="E44" s="16" t="n">
        <v>0</v>
      </c>
      <c r="F44" s="18" t="inlineStr">
        <is>
          <t>검증의견서에 검증기관(또는 검증인)이 명시되어 있는 경우 (또는, 검증기관이 License Number를 갖추고 있는 경우)</t>
        </is>
      </c>
    </row>
    <row r="45" ht="29.25" customHeight="1">
      <c r="A45" s="27" t="inlineStr">
        <is>
          <t>E-3-3</t>
        </is>
      </c>
      <c r="B45" s="28" t="inlineStr">
        <is>
          <t>온실가스 배출량 검증</t>
        </is>
      </c>
      <c r="C45" s="26" t="n">
        <v>2</v>
      </c>
      <c r="D45" s="28" t="inlineStr">
        <is>
          <t>요건2</t>
        </is>
      </c>
      <c r="E45" s="26" t="n">
        <v>25</v>
      </c>
      <c r="F45" s="28" t="inlineStr">
        <is>
          <t>검증의견서에 검증표준(방법론)이 제시되어 있는 경우 (온실가스 배출권거래제의 배출량 보고 및 인증에 관한 지침, GHG Protocol, ISO14064-1 등)</t>
        </is>
      </c>
    </row>
    <row r="46" ht="15" customHeight="1">
      <c r="A46" s="17" t="inlineStr">
        <is>
          <t>E-3-3</t>
        </is>
      </c>
      <c r="B46" s="18" t="inlineStr">
        <is>
          <t>온실가스 배출량 검증</t>
        </is>
      </c>
      <c r="C46" s="16" t="n">
        <v>3</v>
      </c>
      <c r="D46" s="18" t="inlineStr">
        <is>
          <t>요건3</t>
        </is>
      </c>
      <c r="E46" s="16" t="n">
        <v>50</v>
      </c>
      <c r="F46" s="18" t="inlineStr">
        <is>
          <t>검증의견서에 ESG 정보 검증수준을 공개하고 있는 경우 (전체/일부 데이터 검증, 제한적/합리적 보증 등)</t>
        </is>
      </c>
    </row>
    <row r="47" ht="29.25" customHeight="1">
      <c r="A47" s="27" t="inlineStr">
        <is>
          <t>E-3-3</t>
        </is>
      </c>
      <c r="B47" s="28" t="inlineStr">
        <is>
          <t>온실가스 배출량 검증</t>
        </is>
      </c>
      <c r="C47" s="26" t="n">
        <v>4</v>
      </c>
      <c r="D47" s="28" t="inlineStr">
        <is>
          <t>요건4</t>
        </is>
      </c>
      <c r="E47" s="26" t="n">
        <v>75</v>
      </c>
      <c r="F47" s="28" t="inlineStr">
        <is>
          <t>제3자 검증기관이 검증한 온실가스 배출량 검증 범위가 적시되어 있는 경우 (즉, 조직의 사업장 중 온실가스 배출량을 검증받은 사업장 및 지역 등)</t>
        </is>
      </c>
    </row>
    <row r="48" ht="29.25" customHeight="1">
      <c r="A48" s="17" t="inlineStr">
        <is>
          <t>E-3-3</t>
        </is>
      </c>
      <c r="B48" s="18" t="inlineStr">
        <is>
          <t>온실가스 배출량 검증</t>
        </is>
      </c>
      <c r="C48" s="16" t="n">
        <v>5</v>
      </c>
      <c r="D48" s="18" t="inlineStr">
        <is>
          <t>요건5</t>
        </is>
      </c>
      <c r="E48" s="16" t="n">
        <v>100</v>
      </c>
      <c r="F48" s="18" t="inlineStr">
        <is>
          <t>조직의 온실가스 관리에 관한 제3자 검증기관 의견이 명시되어 있는 경우 (온실가스 관리 시스템 개선, 향후 검증값의 변동가능성 등)</t>
        </is>
      </c>
    </row>
    <row r="49" ht="15" customHeight="1">
      <c r="A49" s="27" t="inlineStr">
        <is>
          <t>E-4-1</t>
        </is>
      </c>
      <c r="B49" s="28" t="inlineStr">
        <is>
          <t>에너지 사용량</t>
        </is>
      </c>
      <c r="C49" s="26" t="n">
        <v>1</v>
      </c>
      <c r="D49" s="27" t="inlineStr">
        <is>
          <t>1단계</t>
        </is>
      </c>
      <c r="E49" s="26" t="n">
        <v>0</v>
      </c>
      <c r="F49" s="28" t="inlineStr">
        <is>
          <t>지난 4개년 원단위 에너지 사용량이 증가 추세</t>
        </is>
      </c>
    </row>
    <row r="50" ht="15" customHeight="1">
      <c r="A50" s="17" t="inlineStr">
        <is>
          <t>E-4-1</t>
        </is>
      </c>
      <c r="B50" s="18" t="inlineStr">
        <is>
          <t>에너지 사용량</t>
        </is>
      </c>
      <c r="C50" s="16" t="n">
        <v>2</v>
      </c>
      <c r="D50" s="17" t="inlineStr">
        <is>
          <t>2단계</t>
        </is>
      </c>
      <c r="E50" s="16" t="n">
        <v>50</v>
      </c>
      <c r="F50" s="18" t="inlineStr">
        <is>
          <t>지난 4개년 원단위 에너지 사용량이 변동 없음</t>
        </is>
      </c>
    </row>
    <row r="51" ht="29.25" customHeight="1">
      <c r="A51" s="27" t="inlineStr">
        <is>
          <t>E-4-1</t>
        </is>
      </c>
      <c r="B51" s="28" t="inlineStr">
        <is>
          <t>에너지 사용량</t>
        </is>
      </c>
      <c r="C51" s="26" t="n">
        <v>3</v>
      </c>
      <c r="D51" s="27" t="inlineStr">
        <is>
          <t>3단계</t>
        </is>
      </c>
      <c r="E51" s="26" t="n">
        <v>100</v>
      </c>
      <c r="F51" s="28" t="inlineStr">
        <is>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is>
      </c>
    </row>
    <row r="52" ht="15" customHeight="1">
      <c r="A52" s="17" t="inlineStr">
        <is>
          <t>E-4-2</t>
        </is>
      </c>
      <c r="B52" s="18" t="inlineStr">
        <is>
          <t>재생에너지 사용 비율</t>
        </is>
      </c>
      <c r="C52" s="16" t="n">
        <v>1</v>
      </c>
      <c r="D52" s="17" t="inlineStr">
        <is>
          <t>1단계</t>
        </is>
      </c>
      <c r="E52" s="16" t="n">
        <v>0</v>
      </c>
      <c r="F52" s="18" t="inlineStr">
        <is>
          <t>지난 4개년 재생에너지 사용비율이 감소 추세</t>
        </is>
      </c>
    </row>
    <row r="53" ht="15" customHeight="1">
      <c r="A53" s="27" t="inlineStr">
        <is>
          <t>E-4-2</t>
        </is>
      </c>
      <c r="B53" s="28" t="inlineStr">
        <is>
          <t>재생에너지 사용 비율</t>
        </is>
      </c>
      <c r="C53" s="26" t="n">
        <v>2</v>
      </c>
      <c r="D53" s="27" t="inlineStr">
        <is>
          <t>2단계</t>
        </is>
      </c>
      <c r="E53" s="26" t="n">
        <v>50</v>
      </c>
      <c r="F53" s="28" t="inlineStr">
        <is>
          <t>지난 4개년 재생에너지 사용비율이 변동 없음</t>
        </is>
      </c>
    </row>
    <row r="54" ht="43.5" customHeight="1">
      <c r="A54" s="17" t="inlineStr">
        <is>
          <t>E-4-2</t>
        </is>
      </c>
      <c r="B54" s="18" t="inlineStr">
        <is>
          <t>재생에너지 사용 비율</t>
        </is>
      </c>
      <c r="C54" s="16" t="n">
        <v>3</v>
      </c>
      <c r="D54" s="17" t="inlineStr">
        <is>
          <t>3단계</t>
        </is>
      </c>
      <c r="E54" s="16" t="n">
        <v>100</v>
      </c>
      <c r="F54" s="18" t="inlineStr">
        <is>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is>
      </c>
    </row>
    <row r="55" ht="15" customHeight="1">
      <c r="A55" s="27" t="inlineStr">
        <is>
          <t>E-5-1</t>
        </is>
      </c>
      <c r="B55" s="28" t="inlineStr">
        <is>
          <t>용수 사용량</t>
        </is>
      </c>
      <c r="C55" s="26" t="n">
        <v>1</v>
      </c>
      <c r="D55" s="27" t="inlineStr">
        <is>
          <t>1단계</t>
        </is>
      </c>
      <c r="E55" s="26" t="n">
        <v>0</v>
      </c>
      <c r="F55" s="28" t="inlineStr">
        <is>
          <t>지난 4개년 원단위 용수 사용량이 증가 추세</t>
        </is>
      </c>
    </row>
    <row r="56" ht="15" customHeight="1">
      <c r="A56" s="17" t="inlineStr">
        <is>
          <t>E-5-1</t>
        </is>
      </c>
      <c r="B56" s="18" t="inlineStr">
        <is>
          <t>용수 사용량</t>
        </is>
      </c>
      <c r="C56" s="16" t="n">
        <v>2</v>
      </c>
      <c r="D56" s="17" t="inlineStr">
        <is>
          <t>2단계</t>
        </is>
      </c>
      <c r="E56" s="16" t="n">
        <v>50</v>
      </c>
      <c r="F56" s="18" t="inlineStr">
        <is>
          <t>지난 4개년 원단위 용수 사용량이 변동 없음</t>
        </is>
      </c>
    </row>
    <row r="57" ht="29.25" customHeight="1">
      <c r="A57" s="27" t="inlineStr">
        <is>
          <t>E-5-1</t>
        </is>
      </c>
      <c r="B57" s="28" t="inlineStr">
        <is>
          <t>용수 사용량</t>
        </is>
      </c>
      <c r="C57" s="26" t="n">
        <v>3</v>
      </c>
      <c r="D57" s="27" t="inlineStr">
        <is>
          <t>3단계</t>
        </is>
      </c>
      <c r="E57" s="26" t="n">
        <v>100</v>
      </c>
      <c r="F57" s="28" t="inlineStr">
        <is>
          <t>지난 4개년 원단위 용수 사용량이 감소 추세 * 원단위 용수 사용량을 관리하고 있지 않은 경우 0점 적용 * 3개년 이하 데이터 보유 시 해당 데이터로 추세 산정 * '유지 추세'로 판단할 경우 2단계로 적용하여 평가</t>
        </is>
      </c>
    </row>
    <row r="58" ht="15" customHeight="1">
      <c r="A58" s="17" t="inlineStr">
        <is>
          <t>E-5-2</t>
        </is>
      </c>
      <c r="B58" s="18" t="inlineStr">
        <is>
          <t>재사용 용수 비율</t>
        </is>
      </c>
      <c r="C58" s="16" t="n">
        <v>1</v>
      </c>
      <c r="D58" s="17" t="inlineStr">
        <is>
          <t>1단계</t>
        </is>
      </c>
      <c r="E58" s="16" t="n">
        <v>0</v>
      </c>
      <c r="F58" s="18" t="inlineStr">
        <is>
          <t>지난 4개년 재사용 용수 비율이 감소 추세</t>
        </is>
      </c>
    </row>
    <row r="59" ht="15" customHeight="1">
      <c r="A59" s="27" t="inlineStr">
        <is>
          <t>E-5-2</t>
        </is>
      </c>
      <c r="B59" s="28" t="inlineStr">
        <is>
          <t>재사용 용수 비율</t>
        </is>
      </c>
      <c r="C59" s="26" t="n">
        <v>2</v>
      </c>
      <c r="D59" s="27" t="inlineStr">
        <is>
          <t>2단계</t>
        </is>
      </c>
      <c r="E59" s="26" t="n">
        <v>50</v>
      </c>
      <c r="F59" s="28" t="inlineStr">
        <is>
          <t>지난 4개년 재사용 용수 비율이 변동 없음</t>
        </is>
      </c>
    </row>
    <row r="60" ht="43.5" customHeight="1">
      <c r="A60" s="17" t="inlineStr">
        <is>
          <t>E-5-2</t>
        </is>
      </c>
      <c r="B60" s="18" t="inlineStr">
        <is>
          <t>재사용 용수 비율</t>
        </is>
      </c>
      <c r="C60" s="16" t="n">
        <v>3</v>
      </c>
      <c r="D60" s="17" t="inlineStr">
        <is>
          <t>3단계</t>
        </is>
      </c>
      <c r="E60" s="16" t="n">
        <v>100</v>
      </c>
      <c r="F60" s="18" t="inlineStr">
        <is>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is>
      </c>
    </row>
    <row r="61" ht="15" customHeight="1">
      <c r="A61" s="27" t="inlineStr">
        <is>
          <t>E-6-1</t>
        </is>
      </c>
      <c r="B61" s="28" t="inlineStr">
        <is>
          <t>폐기물 배출량</t>
        </is>
      </c>
      <c r="C61" s="26" t="n">
        <v>1</v>
      </c>
      <c r="D61" s="27" t="inlineStr">
        <is>
          <t>1단계</t>
        </is>
      </c>
      <c r="E61" s="26" t="n">
        <v>0</v>
      </c>
      <c r="F61" s="28" t="inlineStr">
        <is>
          <t>지난 4개년 원단위 폐기물 배출량이 증가 추세</t>
        </is>
      </c>
    </row>
    <row r="62" ht="15" customHeight="1">
      <c r="A62" s="17" t="inlineStr">
        <is>
          <t>E-6-1</t>
        </is>
      </c>
      <c r="B62" s="18" t="inlineStr">
        <is>
          <t>폐기물 배출량</t>
        </is>
      </c>
      <c r="C62" s="16" t="n">
        <v>2</v>
      </c>
      <c r="D62" s="17" t="inlineStr">
        <is>
          <t>2단계</t>
        </is>
      </c>
      <c r="E62" s="16" t="n">
        <v>50</v>
      </c>
      <c r="F62" s="18" t="inlineStr">
        <is>
          <t>지난 4개년 원단위 폐기물 배출량이 변동 없음</t>
        </is>
      </c>
    </row>
    <row r="63" ht="29.25" customHeight="1">
      <c r="A63" s="27" t="inlineStr">
        <is>
          <t>E-6-1</t>
        </is>
      </c>
      <c r="B63" s="28" t="inlineStr">
        <is>
          <t>폐기물 배출량</t>
        </is>
      </c>
      <c r="C63" s="26" t="n">
        <v>3</v>
      </c>
      <c r="D63" s="27" t="inlineStr">
        <is>
          <t>3단계</t>
        </is>
      </c>
      <c r="E63" s="26" t="n">
        <v>100</v>
      </c>
      <c r="F63" s="28" t="inlineStr">
        <is>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is>
      </c>
    </row>
    <row r="64" ht="15" customHeight="1">
      <c r="A64" s="17" t="inlineStr">
        <is>
          <t>E-6-2</t>
        </is>
      </c>
      <c r="B64" s="18" t="inlineStr">
        <is>
          <t>폐기물 재활용 비율</t>
        </is>
      </c>
      <c r="C64" s="16" t="n">
        <v>1</v>
      </c>
      <c r="D64" s="17" t="inlineStr">
        <is>
          <t>1단계</t>
        </is>
      </c>
      <c r="E64" s="16" t="n">
        <v>0</v>
      </c>
      <c r="F64" s="18" t="inlineStr">
        <is>
          <t>지난 4개년 폐기물 재활용 비율이 감소 추세</t>
        </is>
      </c>
    </row>
    <row r="65" ht="15" customHeight="1">
      <c r="A65" s="27" t="inlineStr">
        <is>
          <t>E-6-2</t>
        </is>
      </c>
      <c r="B65" s="28" t="inlineStr">
        <is>
          <t>폐기물 재활용 비율</t>
        </is>
      </c>
      <c r="C65" s="26" t="n">
        <v>2</v>
      </c>
      <c r="D65" s="27" t="inlineStr">
        <is>
          <t>2단계</t>
        </is>
      </c>
      <c r="E65" s="26" t="n">
        <v>50</v>
      </c>
      <c r="F65" s="28" t="inlineStr">
        <is>
          <t>지난 4개년 폐기물 재활용 비율이 변동 없음</t>
        </is>
      </c>
    </row>
    <row r="66" ht="43.5" customHeight="1">
      <c r="A66" s="17" t="inlineStr">
        <is>
          <t>E-6-2</t>
        </is>
      </c>
      <c r="B66" s="18" t="inlineStr">
        <is>
          <t>폐기물 재활용 비율</t>
        </is>
      </c>
      <c r="C66" s="16" t="n">
        <v>3</v>
      </c>
      <c r="D66" s="17" t="inlineStr">
        <is>
          <t>3단계</t>
        </is>
      </c>
      <c r="E66" s="16" t="n">
        <v>100</v>
      </c>
      <c r="F66" s="18" t="inlineStr">
        <is>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is>
      </c>
    </row>
    <row r="67" ht="15" customHeight="1">
      <c r="A67" s="27" t="inlineStr">
        <is>
          <t>E-7-1</t>
        </is>
      </c>
      <c r="B67" s="28" t="inlineStr">
        <is>
          <t>대기오염물질 배출량</t>
        </is>
      </c>
      <c r="C67" s="26" t="n">
        <v>1</v>
      </c>
      <c r="D67" s="27" t="inlineStr">
        <is>
          <t>1단계</t>
        </is>
      </c>
      <c r="E67" s="26" t="n">
        <v>0</v>
      </c>
      <c r="F67" s="28" t="inlineStr">
        <is>
          <t>지난 4개년 대기오염물질 평균 배출농도가 증가 추세</t>
        </is>
      </c>
    </row>
    <row r="68" ht="15" customHeight="1">
      <c r="A68" s="17" t="inlineStr">
        <is>
          <t>E-7-1</t>
        </is>
      </c>
      <c r="B68" s="18" t="inlineStr">
        <is>
          <t>대기오염물질 배출량</t>
        </is>
      </c>
      <c r="C68" s="16" t="n">
        <v>2</v>
      </c>
      <c r="D68" s="17" t="inlineStr">
        <is>
          <t>2단계</t>
        </is>
      </c>
      <c r="E68" s="16" t="n">
        <v>50</v>
      </c>
      <c r="F68" s="18" t="inlineStr">
        <is>
          <t>지난 4개년 대기오염물질 평균 배출농도가 변동 없음</t>
        </is>
      </c>
    </row>
    <row r="69" ht="43.5" customHeight="1">
      <c r="A69" s="27" t="inlineStr">
        <is>
          <t>E-7-1</t>
        </is>
      </c>
      <c r="B69" s="28" t="inlineStr">
        <is>
          <t>대기오염물질 배출량</t>
        </is>
      </c>
      <c r="C69" s="26" t="n">
        <v>3</v>
      </c>
      <c r="D69" s="27" t="inlineStr">
        <is>
          <t>3단계</t>
        </is>
      </c>
      <c r="E69" s="26" t="n">
        <v>100</v>
      </c>
      <c r="F69" s="28" t="inlineStr">
        <is>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is>
      </c>
    </row>
    <row r="70" ht="15" customHeight="1">
      <c r="A70" s="17" t="inlineStr">
        <is>
          <t>E-7-2</t>
        </is>
      </c>
      <c r="B70" s="18" t="inlineStr">
        <is>
          <t>수질오염물질 배출량</t>
        </is>
      </c>
      <c r="C70" s="16" t="n">
        <v>1</v>
      </c>
      <c r="D70" s="17" t="inlineStr">
        <is>
          <t>1단계</t>
        </is>
      </c>
      <c r="E70" s="16" t="n">
        <v>0</v>
      </c>
      <c r="F70" s="18" t="inlineStr">
        <is>
          <t>지난 4개년 수질오염물질 평균 배출농도가 증가 추세</t>
        </is>
      </c>
    </row>
    <row r="71" ht="15" customHeight="1">
      <c r="A71" s="27" t="inlineStr">
        <is>
          <t>E-7-2</t>
        </is>
      </c>
      <c r="B71" s="28" t="inlineStr">
        <is>
          <t>수질오염물질 배출량</t>
        </is>
      </c>
      <c r="C71" s="26" t="n">
        <v>2</v>
      </c>
      <c r="D71" s="27" t="inlineStr">
        <is>
          <t>2단계</t>
        </is>
      </c>
      <c r="E71" s="26" t="n">
        <v>50</v>
      </c>
      <c r="F71" s="28" t="inlineStr">
        <is>
          <t>지난 4개년 수질오염물질 평균 배출농도가 변동 없음</t>
        </is>
      </c>
    </row>
    <row r="72" ht="43.5" customHeight="1">
      <c r="A72" s="17" t="inlineStr">
        <is>
          <t>E-7-2</t>
        </is>
      </c>
      <c r="B72" s="18" t="inlineStr">
        <is>
          <t>수질오염물질 배출량</t>
        </is>
      </c>
      <c r="C72" s="16" t="n">
        <v>3</v>
      </c>
      <c r="D72" s="17" t="inlineStr">
        <is>
          <t>3단계</t>
        </is>
      </c>
      <c r="E72" s="16" t="n">
        <v>100</v>
      </c>
      <c r="F72" s="18" t="inlineStr">
        <is>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is>
      </c>
    </row>
    <row r="73" ht="29.25" customHeight="1">
      <c r="A73" s="27" t="inlineStr">
        <is>
          <t>E-9-1</t>
        </is>
      </c>
      <c r="B73" s="28" t="inlineStr">
        <is>
          <t>친환경 인증 제품 및 서비스 비율</t>
        </is>
      </c>
      <c r="C73" s="26" t="n">
        <v>1</v>
      </c>
      <c r="D73" s="27" t="inlineStr">
        <is>
          <t>1단계</t>
        </is>
      </c>
      <c r="E73" s="26" t="n">
        <v>100</v>
      </c>
      <c r="F73" s="28" t="inlineStr">
        <is>
          <t>친환경 인증을 획득한 제품 및 서비스, 또는 친환경 인증 원부자재 등이 포함된 제품군의 매출비율이 증가 추세</t>
        </is>
      </c>
    </row>
    <row r="74" ht="29.25" customHeight="1">
      <c r="A74" s="17" t="inlineStr">
        <is>
          <t>E-9-1</t>
        </is>
      </c>
      <c r="B74" s="18" t="inlineStr">
        <is>
          <t>친환경 인증 제품 및 서비스 비율</t>
        </is>
      </c>
      <c r="C74" s="16" t="n">
        <v>2</v>
      </c>
      <c r="D74" s="17" t="inlineStr">
        <is>
          <t>2단계</t>
        </is>
      </c>
      <c r="E74" s="16" t="n">
        <v>50</v>
      </c>
      <c r="F74" s="18" t="inlineStr">
        <is>
          <t>친환경 인증을 획득한 제품 및 서비스, 또는 친환경 인증 원부자재 등이 포함된 제품군의 매출비율이 변동 없음</t>
        </is>
      </c>
    </row>
    <row r="75" ht="43.5" customHeight="1">
      <c r="A75" s="27" t="inlineStr">
        <is>
          <t>E-9-1</t>
        </is>
      </c>
      <c r="B75" s="28" t="inlineStr">
        <is>
          <t>친환경 인증 제품 및 서비스 비율</t>
        </is>
      </c>
      <c r="C75" s="26" t="n">
        <v>3</v>
      </c>
      <c r="D75" s="27" t="inlineStr">
        <is>
          <t>3단계</t>
        </is>
      </c>
      <c r="E75" s="26" t="n">
        <v>0</v>
      </c>
      <c r="F75" s="28" t="inlineStr">
        <is>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is>
      </c>
    </row>
    <row r="76" ht="15" customHeight="1">
      <c r="A76" s="17" t="inlineStr">
        <is>
          <t>E-10-1</t>
        </is>
      </c>
      <c r="B76" s="18" t="inlineStr">
        <is>
          <t>기후변화 거버넌스</t>
        </is>
      </c>
      <c r="C76" s="16" t="n">
        <v>1</v>
      </c>
      <c r="D76" s="17" t="inlineStr">
        <is>
          <t>1단계</t>
        </is>
      </c>
      <c r="E76" s="16" t="n">
        <v>0</v>
      </c>
      <c r="F76" s="18" t="inlineStr">
        <is>
          <t>기후변화 문제에 대응할 수 있는 담당자(혹은 기구)가 없음</t>
        </is>
      </c>
    </row>
    <row r="77" ht="29.25" customHeight="1">
      <c r="A77" s="27" t="inlineStr">
        <is>
          <t>E-10-1</t>
        </is>
      </c>
      <c r="B77" s="28" t="inlineStr">
        <is>
          <t>기후변화 거버넌스</t>
        </is>
      </c>
      <c r="C77" s="26" t="n">
        <v>2</v>
      </c>
      <c r="D77" s="27" t="inlineStr">
        <is>
          <t>2단계</t>
        </is>
      </c>
      <c r="E77" s="26" t="n">
        <v>25</v>
      </c>
      <c r="F77" s="28" t="inlineStr">
        <is>
          <t>기후변화 문제에 대응하기 위한 관리자(혹은 담당부서)가 있으며, 담당부서의 KPIs에 조직의 기후변화 대응 목표가 반영되어 있음</t>
        </is>
      </c>
    </row>
    <row r="78" ht="29.25" customHeight="1">
      <c r="A78" s="17" t="inlineStr">
        <is>
          <t>E-10-1</t>
        </is>
      </c>
      <c r="B78" s="18" t="inlineStr">
        <is>
          <t>기후변화 거버넌스</t>
        </is>
      </c>
      <c r="C78" s="16" t="n">
        <v>3</v>
      </c>
      <c r="D78" s="17" t="inlineStr">
        <is>
          <t>3단계</t>
        </is>
      </c>
      <c r="E78" s="16" t="n">
        <v>50</v>
      </c>
      <c r="F78" s="18" t="inlineStr">
        <is>
          <t>기후변화 문제에 대응하기 위한 관리직(C-level) 혹은 위원회가 있으며, 관리직의 KPIs에 조직의 기후변화 대응 목표가 반영되어 있음 (예 : 기후/지속가능성/ESG 최고 책임자, 리스크 관리 최고 책임자(CEO 제외) 등)</t>
        </is>
      </c>
    </row>
    <row r="79" ht="29.25" customHeight="1">
      <c r="A79" s="27" t="inlineStr">
        <is>
          <t>E-10-1</t>
        </is>
      </c>
      <c r="B79" s="28" t="inlineStr">
        <is>
          <t>기후변화 거버넌스</t>
        </is>
      </c>
      <c r="C79" s="26" t="n">
        <v>4</v>
      </c>
      <c r="D79" s="27" t="inlineStr">
        <is>
          <t>4단계</t>
        </is>
      </c>
      <c r="E79" s="26" t="n">
        <v>75</v>
      </c>
      <c r="F79" s="27" t="inlineStr">
        <is>
          <t>3단계 + 기후 관련 문제를 이사회 차원의 위원회에서 관리·감독하고 있으며, 이사회 안건으로 상정하고 있음 (예 : 기후/지속가능성/ESG 위원회, 리스크 관리 위원회 등)</t>
        </is>
      </c>
    </row>
    <row r="80" ht="15" customHeight="1">
      <c r="A80" s="17" t="inlineStr">
        <is>
          <t>E-10-1</t>
        </is>
      </c>
      <c r="B80" s="18" t="inlineStr">
        <is>
          <t>기후변화 거버넌스</t>
        </is>
      </c>
      <c r="C80" s="16" t="n">
        <v>5</v>
      </c>
      <c r="D80" s="17" t="inlineStr">
        <is>
          <t>5단계</t>
        </is>
      </c>
      <c r="E80" s="16" t="n">
        <v>100</v>
      </c>
      <c r="F80" s="17" t="inlineStr">
        <is>
          <t>4단계 + 조직 구성원에게 기후변화 대응 목표 KPIs 달성도에 따라 인센티브를 제공하고 있음</t>
        </is>
      </c>
    </row>
    <row r="81" ht="15" customHeight="1">
      <c r="A81" s="27" t="inlineStr">
        <is>
          <t>E-10-3</t>
        </is>
      </c>
      <c r="B81" s="28" t="inlineStr">
        <is>
          <t>기후변화 물리 리스크 및 대응 방안</t>
        </is>
      </c>
      <c r="C81" s="26" t="n">
        <v>1</v>
      </c>
      <c r="D81" s="27" t="inlineStr">
        <is>
          <t>1단계</t>
        </is>
      </c>
      <c r="E81" s="26" t="n">
        <v>0</v>
      </c>
      <c r="F81" s="28" t="inlineStr">
        <is>
          <t>조직이 기후변화로 인한 물리 리스크를 분석하지 않는 경우</t>
        </is>
      </c>
    </row>
    <row r="82" ht="15" customHeight="1">
      <c r="A82" s="17" t="inlineStr">
        <is>
          <t>E-10-3</t>
        </is>
      </c>
      <c r="B82" s="18" t="inlineStr">
        <is>
          <t>기후변화 물리 리스크 및 대응 방안</t>
        </is>
      </c>
      <c r="C82" s="16" t="n">
        <v>2</v>
      </c>
      <c r="D82" s="17" t="inlineStr">
        <is>
          <t>2단계</t>
        </is>
      </c>
      <c r="E82" s="16" t="n">
        <v>25</v>
      </c>
      <c r="F82" s="18" t="inlineStr">
        <is>
          <t>조직이 기후변화로 인한 조직 전체 차원의 물리 리스크를 식별하고 정의하는 경우</t>
        </is>
      </c>
    </row>
    <row r="83" ht="15" customHeight="1">
      <c r="A83" s="27" t="inlineStr">
        <is>
          <t>E-10-3</t>
        </is>
      </c>
      <c r="B83" s="28" t="inlineStr">
        <is>
          <t>기후변화 물리 리스크 및 대응 방안</t>
        </is>
      </c>
      <c r="C83" s="26" t="n">
        <v>3</v>
      </c>
      <c r="D83" s="27" t="inlineStr">
        <is>
          <t>3단계</t>
        </is>
      </c>
      <c r="E83" s="26" t="n">
        <v>50</v>
      </c>
      <c r="F83" s="27" t="inlineStr">
        <is>
          <t>2단계 + 물리 리스크로 인한 사업 영향력을 정성적으로 측정하는 경우</t>
        </is>
      </c>
    </row>
    <row r="84" ht="15" customHeight="1">
      <c r="A84" s="17" t="inlineStr">
        <is>
          <t>E-10-3</t>
        </is>
      </c>
      <c r="B84" s="18" t="inlineStr">
        <is>
          <t>기후변화 물리 리스크 및 대응 방안</t>
        </is>
      </c>
      <c r="C84" s="16" t="n">
        <v>4</v>
      </c>
      <c r="D84" s="17" t="inlineStr">
        <is>
          <t>4단계</t>
        </is>
      </c>
      <c r="E84" s="16" t="n">
        <v>75</v>
      </c>
      <c r="F84" s="17" t="inlineStr">
        <is>
          <t>3단계 +물리 리스크로 인한 사업 영향력을 정량적으로 측정하여 리스크 해소한 경우</t>
        </is>
      </c>
    </row>
    <row r="85" ht="43.5" customHeight="1">
      <c r="A85" s="27" t="inlineStr">
        <is>
          <t>E-10-3</t>
        </is>
      </c>
      <c r="B85" s="28" t="inlineStr">
        <is>
          <t>기후변화 물리 리스크 및 대응 방안</t>
        </is>
      </c>
      <c r="C85" s="26" t="n">
        <v>5</v>
      </c>
      <c r="D85" s="27" t="inlineStr">
        <is>
          <t>5단계</t>
        </is>
      </c>
      <c r="E85" s="26" t="n">
        <v>100</v>
      </c>
      <c r="F85" s="27" t="inlineStr">
        <is>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is>
      </c>
    </row>
    <row r="86" ht="15" customHeight="1">
      <c r="A86" s="17" t="inlineStr">
        <is>
          <t>E-10-4</t>
        </is>
      </c>
      <c r="B86" s="18" t="inlineStr">
        <is>
          <t>기후변화 전환 리스크 및 대응 방안</t>
        </is>
      </c>
      <c r="C86" s="16" t="n">
        <v>1</v>
      </c>
      <c r="D86" s="17" t="inlineStr">
        <is>
          <t>1단계</t>
        </is>
      </c>
      <c r="E86" s="16" t="n">
        <v>0</v>
      </c>
      <c r="F86" s="18" t="inlineStr">
        <is>
          <t>조직이 기후변화로 인한 전환 리스크를 분석하지 않는 경우</t>
        </is>
      </c>
    </row>
    <row r="87" ht="15" customHeight="1">
      <c r="A87" s="27" t="inlineStr">
        <is>
          <t>E-10-4</t>
        </is>
      </c>
      <c r="B87" s="28" t="inlineStr">
        <is>
          <t>기후변화 전환 리스크 및 대응 방안</t>
        </is>
      </c>
      <c r="C87" s="26" t="n">
        <v>2</v>
      </c>
      <c r="D87" s="27" t="inlineStr">
        <is>
          <t>2단계</t>
        </is>
      </c>
      <c r="E87" s="26" t="n">
        <v>25</v>
      </c>
      <c r="F87" s="28" t="inlineStr">
        <is>
          <t>조직이 기후변화로 인한 조직 전체 차원의 전환 리스크를 식별하고 정의하는 경우</t>
        </is>
      </c>
    </row>
    <row r="88" ht="15" customHeight="1">
      <c r="A88" s="17" t="inlineStr">
        <is>
          <t>E-10-4</t>
        </is>
      </c>
      <c r="B88" s="18" t="inlineStr">
        <is>
          <t>기후변화 전환 리스크 및 대응 방안</t>
        </is>
      </c>
      <c r="C88" s="16" t="n">
        <v>3</v>
      </c>
      <c r="D88" s="17" t="inlineStr">
        <is>
          <t>3단계</t>
        </is>
      </c>
      <c r="E88" s="16" t="n">
        <v>50</v>
      </c>
      <c r="F88" s="17" t="inlineStr">
        <is>
          <t>2단계 + 전환 리스크로 인한 사업 영향력을 정량적으로 측정하는 경우</t>
        </is>
      </c>
    </row>
    <row r="89" ht="29.25" customHeight="1">
      <c r="A89" s="27" t="inlineStr">
        <is>
          <t>E-10-4</t>
        </is>
      </c>
      <c r="B89" s="28" t="inlineStr">
        <is>
          <t>기후변화 전환 리스크 및 대응 방안</t>
        </is>
      </c>
      <c r="C89" s="26" t="n">
        <v>4</v>
      </c>
      <c r="D89" s="27" t="inlineStr">
        <is>
          <t>4단계</t>
        </is>
      </c>
      <c r="E89" s="26" t="n">
        <v>75</v>
      </c>
      <c r="F89" s="27" t="inlineStr">
        <is>
          <t>3단계+ 전환리스크로인한사업영향력을사업장별로측정해리스크해소에드는예상비용, 예상평균소요기간 등을분석하는경우</t>
        </is>
      </c>
    </row>
    <row r="90" ht="15" customHeight="1">
      <c r="A90" s="17" t="inlineStr">
        <is>
          <t>E-10-4</t>
        </is>
      </c>
      <c r="B90" s="18" t="inlineStr">
        <is>
          <t>기후변화 전환 리스크 및 대응 방안</t>
        </is>
      </c>
      <c r="C90" s="16" t="n">
        <v>5</v>
      </c>
      <c r="D90" s="17" t="inlineStr">
        <is>
          <t>5단계</t>
        </is>
      </c>
      <c r="E90" s="16" t="n">
        <v>100</v>
      </c>
      <c r="F90" s="17" t="inlineStr">
        <is>
          <t>4단계 + 전환 리스크로 인해 발생할 수 있는 새로운 사업 기회를 모색하고 수립한 경우</t>
        </is>
      </c>
    </row>
    <row r="91" ht="15" customHeight="1">
      <c r="A91" s="27" t="inlineStr">
        <is>
          <t>E-11-1</t>
        </is>
      </c>
      <c r="B91" s="28" t="inlineStr">
        <is>
          <t>자연자본 식별</t>
        </is>
      </c>
      <c r="C91" s="26" t="n">
        <v>1</v>
      </c>
      <c r="D91" s="27" t="inlineStr">
        <is>
          <t>1단계</t>
        </is>
      </c>
      <c r="E91" s="26" t="n">
        <v>0</v>
      </c>
      <c r="F91" s="28" t="inlineStr">
        <is>
          <t>조직이 위치한 사업장의 자연자본을 식별하고 있지 않은 경우</t>
        </is>
      </c>
    </row>
    <row r="92" ht="15" customHeight="1">
      <c r="A92" s="17" t="inlineStr">
        <is>
          <t>E-11-1</t>
        </is>
      </c>
      <c r="B92" s="18" t="inlineStr">
        <is>
          <t>자연자본 식별</t>
        </is>
      </c>
      <c r="C92" s="16" t="n">
        <v>2</v>
      </c>
      <c r="D92" s="17" t="inlineStr">
        <is>
          <t>2단계</t>
        </is>
      </c>
      <c r="E92" s="16" t="n">
        <v>25</v>
      </c>
      <c r="F92" s="18" t="inlineStr">
        <is>
          <t>조직이 위치한 사업장의 자연자본을 식별할 계획을 수립한 경우</t>
        </is>
      </c>
    </row>
    <row r="93" ht="15" customHeight="1">
      <c r="A93" s="27" t="inlineStr">
        <is>
          <t>E-11-1</t>
        </is>
      </c>
      <c r="B93" s="28" t="inlineStr">
        <is>
          <t>자연자본 식별</t>
        </is>
      </c>
      <c r="C93" s="26" t="n">
        <v>3</v>
      </c>
      <c r="D93" s="27" t="inlineStr">
        <is>
          <t>3단계</t>
        </is>
      </c>
      <c r="E93" s="26" t="n">
        <v>50</v>
      </c>
      <c r="F93" s="28" t="inlineStr">
        <is>
          <t>조직이 위치한 일부 사업장의 자연자본을 식별하고 있는 경우</t>
        </is>
      </c>
    </row>
    <row r="94" ht="15" customHeight="1">
      <c r="A94" s="17" t="inlineStr">
        <is>
          <t>E-11-1</t>
        </is>
      </c>
      <c r="B94" s="18" t="inlineStr">
        <is>
          <t>자연자본 식별</t>
        </is>
      </c>
      <c r="C94" s="16" t="n">
        <v>4</v>
      </c>
      <c r="D94" s="17" t="inlineStr">
        <is>
          <t>4단계</t>
        </is>
      </c>
      <c r="E94" s="16" t="n">
        <v>75</v>
      </c>
      <c r="F94" s="18" t="inlineStr">
        <is>
          <t>조직이 위치한 전체 사업장의 자연자본을 식별하고 있는 경우</t>
        </is>
      </c>
    </row>
    <row r="95" ht="15" customHeight="1">
      <c r="A95" s="27" t="inlineStr">
        <is>
          <t>E-11-1</t>
        </is>
      </c>
      <c r="B95" s="28" t="inlineStr">
        <is>
          <t>자연자본 식별</t>
        </is>
      </c>
      <c r="C95" s="26" t="n">
        <v>5</v>
      </c>
      <c r="D95" s="27" t="inlineStr">
        <is>
          <t>5단계</t>
        </is>
      </c>
      <c r="E95" s="26" t="n">
        <v>100</v>
      </c>
      <c r="F95" s="28" t="inlineStr">
        <is>
          <t>대외적으로 식별된 자연자본을 공개하고 있는 경우</t>
        </is>
      </c>
    </row>
    <row r="96" ht="15" customHeight="1">
      <c r="A96" s="17" t="inlineStr">
        <is>
          <t>E-11-2</t>
        </is>
      </c>
      <c r="B96" s="18" t="inlineStr">
        <is>
          <t>생물다양성 보존 전략</t>
        </is>
      </c>
      <c r="C96" s="16" t="n">
        <v>1</v>
      </c>
      <c r="D96" s="18" t="inlineStr">
        <is>
          <t>요건1</t>
        </is>
      </c>
      <c r="E96" s="16" t="n">
        <v>0</v>
      </c>
      <c r="F96" s="18" t="inlineStr">
        <is>
          <t>회피(Avoid)</t>
        </is>
      </c>
    </row>
    <row r="97" ht="15" customHeight="1">
      <c r="A97" s="27" t="inlineStr">
        <is>
          <t>E-11-2</t>
        </is>
      </c>
      <c r="B97" s="28" t="inlineStr">
        <is>
          <t>생물다양성 보존 전략</t>
        </is>
      </c>
      <c r="C97" s="26" t="n">
        <v>2</v>
      </c>
      <c r="D97" s="28" t="inlineStr">
        <is>
          <t>요건2</t>
        </is>
      </c>
      <c r="E97" s="26" t="n">
        <v>25</v>
      </c>
      <c r="F97" s="28" t="inlineStr">
        <is>
          <t>저감(Reduce)</t>
        </is>
      </c>
    </row>
    <row r="98" ht="15" customHeight="1">
      <c r="A98" s="17" t="inlineStr">
        <is>
          <t>E-11-2</t>
        </is>
      </c>
      <c r="B98" s="18" t="inlineStr">
        <is>
          <t>생물다양성 보존 전략</t>
        </is>
      </c>
      <c r="C98" s="16" t="n">
        <v>3</v>
      </c>
      <c r="D98" s="18" t="inlineStr">
        <is>
          <t>요건3</t>
        </is>
      </c>
      <c r="E98" s="16" t="n">
        <v>50</v>
      </c>
      <c r="F98" s="18" t="inlineStr">
        <is>
          <t>복원(Restore)</t>
        </is>
      </c>
    </row>
    <row r="99" ht="15" customHeight="1">
      <c r="A99" s="27" t="inlineStr">
        <is>
          <t>E-11-2</t>
        </is>
      </c>
      <c r="B99" s="28" t="inlineStr">
        <is>
          <t>생물다양성 보존 전략</t>
        </is>
      </c>
      <c r="C99" s="26" t="n">
        <v>4</v>
      </c>
      <c r="D99" s="28" t="inlineStr">
        <is>
          <t>요건4</t>
        </is>
      </c>
      <c r="E99" s="26" t="n">
        <v>75</v>
      </c>
      <c r="F99" s="28" t="inlineStr">
        <is>
          <t>재생(Regenerate)</t>
        </is>
      </c>
    </row>
    <row r="100" ht="15" customHeight="1">
      <c r="A100" s="17" t="inlineStr">
        <is>
          <t>E-11-2</t>
        </is>
      </c>
      <c r="B100" s="18" t="inlineStr">
        <is>
          <t>생물다양성 보존 전략</t>
        </is>
      </c>
      <c r="C100" s="16" t="n">
        <v>5</v>
      </c>
      <c r="D100" s="18" t="inlineStr">
        <is>
          <t>요건5</t>
        </is>
      </c>
      <c r="E100" s="16" t="n">
        <v>100</v>
      </c>
      <c r="F100" s="18" t="inlineStr">
        <is>
          <t>변경(Transform)</t>
        </is>
      </c>
    </row>
    <row r="101" ht="29.25" customHeight="1">
      <c r="A101" s="27" t="inlineStr">
        <is>
          <t>E-11-3</t>
        </is>
      </c>
      <c r="B101" s="28" t="inlineStr">
        <is>
          <t>산림보호 활동</t>
        </is>
      </c>
      <c r="C101" s="26" t="n">
        <v>1</v>
      </c>
      <c r="D101" s="28" t="inlineStr">
        <is>
          <t>요건1</t>
        </is>
      </c>
      <c r="E101" s="26" t="n">
        <v>0</v>
      </c>
      <c r="F101" s="28" t="inlineStr">
        <is>
          <t>산림보호 혹은 산림파괴 예방 정책을 수립한 경우 (사업 운영 전반에서 발생하는 산림파괴 리스크 관리 및 산림파괴 예방 등)</t>
        </is>
      </c>
    </row>
    <row r="102" ht="29.25" customHeight="1">
      <c r="A102" s="17" t="inlineStr">
        <is>
          <t>E-11-3</t>
        </is>
      </c>
      <c r="B102" s="18" t="inlineStr">
        <is>
          <t>산림보호 활동</t>
        </is>
      </c>
      <c r="C102" s="16" t="n">
        <v>2</v>
      </c>
      <c r="D102" s="18" t="inlineStr">
        <is>
          <t>요건2</t>
        </is>
      </c>
      <c r="E102" s="16" t="n">
        <v>25</v>
      </c>
      <c r="F102" s="18" t="inlineStr">
        <is>
          <t>사업 활동으로 인해 영향을 받는 지역을 조사하고 주요 보호지역을 정의한 경우 (산림이 제공하는 경관 및 지형학/지질학적 특성, 산림에 서식하는 생물다양성 등)</t>
        </is>
      </c>
    </row>
    <row r="103" ht="29.25" customHeight="1">
      <c r="A103" s="27" t="inlineStr">
        <is>
          <t>E-11-3</t>
        </is>
      </c>
      <c r="B103" s="28" t="inlineStr">
        <is>
          <t>산림보호 활동</t>
        </is>
      </c>
      <c r="C103" s="26" t="n">
        <v>3</v>
      </c>
      <c r="D103" s="28" t="inlineStr">
        <is>
          <t>요건3</t>
        </is>
      </c>
      <c r="E103" s="26" t="n">
        <v>50</v>
      </c>
      <c r="F103" s="28" t="inlineStr">
        <is>
          <t>산림보호를 위해 전사 차원의 목표를 수립한 경우 (산림파괴 없는 사업 운영 구조 완성, 탄소상쇄 활동(REDD+ 등)에 대한 성과개선 목표 설정 등)</t>
        </is>
      </c>
    </row>
    <row r="104" ht="29.25" customHeight="1">
      <c r="A104" s="17" t="inlineStr">
        <is>
          <t>E-11-3</t>
        </is>
      </c>
      <c r="B104" s="18" t="inlineStr">
        <is>
          <t>산림보호 활동</t>
        </is>
      </c>
      <c r="C104" s="16" t="n">
        <v>4</v>
      </c>
      <c r="D104" s="18" t="inlineStr">
        <is>
          <t>요건4</t>
        </is>
      </c>
      <c r="E104" s="16" t="n">
        <v>75</v>
      </c>
      <c r="F104" s="18" t="inlineStr">
        <is>
          <t>산림보호를 위한 단기/중장기 목표 수립 및 연도별 이행 현황을 파악하고 있는 경우 (중장기 산림 보호-복원-확대 목표 이행 현황 및 목표 대비 이행률 점검 등)</t>
        </is>
      </c>
    </row>
    <row r="105" ht="29.25" customHeight="1">
      <c r="A105" s="27" t="inlineStr">
        <is>
          <t>E-11-3</t>
        </is>
      </c>
      <c r="B105" s="28" t="inlineStr">
        <is>
          <t>산림보호 활동</t>
        </is>
      </c>
      <c r="C105" s="26" t="n">
        <v>5</v>
      </c>
      <c r="D105" s="28" t="inlineStr">
        <is>
          <t>요건5</t>
        </is>
      </c>
      <c r="E105" s="26" t="n">
        <v>100</v>
      </c>
      <c r="F105" s="28" t="inlineStr">
        <is>
          <t>산림보호를 위해 이해관계자로부터 의견을 수렴하고 관련 성과를 공유하는 경우 (산림 보호 활동 및 성과 공유, 외부 전문기관 및 비영리기관 등과 협력체계 구축 등)</t>
        </is>
      </c>
    </row>
    <row r="106" ht="29.25" customHeight="1">
      <c r="A106" s="17" t="inlineStr">
        <is>
          <t>S-1-1</t>
        </is>
      </c>
      <c r="B106" s="18" t="inlineStr">
        <is>
          <t>목표 수립 및 공시</t>
        </is>
      </c>
      <c r="C106" s="16" t="n">
        <v>1</v>
      </c>
      <c r="D106" s="17" t="inlineStr">
        <is>
          <t>1단계</t>
        </is>
      </c>
      <c r="E106" s="16" t="n">
        <v>0</v>
      </c>
      <c r="F106" s="18" t="inlineStr">
        <is>
          <t>단기/중장기 성과목표 또는 조직의 사회 분야 추진 방향성을 나타내는 사회분야 경영 미션/비전/지향점이 없는 경우</t>
        </is>
      </c>
    </row>
    <row r="107" ht="29.25" customHeight="1">
      <c r="A107" s="27" t="inlineStr">
        <is>
          <t>S-1-1</t>
        </is>
      </c>
      <c r="B107" s="28" t="inlineStr">
        <is>
          <t>목표 수립 및 공시</t>
        </is>
      </c>
      <c r="C107" s="26" t="n">
        <v>2</v>
      </c>
      <c r="D107" s="27" t="inlineStr">
        <is>
          <t>2단계</t>
        </is>
      </c>
      <c r="E107" s="26" t="n">
        <v>25</v>
      </c>
      <c r="F107" s="28" t="inlineStr">
        <is>
          <t>단기/중장기 성과목표는 수립되지 않았으나, 조직의 사회 분야 추진 방향성을 나타내는 사회분야 미션/비전/지향점을 제시하고 있는 경우</t>
        </is>
      </c>
    </row>
    <row r="108" ht="15" customHeight="1">
      <c r="A108" s="17" t="inlineStr">
        <is>
          <t>S-1-1</t>
        </is>
      </c>
      <c r="B108" s="18" t="inlineStr">
        <is>
          <t>목표 수립 및 공시</t>
        </is>
      </c>
      <c r="C108" s="16" t="n">
        <v>3</v>
      </c>
      <c r="D108" s="17" t="inlineStr">
        <is>
          <t>3단계</t>
        </is>
      </c>
      <c r="E108" s="16" t="n">
        <v>50</v>
      </c>
      <c r="F108" s="18" t="inlineStr">
        <is>
          <t>조직의 사회분야 핵심이슈에 대한 단기 목표를 설정하고 있는 경우</t>
        </is>
      </c>
    </row>
    <row r="109" ht="29.25" customHeight="1">
      <c r="A109" s="27" t="inlineStr">
        <is>
          <t>S-1-1</t>
        </is>
      </c>
      <c r="B109" s="28" t="inlineStr">
        <is>
          <t>목표 수립 및 공시</t>
        </is>
      </c>
      <c r="C109" s="26" t="n">
        <v>4</v>
      </c>
      <c r="D109" s="27" t="inlineStr">
        <is>
          <t>4단계</t>
        </is>
      </c>
      <c r="E109" s="26" t="n">
        <v>75</v>
      </c>
      <c r="F109" s="28" t="inlineStr">
        <is>
          <t>조직의 사회분야 핵심이슈에 대한 중장기 목표를 설정하고 있으나, 모든 중장기 목표가 정성적 형태로 되어 있는 경우</t>
        </is>
      </c>
    </row>
    <row r="110" ht="29.25" customHeight="1">
      <c r="A110" s="17" t="inlineStr">
        <is>
          <t>S-1-1</t>
        </is>
      </c>
      <c r="B110" s="18" t="inlineStr">
        <is>
          <t>목표 수립 및 공시</t>
        </is>
      </c>
      <c r="C110" s="16" t="n">
        <v>5</v>
      </c>
      <c r="D110" s="17" t="inlineStr">
        <is>
          <t>5단계</t>
        </is>
      </c>
      <c r="E110" s="16" t="n">
        <v>100</v>
      </c>
      <c r="F110" s="18" t="inlineStr">
        <is>
          <t>조직의 사회분야 핵심이슈에 대한 중장기 목표를 설정하고 있으며, 중장기 목표에는 정성 外 정량적 목표를 포함하고 있는 경우</t>
        </is>
      </c>
    </row>
    <row r="111" ht="15" customHeight="1">
      <c r="A111" s="27" t="inlineStr">
        <is>
          <t>S-2-2</t>
        </is>
      </c>
      <c r="B111" s="28" t="inlineStr">
        <is>
          <t>정규직 비율</t>
        </is>
      </c>
      <c r="C111" s="26" t="n">
        <v>1</v>
      </c>
      <c r="D111" s="27" t="inlineStr">
        <is>
          <t>1단계</t>
        </is>
      </c>
      <c r="E111" s="26" t="n">
        <v>0</v>
      </c>
      <c r="F111" s="28" t="inlineStr">
        <is>
          <t>최근 4개년 간 정규직 비율 데이터가 관리되지 않는 경우</t>
        </is>
      </c>
    </row>
    <row r="112" ht="15" customHeight="1">
      <c r="A112" s="17" t="inlineStr">
        <is>
          <t>S-2-2</t>
        </is>
      </c>
      <c r="B112" s="18" t="inlineStr">
        <is>
          <t>정규직 비율</t>
        </is>
      </c>
      <c r="C112" s="16" t="n">
        <v>2</v>
      </c>
      <c r="D112" s="17" t="inlineStr">
        <is>
          <t>2단계</t>
        </is>
      </c>
      <c r="E112" s="16" t="n">
        <v>25</v>
      </c>
      <c r="F112" s="18" t="inlineStr">
        <is>
          <t>조직의 정규직 비율이 40%인 이하인 경우</t>
        </is>
      </c>
    </row>
    <row r="113" ht="15" customHeight="1">
      <c r="A113" s="27" t="inlineStr">
        <is>
          <t>S-2-2</t>
        </is>
      </c>
      <c r="B113" s="28" t="inlineStr">
        <is>
          <t>정규직 비율</t>
        </is>
      </c>
      <c r="C113" s="26" t="n">
        <v>3</v>
      </c>
      <c r="D113" s="27" t="inlineStr">
        <is>
          <t>3단계</t>
        </is>
      </c>
      <c r="E113" s="26" t="n">
        <v>50</v>
      </c>
      <c r="F113" s="28" t="inlineStr">
        <is>
          <t>조직의 정규직 비율이 40% 초과 60% 이하인 경우</t>
        </is>
      </c>
    </row>
    <row r="114" ht="15" customHeight="1">
      <c r="A114" s="17" t="inlineStr">
        <is>
          <t>S-2-2</t>
        </is>
      </c>
      <c r="B114" s="18" t="inlineStr">
        <is>
          <t>정규직 비율</t>
        </is>
      </c>
      <c r="C114" s="16" t="n">
        <v>4</v>
      </c>
      <c r="D114" s="17" t="inlineStr">
        <is>
          <t>4단계</t>
        </is>
      </c>
      <c r="E114" s="16" t="n">
        <v>75</v>
      </c>
      <c r="F114" s="18" t="inlineStr">
        <is>
          <t>조직의 정규직 비율이 60% 초과 80% 이하인 경우</t>
        </is>
      </c>
    </row>
    <row r="115" ht="15" customHeight="1">
      <c r="A115" s="27" t="inlineStr">
        <is>
          <t>S-2-2</t>
        </is>
      </c>
      <c r="B115" s="28" t="inlineStr">
        <is>
          <t>정규직 비율</t>
        </is>
      </c>
      <c r="C115" s="26" t="n">
        <v>5</v>
      </c>
      <c r="D115" s="27" t="inlineStr">
        <is>
          <t>5단계</t>
        </is>
      </c>
      <c r="E115" s="26" t="n">
        <v>100</v>
      </c>
      <c r="F115" s="28" t="inlineStr">
        <is>
          <t>조직의 정규직 비율이 80%를 초과하는 경우 * 3개년 이하 데이터 보유 시 해당 데이터로 추세 산정</t>
        </is>
      </c>
    </row>
    <row r="116" ht="15" customHeight="1">
      <c r="A116" s="17" t="inlineStr">
        <is>
          <t>S-2-3</t>
        </is>
      </c>
      <c r="B116" s="18" t="inlineStr">
        <is>
          <t>자발적 이직률</t>
        </is>
      </c>
      <c r="C116" s="16" t="n">
        <v>1</v>
      </c>
      <c r="D116" s="17" t="inlineStr">
        <is>
          <t>1단계</t>
        </is>
      </c>
      <c r="E116" s="16" t="n">
        <v>0</v>
      </c>
      <c r="F116" s="18" t="inlineStr">
        <is>
          <t>지난 4개년 자발적 이직률이 증가 추세</t>
        </is>
      </c>
    </row>
    <row r="117" ht="15" customHeight="1">
      <c r="A117" s="27" t="inlineStr">
        <is>
          <t>S-2-3</t>
        </is>
      </c>
      <c r="B117" s="28" t="inlineStr">
        <is>
          <t>자발적 이직률</t>
        </is>
      </c>
      <c r="C117" s="26" t="n">
        <v>2</v>
      </c>
      <c r="D117" s="27" t="inlineStr">
        <is>
          <t>2단계</t>
        </is>
      </c>
      <c r="E117" s="26" t="n">
        <v>50</v>
      </c>
      <c r="F117" s="28" t="inlineStr">
        <is>
          <t>지난 4개년 자발적 이직률이 변동 없음</t>
        </is>
      </c>
    </row>
    <row r="118" ht="29.25" customHeight="1">
      <c r="A118" s="17" t="inlineStr">
        <is>
          <t>S-2-3</t>
        </is>
      </c>
      <c r="B118" s="18" t="inlineStr">
        <is>
          <t>자발적 이직률</t>
        </is>
      </c>
      <c r="C118" s="16" t="n">
        <v>3</v>
      </c>
      <c r="D118" s="17" t="inlineStr">
        <is>
          <t>3단계</t>
        </is>
      </c>
      <c r="E118" s="16" t="n">
        <v>100</v>
      </c>
      <c r="F118" s="18"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19" ht="15" customHeight="1">
      <c r="A119" s="27" t="inlineStr">
        <is>
          <t>S-2-4</t>
        </is>
      </c>
      <c r="B119" s="28" t="inlineStr">
        <is>
          <t>교육훈련비</t>
        </is>
      </c>
      <c r="C119" s="26" t="n">
        <v>1</v>
      </c>
      <c r="D119" s="27" t="inlineStr">
        <is>
          <t>1단계</t>
        </is>
      </c>
      <c r="E119" s="26" t="n">
        <v>0</v>
      </c>
      <c r="F119" s="28" t="inlineStr">
        <is>
          <t>지난 4개년 1인당 교육훈련비 감소 추세</t>
        </is>
      </c>
    </row>
    <row r="120" ht="15" customHeight="1">
      <c r="A120" s="17" t="inlineStr">
        <is>
          <t>S-2-4</t>
        </is>
      </c>
      <c r="B120" s="18" t="inlineStr">
        <is>
          <t>교육훈련비</t>
        </is>
      </c>
      <c r="C120" s="16" t="n">
        <v>2</v>
      </c>
      <c r="D120" s="17" t="inlineStr">
        <is>
          <t>2단계</t>
        </is>
      </c>
      <c r="E120" s="16" t="n">
        <v>50</v>
      </c>
      <c r="F120" s="18" t="inlineStr">
        <is>
          <t>지난 4개년 1인당 교육훈련비 변동 없음</t>
        </is>
      </c>
    </row>
    <row r="121" ht="43.5" customHeight="1">
      <c r="A121" s="27" t="inlineStr">
        <is>
          <t>S-2-4</t>
        </is>
      </c>
      <c r="B121" s="28" t="inlineStr">
        <is>
          <t>교육훈련비</t>
        </is>
      </c>
      <c r="C121" s="26" t="n">
        <v>3</v>
      </c>
      <c r="D121" s="27" t="inlineStr">
        <is>
          <t>3단계</t>
        </is>
      </c>
      <c r="E121" s="26" t="n">
        <v>100</v>
      </c>
      <c r="F121" s="28"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22" ht="15" customHeight="1">
      <c r="A122" s="17" t="inlineStr">
        <is>
          <t>S-2-5</t>
        </is>
      </c>
      <c r="B122" s="18" t="inlineStr">
        <is>
          <t>복리후생비</t>
        </is>
      </c>
      <c r="C122" s="16" t="n">
        <v>1</v>
      </c>
      <c r="D122" s="17" t="inlineStr">
        <is>
          <t>1단계</t>
        </is>
      </c>
      <c r="E122" s="16" t="n">
        <v>0</v>
      </c>
      <c r="F122" s="18" t="inlineStr">
        <is>
          <t>지난 4개년 1인당 복리후생비 감소 추세</t>
        </is>
      </c>
    </row>
    <row r="123" ht="15" customHeight="1">
      <c r="A123" s="27" t="inlineStr">
        <is>
          <t>S-2-5</t>
        </is>
      </c>
      <c r="B123" s="28" t="inlineStr">
        <is>
          <t>복리후생비</t>
        </is>
      </c>
      <c r="C123" s="26" t="n">
        <v>2</v>
      </c>
      <c r="D123" s="27" t="inlineStr">
        <is>
          <t>2단계</t>
        </is>
      </c>
      <c r="E123" s="26" t="n">
        <v>50</v>
      </c>
      <c r="F123" s="28" t="inlineStr">
        <is>
          <t>지난 4개년 1인당 복리후생비 변동 없음</t>
        </is>
      </c>
    </row>
    <row r="124" ht="29.25" customHeight="1">
      <c r="A124" s="17" t="inlineStr">
        <is>
          <t>S-2-5</t>
        </is>
      </c>
      <c r="B124" s="18" t="inlineStr">
        <is>
          <t>복리후생비</t>
        </is>
      </c>
      <c r="C124" s="16" t="n">
        <v>3</v>
      </c>
      <c r="D124" s="17" t="inlineStr">
        <is>
          <t>3단계</t>
        </is>
      </c>
      <c r="E124" s="16" t="n">
        <v>100</v>
      </c>
      <c r="F124" s="18"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125" ht="29.25" customHeight="1">
      <c r="A125" s="27" t="inlineStr">
        <is>
          <t>S-2-6</t>
        </is>
      </c>
      <c r="B125" s="28" t="inlineStr">
        <is>
          <t>결사의 자유 보장</t>
        </is>
      </c>
      <c r="C125" s="26" t="n">
        <v>1</v>
      </c>
      <c r="D125" s="27" t="inlineStr">
        <is>
          <t>1단계</t>
        </is>
      </c>
      <c r="E125" s="26" t="n">
        <v>0</v>
      </c>
      <c r="F125" s="28" t="inlineStr">
        <is>
          <t>노동조합 가입‧설립, 노사협의회 설치 관련 정보가 모두 없음 (노조 가입‧신설 관련 부당노동행위로 노동위 판정 또는 법원 판결이 유죄로 확정된 경우)</t>
        </is>
      </c>
    </row>
    <row r="126" ht="15" customHeight="1">
      <c r="A126" s="17" t="inlineStr">
        <is>
          <t>S-2-6</t>
        </is>
      </c>
      <c r="B126" s="18" t="inlineStr">
        <is>
          <t>결사의 자유 보장</t>
        </is>
      </c>
      <c r="C126" s="16" t="n">
        <v>2</v>
      </c>
      <c r="D126" s="17" t="inlineStr">
        <is>
          <t>2단계</t>
        </is>
      </c>
      <c r="E126" s="16" t="n">
        <v>25</v>
      </c>
      <c r="F126" s="18" t="inlineStr">
        <is>
          <t>노동조합 가입‧설립 또는 상시근로자 30인 이상인 경우 노사협의회 설치(위원 선임, 협의회규정 제정 등)</t>
        </is>
      </c>
    </row>
    <row r="127" ht="29.25" customHeight="1">
      <c r="A127" s="27" t="inlineStr">
        <is>
          <t>S-2-6</t>
        </is>
      </c>
      <c r="B127" s="28" t="inlineStr">
        <is>
          <t>결사의 자유 보장</t>
        </is>
      </c>
      <c r="C127" s="26" t="n">
        <v>3</v>
      </c>
      <c r="D127" s="27" t="inlineStr">
        <is>
          <t>3단계</t>
        </is>
      </c>
      <c r="E127" s="26" t="n">
        <v>50</v>
      </c>
      <c r="F127" s="27" t="inlineStr">
        <is>
          <t>2단계 + 과거 또는 현재 적법한 교섭당사자로서의 노동조합과 단체교섭 진행 + 3개월마다 노사협의회 정기회의 개최 (회의록 작성·비치)</t>
        </is>
      </c>
    </row>
    <row r="128" ht="29.25" customHeight="1">
      <c r="A128" s="17" t="inlineStr">
        <is>
          <t>S-2-6</t>
        </is>
      </c>
      <c r="B128" s="18" t="inlineStr">
        <is>
          <t>결사의 자유 보장</t>
        </is>
      </c>
      <c r="C128" s="16" t="n">
        <v>4</v>
      </c>
      <c r="D128" s="17" t="inlineStr">
        <is>
          <t>4단계</t>
        </is>
      </c>
      <c r="E128" s="16" t="n">
        <v>75</v>
      </c>
      <c r="F128" s="17" t="inlineStr">
        <is>
          <t>3단계 + 노동조합과 단체협약(임금협약 포함) 체결 + 노사협의회 정기회의 외 추가 임시회의(노사 실무협의 포함) 개최</t>
        </is>
      </c>
    </row>
    <row r="129" ht="15" customHeight="1">
      <c r="A129" s="27" t="inlineStr">
        <is>
          <t>S-2-6</t>
        </is>
      </c>
      <c r="B129" s="28" t="inlineStr">
        <is>
          <t>결사의 자유 보장</t>
        </is>
      </c>
      <c r="C129" s="26" t="n">
        <v>5</v>
      </c>
      <c r="D129" s="27" t="inlineStr">
        <is>
          <t>5단계</t>
        </is>
      </c>
      <c r="E129" s="26" t="n">
        <v>100</v>
      </c>
      <c r="F129" s="27" t="inlineStr">
        <is>
          <t>4단계 + 체결된 단체협약의 성실한 이행(단체협약 위반 시 불이행으로 간주) + 노사협의회 의결(합의) 여부</t>
        </is>
      </c>
    </row>
    <row r="130" ht="29.25" customHeight="1">
      <c r="A130" s="17" t="inlineStr">
        <is>
          <t>S-3-1</t>
        </is>
      </c>
      <c r="B130" s="18" t="inlineStr">
        <is>
          <t>여성 구성원 비율</t>
        </is>
      </c>
      <c r="C130" s="16" t="n">
        <v>1</v>
      </c>
      <c r="D130" s="17" t="inlineStr">
        <is>
          <t>1단계</t>
        </is>
      </c>
      <c r="E130" s="16" t="n">
        <v>0</v>
      </c>
      <c r="F130" s="18" t="inlineStr">
        <is>
          <t>조직의 전체 구성원 중 여성이 차지하는 비율과, 미등기임원 중 여성이 차지하는 비율의 차이가 80%를 초과하는 경우</t>
        </is>
      </c>
    </row>
    <row r="131" ht="29.25" customHeight="1">
      <c r="A131" s="27" t="inlineStr">
        <is>
          <t>S-3-1</t>
        </is>
      </c>
      <c r="B131" s="28" t="inlineStr">
        <is>
          <t>여성 구성원 비율</t>
        </is>
      </c>
      <c r="C131" s="26" t="n">
        <v>2</v>
      </c>
      <c r="D131" s="27" t="inlineStr">
        <is>
          <t>2단계</t>
        </is>
      </c>
      <c r="E131" s="26" t="n">
        <v>25</v>
      </c>
      <c r="F131" s="28" t="inlineStr">
        <is>
          <t>조직의 전체 구성원 중 여성이 차지하는 비율과, 미등기임원 중 여성이 차지하는 비율의 차이가 60% 초과 ~ 80% 이하인 경우</t>
        </is>
      </c>
    </row>
    <row r="132" ht="29.25" customHeight="1">
      <c r="A132" s="17" t="inlineStr">
        <is>
          <t>S-3-1</t>
        </is>
      </c>
      <c r="B132" s="18" t="inlineStr">
        <is>
          <t>여성 구성원 비율</t>
        </is>
      </c>
      <c r="C132" s="16" t="n">
        <v>3</v>
      </c>
      <c r="D132" s="17" t="inlineStr">
        <is>
          <t>3단계</t>
        </is>
      </c>
      <c r="E132" s="16" t="n">
        <v>50</v>
      </c>
      <c r="F132" s="18" t="inlineStr">
        <is>
          <t>조직의 전체 구성원 중 여성이 차지하는 비율과, 미등기임원 중 여성이 차지하는 비율의 차이가 40% 초과 ~ 60% 이하인 경우</t>
        </is>
      </c>
    </row>
    <row r="133" ht="29.25" customHeight="1">
      <c r="A133" s="27" t="inlineStr">
        <is>
          <t>S-3-1</t>
        </is>
      </c>
      <c r="B133" s="28" t="inlineStr">
        <is>
          <t>여성 구성원 비율</t>
        </is>
      </c>
      <c r="C133" s="26" t="n">
        <v>4</v>
      </c>
      <c r="D133" s="27" t="inlineStr">
        <is>
          <t>4단계</t>
        </is>
      </c>
      <c r="E133" s="26" t="n">
        <v>75</v>
      </c>
      <c r="F133" s="28" t="inlineStr">
        <is>
          <t>조직의 전체 구성원 중 여성이 차지하는 비율과, 미등기임원 중 여성이 차지하는 비율의 차이가 20% 초과 ~ 40% 이하인 경우</t>
        </is>
      </c>
    </row>
    <row r="134" ht="29.25" customHeight="1">
      <c r="A134" s="17" t="inlineStr">
        <is>
          <t>S-3-1</t>
        </is>
      </c>
      <c r="B134" s="18" t="inlineStr">
        <is>
          <t>여성 구성원 비율</t>
        </is>
      </c>
      <c r="C134" s="16" t="n">
        <v>5</v>
      </c>
      <c r="D134" s="17" t="inlineStr">
        <is>
          <t>5단계</t>
        </is>
      </c>
      <c r="E134" s="16" t="n">
        <v>100</v>
      </c>
      <c r="F134" s="18"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135" ht="15" customHeight="1">
      <c r="A135" s="27" t="inlineStr">
        <is>
          <t>S-3-2</t>
        </is>
      </c>
      <c r="B135" s="28" t="inlineStr">
        <is>
          <t>여성 급여 비율 (평균 급여액 대비)</t>
        </is>
      </c>
      <c r="C135" s="26" t="n">
        <v>1</v>
      </c>
      <c r="D135" s="27" t="inlineStr">
        <is>
          <t>1단계</t>
        </is>
      </c>
      <c r="E135" s="26" t="n">
        <v>0</v>
      </c>
      <c r="F135" s="28" t="inlineStr">
        <is>
          <t>조직의 1인 평균 급여액 대비 ‘여성(또는 남성) 1인 평균 급여액’ 비율이 60% 이하인 경우</t>
        </is>
      </c>
    </row>
    <row r="136" ht="15" customHeight="1">
      <c r="A136" s="17" t="inlineStr">
        <is>
          <t>S-3-2</t>
        </is>
      </c>
      <c r="B136" s="18" t="inlineStr">
        <is>
          <t>여성 급여 비율 (평균 급여액 대비)</t>
        </is>
      </c>
      <c r="C136" s="16" t="n">
        <v>2</v>
      </c>
      <c r="D136" s="17" t="inlineStr">
        <is>
          <t>2단계</t>
        </is>
      </c>
      <c r="E136" s="16" t="n">
        <v>25</v>
      </c>
      <c r="F136" s="18" t="inlineStr">
        <is>
          <t>조직의 1인 평균 급여액 대비 ‘여성(또는 남성) 1인 평균 급여액’ 비율이 60% 초과 ~ 70% 이하인 경우</t>
        </is>
      </c>
    </row>
    <row r="137" ht="15" customHeight="1">
      <c r="A137" s="27" t="inlineStr">
        <is>
          <t>S-3-2</t>
        </is>
      </c>
      <c r="B137" s="28" t="inlineStr">
        <is>
          <t>여성 급여 비율 (평균 급여액 대비)</t>
        </is>
      </c>
      <c r="C137" s="26" t="n">
        <v>3</v>
      </c>
      <c r="D137" s="27" t="inlineStr">
        <is>
          <t>3단계</t>
        </is>
      </c>
      <c r="E137" s="26" t="n">
        <v>50</v>
      </c>
      <c r="F137" s="28" t="inlineStr">
        <is>
          <t>조직의 1인 평균 급여액 대비 ‘여성(또는 남성) 1인 평균 급여액’ 비율이 70% 초과 ~ 80% 이하인 경우</t>
        </is>
      </c>
    </row>
    <row r="138" ht="15" customHeight="1">
      <c r="A138" s="17" t="inlineStr">
        <is>
          <t>S-3-2</t>
        </is>
      </c>
      <c r="B138" s="18" t="inlineStr">
        <is>
          <t>여성 급여 비율 (평균 급여액 대비)</t>
        </is>
      </c>
      <c r="C138" s="16" t="n">
        <v>4</v>
      </c>
      <c r="D138" s="17" t="inlineStr">
        <is>
          <t>4단계</t>
        </is>
      </c>
      <c r="E138" s="16" t="n">
        <v>75</v>
      </c>
      <c r="F138" s="18" t="inlineStr">
        <is>
          <t>조직의 1인 평균 급여액 대비 ‘여성(또는 남성) 1인 평균 급여액’ 비율이 80% 초과 ~ 90% 이하인 경우</t>
        </is>
      </c>
    </row>
    <row r="139" ht="15" customHeight="1">
      <c r="A139" s="27" t="inlineStr">
        <is>
          <t>S-3-2</t>
        </is>
      </c>
      <c r="B139" s="28" t="inlineStr">
        <is>
          <t>여성 급여 비율 (평균 급여액 대비)</t>
        </is>
      </c>
      <c r="C139" s="26" t="n">
        <v>5</v>
      </c>
      <c r="D139" s="27" t="inlineStr">
        <is>
          <t>5단계</t>
        </is>
      </c>
      <c r="E139" s="26" t="n">
        <v>100</v>
      </c>
      <c r="F139" s="28" t="inlineStr">
        <is>
          <t>조직의 1인 평균 급여액 대비 ‘여성(또는 남성) 1인 평균 급여액’ 비율이 90%를 초과하는 경우</t>
        </is>
      </c>
    </row>
    <row r="140" ht="15" customHeight="1">
      <c r="A140" s="17" t="inlineStr">
        <is>
          <t>S-3-3</t>
        </is>
      </c>
      <c r="B140" s="18" t="inlineStr">
        <is>
          <t>장애인 고용률</t>
        </is>
      </c>
      <c r="C140" s="16" t="n">
        <v>1</v>
      </c>
      <c r="D140" s="17" t="inlineStr">
        <is>
          <t>1단계</t>
        </is>
      </c>
      <c r="E140" s="16" t="n">
        <v>0</v>
      </c>
      <c r="F140" s="18" t="inlineStr">
        <is>
          <t>직전 1개년도 장애인 의무고용률의 60% 미만일 경우</t>
        </is>
      </c>
    </row>
    <row r="141" ht="15" customHeight="1">
      <c r="A141" s="27" t="inlineStr">
        <is>
          <t>S-3-3</t>
        </is>
      </c>
      <c r="B141" s="28" t="inlineStr">
        <is>
          <t>장애인 고용률</t>
        </is>
      </c>
      <c r="C141" s="26" t="n">
        <v>2</v>
      </c>
      <c r="D141" s="27" t="inlineStr">
        <is>
          <t>2단계</t>
        </is>
      </c>
      <c r="E141" s="26" t="n">
        <v>25</v>
      </c>
      <c r="F141" s="28" t="inlineStr">
        <is>
          <t>직전 1개년도 장애인 고용률이 법적 의무고용률의 60% 이상 80% 미만 수준인 경우</t>
        </is>
      </c>
    </row>
    <row r="142" ht="15" customHeight="1">
      <c r="A142" s="17" t="inlineStr">
        <is>
          <t>S-3-3</t>
        </is>
      </c>
      <c r="B142" s="18" t="inlineStr">
        <is>
          <t>장애인 고용률</t>
        </is>
      </c>
      <c r="C142" s="16" t="n">
        <v>3</v>
      </c>
      <c r="D142" s="17" t="inlineStr">
        <is>
          <t>3단계</t>
        </is>
      </c>
      <c r="E142" s="16" t="n">
        <v>50</v>
      </c>
      <c r="F142" s="18" t="inlineStr">
        <is>
          <t>직전 1개년도 장애인 고용률이 법적 의무고용률의 80% 이상 100% 미만 수준인 경우</t>
        </is>
      </c>
    </row>
    <row r="143" ht="15" customHeight="1">
      <c r="A143" s="27" t="inlineStr">
        <is>
          <t>S-3-3</t>
        </is>
      </c>
      <c r="B143" s="28" t="inlineStr">
        <is>
          <t>장애인 고용률</t>
        </is>
      </c>
      <c r="C143" s="26" t="n">
        <v>4</v>
      </c>
      <c r="D143" s="27" t="inlineStr">
        <is>
          <t>4단계</t>
        </is>
      </c>
      <c r="E143" s="26" t="n">
        <v>75</v>
      </c>
      <c r="F143" s="28" t="inlineStr">
        <is>
          <t>직전 1개년도 장애인 고용률이 법적 의무고용률의 100% 이상 120% 미만 수준인 경우</t>
        </is>
      </c>
    </row>
    <row r="144" ht="43.5" customHeight="1">
      <c r="A144" s="17" t="inlineStr">
        <is>
          <t>S-3-3</t>
        </is>
      </c>
      <c r="B144" s="18" t="inlineStr">
        <is>
          <t>장애인 고용률</t>
        </is>
      </c>
      <c r="C144" s="16" t="n">
        <v>5</v>
      </c>
      <c r="D144" s="17" t="inlineStr">
        <is>
          <t>5단계</t>
        </is>
      </c>
      <c r="E144" s="16" t="n">
        <v>100</v>
      </c>
      <c r="F144" s="18"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145" ht="29.25" customHeight="1">
      <c r="A145" s="27" t="inlineStr">
        <is>
          <t>S-4-1</t>
        </is>
      </c>
      <c r="B145" s="28" t="inlineStr">
        <is>
          <t>안전보건 추진체계</t>
        </is>
      </c>
      <c r="C145" s="26" t="n">
        <v>1</v>
      </c>
      <c r="D145" s="28" t="inlineStr">
        <is>
          <t>요건1</t>
        </is>
      </c>
      <c r="E145" s="26" t="n">
        <v>0</v>
      </c>
      <c r="F145" s="28" t="inlineStr">
        <is>
          <t>경영자가 확고한 리더십으로 비전을 제시하고 필요한 자원을 배정하는 경우 (안전경영방침 공표, 인력·시설·장비 등 배정, 구성원에게 책임과 권한 부여)</t>
        </is>
      </c>
    </row>
    <row r="146" ht="29.25" customHeight="1">
      <c r="A146" s="17" t="inlineStr">
        <is>
          <t>S-4-1</t>
        </is>
      </c>
      <c r="B146" s="18" t="inlineStr">
        <is>
          <t>안전보건 추진체계</t>
        </is>
      </c>
      <c r="C146" s="16" t="n">
        <v>2</v>
      </c>
      <c r="D146" s="18" t="inlineStr">
        <is>
          <t>요건2</t>
        </is>
      </c>
      <c r="E146" s="16" t="n">
        <v>25</v>
      </c>
      <c r="F146" s="18" t="inlineStr">
        <is>
          <t>안전보건관리체계 구축을 위해 근로자의 참여 및 협의를 보장하는 경우 (안전보건 정보공개, 구성원 참여절차 마련, 의견제시 문화 조성 등)</t>
        </is>
      </c>
    </row>
    <row r="147" ht="29.25" customHeight="1">
      <c r="A147" s="27" t="inlineStr">
        <is>
          <t>S-4-1</t>
        </is>
      </c>
      <c r="B147" s="28" t="inlineStr">
        <is>
          <t>안전보건 추진체계</t>
        </is>
      </c>
      <c r="C147" s="26" t="n">
        <v>3</v>
      </c>
      <c r="D147" s="28" t="inlineStr">
        <is>
          <t>요건3</t>
        </is>
      </c>
      <c r="E147" s="26" t="n">
        <v>50</v>
      </c>
      <c r="F147" s="28" t="inlineStr">
        <is>
          <t>조직의 위험요인 파악과 이에 대한 제거·대체·통제 조치를 하는 경우 (유해위험요인 파악, 위험성 평가, 위험요인 제거·대체·통제 방안 마련, 교육훈련 실시)</t>
        </is>
      </c>
    </row>
    <row r="148" ht="29.25" customHeight="1">
      <c r="A148" s="17" t="inlineStr">
        <is>
          <t>S-4-1</t>
        </is>
      </c>
      <c r="B148" s="18" t="inlineStr">
        <is>
          <t>안전보건 추진체계</t>
        </is>
      </c>
      <c r="C148" s="16" t="n">
        <v>4</v>
      </c>
      <c r="D148" s="18" t="inlineStr">
        <is>
          <t>요건4</t>
        </is>
      </c>
      <c r="E148" s="16" t="n">
        <v>75</v>
      </c>
      <c r="F148" s="18" t="inlineStr">
        <is>
          <t>중대한 위험요인에 대처할 수 있는 비상 조치계획을 수립한 경우 (위험요인별 시나리오 및 조치계획 수립, 주기적 훈련, 사업장 내 도급 근로자 등 모든 구성원에 대한 보호 여부)</t>
        </is>
      </c>
    </row>
    <row r="149" ht="29.25" customHeight="1">
      <c r="A149" s="27" t="inlineStr">
        <is>
          <t>S-4-1</t>
        </is>
      </c>
      <c r="B149" s="28" t="inlineStr">
        <is>
          <t>안전보건 추진체계</t>
        </is>
      </c>
      <c r="C149" s="26" t="n">
        <v>5</v>
      </c>
      <c r="D149" s="28" t="inlineStr">
        <is>
          <t>요건5</t>
        </is>
      </c>
      <c r="E149" s="26" t="n">
        <v>100</v>
      </c>
      <c r="F149" s="28" t="inlineStr">
        <is>
          <t>안전보건 과제 및 목표의 이행현황을 평가하고 개선하는 경우 (목표 설정, 계획대비 달성 여부 평가, 문제점에 대한 주기적 검토와 개선)</t>
        </is>
      </c>
    </row>
    <row r="150" ht="15" customHeight="1">
      <c r="A150" s="17" t="inlineStr">
        <is>
          <t>S-4-2</t>
        </is>
      </c>
      <c r="B150" s="18" t="inlineStr">
        <is>
          <t>산업재해율</t>
        </is>
      </c>
      <c r="C150" s="16" t="n">
        <v>1</v>
      </c>
      <c r="D150" s="17" t="inlineStr">
        <is>
          <t>1단계</t>
        </is>
      </c>
      <c r="E150" s="16" t="n">
        <v>0</v>
      </c>
      <c r="F150" s="18" t="inlineStr">
        <is>
          <t>지난 4개년 산업재해율 증가 추세</t>
        </is>
      </c>
    </row>
    <row r="151" ht="15" customHeight="1">
      <c r="A151" s="27" t="inlineStr">
        <is>
          <t>S-4-2</t>
        </is>
      </c>
      <c r="B151" s="28" t="inlineStr">
        <is>
          <t>산업재해율</t>
        </is>
      </c>
      <c r="C151" s="26" t="n">
        <v>2</v>
      </c>
      <c r="D151" s="27" t="inlineStr">
        <is>
          <t>2단계</t>
        </is>
      </c>
      <c r="E151" s="26" t="n">
        <v>50</v>
      </c>
      <c r="F151" s="28" t="inlineStr">
        <is>
          <t>지난 4개년 산업재해율 변동 없음</t>
        </is>
      </c>
    </row>
    <row r="152" ht="43.5" customHeight="1">
      <c r="A152" s="17" t="inlineStr">
        <is>
          <t>S-4-2</t>
        </is>
      </c>
      <c r="B152" s="18" t="inlineStr">
        <is>
          <t>산업재해율</t>
        </is>
      </c>
      <c r="C152" s="16" t="n">
        <v>3</v>
      </c>
      <c r="D152" s="17" t="inlineStr">
        <is>
          <t>3단계</t>
        </is>
      </c>
      <c r="E152" s="16" t="n">
        <v>100</v>
      </c>
      <c r="F152" s="18"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153" ht="29.25" customHeight="1">
      <c r="A153" s="27" t="inlineStr">
        <is>
          <t>S-5-1</t>
        </is>
      </c>
      <c r="B153" s="28" t="inlineStr">
        <is>
          <t>인권정책 수립</t>
        </is>
      </c>
      <c r="C153" s="26" t="n">
        <v>1</v>
      </c>
      <c r="D153" s="27" t="inlineStr">
        <is>
          <t>1단계</t>
        </is>
      </c>
      <c r="E153" s="26" t="n">
        <v>0</v>
      </c>
      <c r="F153" s="28" t="inlineStr">
        <is>
          <t>조직의 대외공식적 인권정책이 수립되지 않은 경우. 또는, 인권정책이 있으나, 상기의 이슈 중 1~2개에 대한 조직의 정책적 접근 방향이 설명되어 있는 경우</t>
        </is>
      </c>
    </row>
    <row r="154" ht="15" customHeight="1">
      <c r="A154" s="17" t="inlineStr">
        <is>
          <t>S-5-1</t>
        </is>
      </c>
      <c r="B154" s="18" t="inlineStr">
        <is>
          <t>인권정책 수립</t>
        </is>
      </c>
      <c r="C154" s="16" t="n">
        <v>2</v>
      </c>
      <c r="D154" s="17" t="inlineStr">
        <is>
          <t>2단계</t>
        </is>
      </c>
      <c r="E154" s="16" t="n">
        <v>25</v>
      </c>
      <c r="F154" s="18" t="inlineStr">
        <is>
          <t>상기의 이슈 중 3~4개에 대한 조직의 정책적 접근방향이 설명되어 있는 경우</t>
        </is>
      </c>
    </row>
    <row r="155" ht="15" customHeight="1">
      <c r="A155" s="27" t="inlineStr">
        <is>
          <t>S-5-1</t>
        </is>
      </c>
      <c r="B155" s="28" t="inlineStr">
        <is>
          <t>인권정책 수립</t>
        </is>
      </c>
      <c r="C155" s="26" t="n">
        <v>3</v>
      </c>
      <c r="D155" s="27" t="inlineStr">
        <is>
          <t>3단계</t>
        </is>
      </c>
      <c r="E155" s="26" t="n">
        <v>50</v>
      </c>
      <c r="F155" s="28" t="inlineStr">
        <is>
          <t>상기의 이슈 중 5~6개에 대한 조직의 정책적 접근방향이 설명되어 있는 경우</t>
        </is>
      </c>
    </row>
    <row r="156" ht="15" customHeight="1">
      <c r="A156" s="17" t="inlineStr">
        <is>
          <t>S-5-1</t>
        </is>
      </c>
      <c r="B156" s="18" t="inlineStr">
        <is>
          <t>인권정책 수립</t>
        </is>
      </c>
      <c r="C156" s="16" t="n">
        <v>4</v>
      </c>
      <c r="D156" s="17" t="inlineStr">
        <is>
          <t>4단계</t>
        </is>
      </c>
      <c r="E156" s="16" t="n">
        <v>75</v>
      </c>
      <c r="F156" s="18" t="inlineStr">
        <is>
          <t>상기의 이슈 중 7~8개에 대한 조직의 정책적 접근방향이 설명되어 있는 경우</t>
        </is>
      </c>
    </row>
    <row r="157" ht="15" customHeight="1">
      <c r="A157" s="27" t="inlineStr">
        <is>
          <t>S-5-1</t>
        </is>
      </c>
      <c r="B157" s="28" t="inlineStr">
        <is>
          <t>인권정책 수립</t>
        </is>
      </c>
      <c r="C157" s="26" t="n">
        <v>5</v>
      </c>
      <c r="D157" s="27" t="inlineStr">
        <is>
          <t>5단계</t>
        </is>
      </c>
      <c r="E157" s="26" t="n">
        <v>100</v>
      </c>
      <c r="F157" s="28" t="inlineStr">
        <is>
          <t>상기의 이슈 중 9개 이상에 대한 조직의 정책적 접근방향이 설명되어 있는 경우</t>
        </is>
      </c>
    </row>
    <row r="158" ht="15" customHeight="1">
      <c r="A158" s="17" t="inlineStr">
        <is>
          <t>S-5-2</t>
        </is>
      </c>
      <c r="B158" s="18" t="inlineStr">
        <is>
          <t>인권 리스크 평가</t>
        </is>
      </c>
      <c r="C158" s="16" t="n">
        <v>1</v>
      </c>
      <c r="D158" s="17" t="inlineStr">
        <is>
          <t>1단계</t>
        </is>
      </c>
      <c r="E158" s="16" t="n">
        <v>0</v>
      </c>
      <c r="F158" s="18" t="inlineStr">
        <is>
          <t>인권 리스크 평가 지표, 평가 기준, 평가 일정 등의 체계가 구축되지 않은 경우</t>
        </is>
      </c>
    </row>
    <row r="159" ht="29.25" customHeight="1">
      <c r="A159" s="27" t="inlineStr">
        <is>
          <t>S-5-2</t>
        </is>
      </c>
      <c r="B159" s="28" t="inlineStr">
        <is>
          <t>인권 리스크 평가</t>
        </is>
      </c>
      <c r="C159" s="26" t="n">
        <v>2</v>
      </c>
      <c r="D159" s="27" t="inlineStr">
        <is>
          <t>2단계</t>
        </is>
      </c>
      <c r="E159" s="26" t="n">
        <v>25</v>
      </c>
      <c r="F159" s="28" t="inlineStr">
        <is>
          <t>인권 리스크 평가 지표, 평가 기준, 평가 일정 등의 체계가 구축되어 있는 경우 단, 해당 인권 리스크 평가 체계를 운용하지 않은 경우</t>
        </is>
      </c>
    </row>
    <row r="160" ht="29.25" customHeight="1">
      <c r="A160" s="17" t="inlineStr">
        <is>
          <t>S-5-2</t>
        </is>
      </c>
      <c r="B160" s="18" t="inlineStr">
        <is>
          <t>인권 리스크 평가</t>
        </is>
      </c>
      <c r="C160" s="16" t="n">
        <v>3</v>
      </c>
      <c r="D160" s="17" t="inlineStr">
        <is>
          <t>3단계</t>
        </is>
      </c>
      <c r="E160" s="16" t="n">
        <v>50</v>
      </c>
      <c r="F160" s="18" t="inlineStr">
        <is>
          <t>인권 리스크 평가 체계를 구축하고 있으나, 온라인/서면 등 비대면 방식으로 인권 리스크 진단 행위만 실시한 경우</t>
        </is>
      </c>
    </row>
    <row r="161" ht="29.25" customHeight="1">
      <c r="A161" s="27" t="inlineStr">
        <is>
          <t>S-5-2</t>
        </is>
      </c>
      <c r="B161" s="28" t="inlineStr">
        <is>
          <t>인권 리스크 평가</t>
        </is>
      </c>
      <c r="C161" s="26" t="n">
        <v>4</v>
      </c>
      <c r="D161" s="27" t="inlineStr">
        <is>
          <t>4단계</t>
        </is>
      </c>
      <c r="E161" s="26" t="n">
        <v>75</v>
      </c>
      <c r="F161" s="28" t="inlineStr">
        <is>
          <t>인권 리스크 평가 체계를 구축하고 있으며, 온라인/서면 등 비대면 방식의 진단과 함께, 고위험 인권 리스크에 대해서는 현장실사까지 실시한 경우</t>
        </is>
      </c>
    </row>
    <row r="162" ht="29.25" customHeight="1">
      <c r="A162" s="17" t="inlineStr">
        <is>
          <t>S-5-2</t>
        </is>
      </c>
      <c r="B162" s="18" t="inlineStr">
        <is>
          <t>인권 리스크 평가</t>
        </is>
      </c>
      <c r="C162" s="16" t="n">
        <v>5</v>
      </c>
      <c r="D162" s="17" t="inlineStr">
        <is>
          <t>5단계</t>
        </is>
      </c>
      <c r="E162" s="16" t="n">
        <v>100</v>
      </c>
      <c r="F162" s="18" t="inlineStr">
        <is>
          <t>인권 리스크 평가 체계를 구축하고 있으며, 비대면 진단 및 현장실사 행위를 실시한 경우. 또한, 확인된 인권 리스크에 대한 개선계획/개선활동을 추진한 경우</t>
        </is>
      </c>
    </row>
    <row r="163" ht="15" customHeight="1">
      <c r="A163" s="27" t="inlineStr">
        <is>
          <t>S-6-1</t>
        </is>
      </c>
      <c r="B163" s="28" t="inlineStr">
        <is>
          <t>협력사 ESG 경영</t>
        </is>
      </c>
      <c r="C163" s="26" t="n">
        <v>1</v>
      </c>
      <c r="D163" s="27" t="inlineStr">
        <is>
          <t>1단계</t>
        </is>
      </c>
      <c r="E163" s="26" t="n">
        <v>0</v>
      </c>
      <c r="F163" s="28" t="inlineStr">
        <is>
          <t>협력사 ESG 리스크 평가 지표, 평가 기준, 평가 일정 등의 관리 체계가 구축되지 않은 경우</t>
        </is>
      </c>
    </row>
    <row r="164" ht="29.25" customHeight="1">
      <c r="A164" s="17" t="inlineStr">
        <is>
          <t>S-6-1</t>
        </is>
      </c>
      <c r="B164" s="18" t="inlineStr">
        <is>
          <t>협력사 ESG 경영</t>
        </is>
      </c>
      <c r="C164" s="16" t="n">
        <v>2</v>
      </c>
      <c r="D164" s="17" t="inlineStr">
        <is>
          <t>2단계</t>
        </is>
      </c>
      <c r="E164" s="16" t="n">
        <v>25</v>
      </c>
      <c r="F164" s="18" t="inlineStr">
        <is>
          <t>협력사 ESG 리스크 평가 지표, 평가 기준, 평가 일정 등의 관리 체계를 구축하고 있으나, 해당 협력사 ESG 리스크 관리 체계를 운용하지 않은 경우</t>
        </is>
      </c>
    </row>
    <row r="165" ht="29.25" customHeight="1">
      <c r="A165" s="27" t="inlineStr">
        <is>
          <t>S-6-1</t>
        </is>
      </c>
      <c r="B165" s="28" t="inlineStr">
        <is>
          <t>협력사 ESG 경영</t>
        </is>
      </c>
      <c r="C165" s="26" t="n">
        <v>3</v>
      </c>
      <c r="D165" s="27" t="inlineStr">
        <is>
          <t>3단계</t>
        </is>
      </c>
      <c r="E165" s="26" t="n">
        <v>50</v>
      </c>
      <c r="F165" s="28" t="inlineStr">
        <is>
          <t>협력사 ESG 리스크 관리 체계를 구축하고 있으나, 온라인/서면 등 비대면 방식으로 리스크 진단 행위만 실시한 경우</t>
        </is>
      </c>
    </row>
    <row r="166" ht="29.25" customHeight="1">
      <c r="A166" s="17" t="inlineStr">
        <is>
          <t>S-6-1</t>
        </is>
      </c>
      <c r="B166" s="18" t="inlineStr">
        <is>
          <t>협력사 ESG 경영</t>
        </is>
      </c>
      <c r="C166" s="16" t="n">
        <v>4</v>
      </c>
      <c r="D166" s="17" t="inlineStr">
        <is>
          <t>4단계</t>
        </is>
      </c>
      <c r="E166" s="16" t="n">
        <v>75</v>
      </c>
      <c r="F166" s="18" t="inlineStr">
        <is>
          <t>협력사 ESG 리스크 관리 체계를 구축하고 있으며, 온라인/서면 등 비대면 방식의 진단과 함께, 고위험 ESG 리스크에 대해서는 현장실사 행위까지 실시한 경우</t>
        </is>
      </c>
    </row>
    <row r="167" ht="29.25" customHeight="1">
      <c r="A167" s="27" t="inlineStr">
        <is>
          <t>S-6-1</t>
        </is>
      </c>
      <c r="B167" s="28" t="inlineStr">
        <is>
          <t>협력사 ESG 경영</t>
        </is>
      </c>
      <c r="C167" s="26" t="n">
        <v>5</v>
      </c>
      <c r="D167" s="27" t="inlineStr">
        <is>
          <t>5단계</t>
        </is>
      </c>
      <c r="E167" s="26" t="n">
        <v>100</v>
      </c>
      <c r="F167" s="28" t="inlineStr">
        <is>
          <t>협력사 ESG 리스크 관리 체계를 구축하고 있으며, 비대면 진단 및 현장실사 행위를 실시한 경우. 또한, 확인된 리스크에 대한 개선계획/개선활동 추진한 경우</t>
        </is>
      </c>
    </row>
    <row r="168" ht="15" customHeight="1">
      <c r="A168" s="17" t="inlineStr">
        <is>
          <t>S-6-2</t>
        </is>
      </c>
      <c r="B168" s="18" t="inlineStr">
        <is>
          <t>협력사 ESG 지원</t>
        </is>
      </c>
      <c r="C168" s="16" t="n">
        <v>1</v>
      </c>
      <c r="D168" s="18" t="inlineStr">
        <is>
          <t>요건1</t>
        </is>
      </c>
      <c r="E168" s="16" t="n">
        <v>0</v>
      </c>
      <c r="F168" s="18" t="inlineStr">
        <is>
          <t>협력사 ESG 지원에 관한 공식적 선언을 하고 있는 경우</t>
        </is>
      </c>
    </row>
    <row r="169" ht="15" customHeight="1">
      <c r="A169" s="27" t="inlineStr">
        <is>
          <t>S-6-2</t>
        </is>
      </c>
      <c r="B169" s="28" t="inlineStr">
        <is>
          <t>협력사 ESG 지원</t>
        </is>
      </c>
      <c r="C169" s="26" t="n">
        <v>2</v>
      </c>
      <c r="D169" s="28" t="inlineStr">
        <is>
          <t>요건2</t>
        </is>
      </c>
      <c r="E169" s="26" t="n">
        <v>25</v>
      </c>
      <c r="F169" s="28" t="inlineStr">
        <is>
          <t>협력사 ESG 지원 전략방향, 추진영역을 제시하고 있는 경우</t>
        </is>
      </c>
    </row>
    <row r="170" ht="15" customHeight="1">
      <c r="A170" s="17" t="inlineStr">
        <is>
          <t>S-6-2</t>
        </is>
      </c>
      <c r="B170" s="18" t="inlineStr">
        <is>
          <t>협력사 ESG 지원</t>
        </is>
      </c>
      <c r="C170" s="16" t="n">
        <v>3</v>
      </c>
      <c r="D170" s="18" t="inlineStr">
        <is>
          <t>요건3</t>
        </is>
      </c>
      <c r="E170" s="16" t="n">
        <v>50</v>
      </c>
      <c r="F170" s="18" t="inlineStr">
        <is>
          <t>협력사 ESG 지원 전략방향 및 추진영역별 세부 실행과제를 제시하고 있는 경우</t>
        </is>
      </c>
    </row>
    <row r="171" ht="15" customHeight="1">
      <c r="A171" s="27" t="inlineStr">
        <is>
          <t>S-6-2</t>
        </is>
      </c>
      <c r="B171" s="28" t="inlineStr">
        <is>
          <t>협력사 ESG 지원</t>
        </is>
      </c>
      <c r="C171" s="26" t="n">
        <v>4</v>
      </c>
      <c r="D171" s="28" t="inlineStr">
        <is>
          <t>요건4</t>
        </is>
      </c>
      <c r="E171" s="26" t="n">
        <v>75</v>
      </c>
      <c r="F171" s="28" t="inlineStr">
        <is>
          <t>협력사 ESG 지원에 관한 성과관리 지표(KPIs)를 제시하고 있는 경우</t>
        </is>
      </c>
    </row>
    <row r="172" ht="29.25" customHeight="1">
      <c r="A172" s="17" t="inlineStr">
        <is>
          <t>S-6-2</t>
        </is>
      </c>
      <c r="B172" s="18" t="inlineStr">
        <is>
          <t>협력사 ESG 지원</t>
        </is>
      </c>
      <c r="C172" s="16" t="n">
        <v>5</v>
      </c>
      <c r="D172" s="18" t="inlineStr">
        <is>
          <t>요건5</t>
        </is>
      </c>
      <c r="E172" s="16" t="n">
        <v>100</v>
      </c>
      <c r="F172" s="18" t="inlineStr">
        <is>
          <t>협력사 ESG 지원에 관한 성과관리 지표(KPIs) 달성을 위해 투자재원(예산), 역량투입(인력) 방안을 마련한 경우</t>
        </is>
      </c>
    </row>
    <row r="173" ht="29.25" customHeight="1">
      <c r="A173" s="27" t="inlineStr">
        <is>
          <t>S-7-1</t>
        </is>
      </c>
      <c r="B173" s="28" t="inlineStr">
        <is>
          <t>전략적 사회공헌</t>
        </is>
      </c>
      <c r="C173" s="26" t="n">
        <v>1</v>
      </c>
      <c r="D173" s="28" t="inlineStr">
        <is>
          <t>요건1</t>
        </is>
      </c>
      <c r="E173" s="26" t="n">
        <v>0</v>
      </c>
      <c r="F173" s="28" t="inlineStr">
        <is>
          <t>조직의 사회공헌을 대표할 수 있으며, 대사회적 메시지로써 활용되는 사회공헌 비전, 미션, 또는 슬로건이 있는 경우</t>
        </is>
      </c>
    </row>
    <row r="174" ht="15" customHeight="1">
      <c r="A174" s="17" t="inlineStr">
        <is>
          <t>S-7-1</t>
        </is>
      </c>
      <c r="B174" s="18" t="inlineStr">
        <is>
          <t>전략적 사회공헌</t>
        </is>
      </c>
      <c r="C174" s="16" t="n">
        <v>2</v>
      </c>
      <c r="D174" s="18" t="inlineStr">
        <is>
          <t>요건2</t>
        </is>
      </c>
      <c r="E174" s="16" t="n">
        <v>25</v>
      </c>
      <c r="F174" s="18" t="inlineStr">
        <is>
          <t>조직의 사회공헌 비전, 미션, 또는 슬로건을 달성하기 위한 사회공헌 추진 분야/영역을 제시하고 있는 경우</t>
        </is>
      </c>
    </row>
    <row r="175" ht="15" customHeight="1">
      <c r="A175" s="27" t="inlineStr">
        <is>
          <t>S-7-1</t>
        </is>
      </c>
      <c r="B175" s="28" t="inlineStr">
        <is>
          <t>전략적 사회공헌</t>
        </is>
      </c>
      <c r="C175" s="26" t="n">
        <v>3</v>
      </c>
      <c r="D175" s="28" t="inlineStr">
        <is>
          <t>요건3</t>
        </is>
      </c>
      <c r="E175" s="26" t="n">
        <v>50</v>
      </c>
      <c r="F175" s="28" t="inlineStr">
        <is>
          <t>조직의 사회공헌 추진 분야/영역별 대표 프로그램을 제시하고 있는 경우</t>
        </is>
      </c>
    </row>
    <row r="176" ht="15" customHeight="1">
      <c r="A176" s="17" t="inlineStr">
        <is>
          <t>S-7-1</t>
        </is>
      </c>
      <c r="B176" s="18" t="inlineStr">
        <is>
          <t>전략적 사회공헌</t>
        </is>
      </c>
      <c r="C176" s="16" t="n">
        <v>4</v>
      </c>
      <c r="D176" s="18" t="inlineStr">
        <is>
          <t>요건4</t>
        </is>
      </c>
      <c r="E176" s="16" t="n">
        <v>75</v>
      </c>
      <c r="F176" s="18" t="inlineStr">
        <is>
          <t>조직의 사회공헌 대표 프로그램별 중장기 실행계획을 마련하고 있는 경우</t>
        </is>
      </c>
    </row>
    <row r="177" ht="29.25" customHeight="1">
      <c r="A177" s="27" t="inlineStr">
        <is>
          <t>S-7-1</t>
        </is>
      </c>
      <c r="B177" s="28" t="inlineStr">
        <is>
          <t>전략적 사회공헌</t>
        </is>
      </c>
      <c r="C177" s="26" t="n">
        <v>5</v>
      </c>
      <c r="D177" s="28" t="inlineStr">
        <is>
          <t>요건5</t>
        </is>
      </c>
      <c r="E177" s="26" t="n">
        <v>100</v>
      </c>
      <c r="F177" s="28" t="inlineStr">
        <is>
          <t>조직의 대표 사회공헌 프로그램이 사업적 또는 사회적으로 기여하는 성과를 측정할 수 있는 성과관리 지표(KPIs)가 있는 경우</t>
        </is>
      </c>
    </row>
    <row r="178" ht="15" customHeight="1">
      <c r="A178" s="17" t="inlineStr">
        <is>
          <t>S-7-2</t>
        </is>
      </c>
      <c r="B178" s="18" t="inlineStr">
        <is>
          <t>구성원 봉사참여</t>
        </is>
      </c>
      <c r="C178" s="16" t="n">
        <v>1</v>
      </c>
      <c r="D178" s="17" t="inlineStr">
        <is>
          <t>1단계</t>
        </is>
      </c>
      <c r="E178" s="16" t="n">
        <v>0</v>
      </c>
      <c r="F178" s="18" t="inlineStr">
        <is>
          <t>봉사활동 참여 인센티브 제도가 없는 경우</t>
        </is>
      </c>
    </row>
    <row r="179" ht="29.25" customHeight="1">
      <c r="A179" s="27" t="inlineStr">
        <is>
          <t>S-7-2</t>
        </is>
      </c>
      <c r="B179" s="28" t="inlineStr">
        <is>
          <t>구성원 봉사참여</t>
        </is>
      </c>
      <c r="C179" s="26" t="n">
        <v>2</v>
      </c>
      <c r="D179" s="27" t="inlineStr">
        <is>
          <t>2단계</t>
        </is>
      </c>
      <c r="E179" s="26" t="n">
        <v>25</v>
      </c>
      <c r="F179" s="28" t="inlineStr">
        <is>
          <t>현재, 봉사활동 참여자에 대한 인센티브 제도가 없으나, 향후, 봉사활동 참여 인센티브 제도 도입계획이 수립된 경우</t>
        </is>
      </c>
    </row>
    <row r="180" ht="15" customHeight="1">
      <c r="A180" s="17" t="inlineStr">
        <is>
          <t>S-7-2</t>
        </is>
      </c>
      <c r="B180" s="18" t="inlineStr">
        <is>
          <t>구성원 봉사참여</t>
        </is>
      </c>
      <c r="C180" s="16" t="n">
        <v>3</v>
      </c>
      <c r="D180" s="17" t="inlineStr">
        <is>
          <t>3단계</t>
        </is>
      </c>
      <c r="E180" s="16" t="n">
        <v>50</v>
      </c>
      <c r="F180" s="18" t="inlineStr">
        <is>
          <t>상기 봉사활동 참여 인센티브 제도 중 1개를 도입하고 있는 경우</t>
        </is>
      </c>
    </row>
    <row r="181" ht="15" customHeight="1">
      <c r="A181" s="27" t="inlineStr">
        <is>
          <t>S-7-2</t>
        </is>
      </c>
      <c r="B181" s="28" t="inlineStr">
        <is>
          <t>구성원 봉사참여</t>
        </is>
      </c>
      <c r="C181" s="26" t="n">
        <v>4</v>
      </c>
      <c r="D181" s="27" t="inlineStr">
        <is>
          <t>4단계</t>
        </is>
      </c>
      <c r="E181" s="26" t="n">
        <v>75</v>
      </c>
      <c r="F181" s="28" t="inlineStr">
        <is>
          <t>상기 봉사활동 참여 인센티브 제도 중 2개를 도입하고 있는 경우</t>
        </is>
      </c>
    </row>
    <row r="182" ht="15" customHeight="1">
      <c r="A182" s="17" t="inlineStr">
        <is>
          <t>S-7-2</t>
        </is>
      </c>
      <c r="B182" s="18" t="inlineStr">
        <is>
          <t>구성원 봉사참여</t>
        </is>
      </c>
      <c r="C182" s="16" t="n">
        <v>5</v>
      </c>
      <c r="D182" s="17" t="inlineStr">
        <is>
          <t>5단계</t>
        </is>
      </c>
      <c r="E182" s="16" t="n">
        <v>100</v>
      </c>
      <c r="F182" s="18" t="inlineStr">
        <is>
          <t>상기 봉사활동 참여 인센티브 제도 중 3개 이상을 도입하고 있는 경우</t>
        </is>
      </c>
    </row>
    <row r="183" ht="29.25" customHeight="1">
      <c r="A183" s="27" t="inlineStr">
        <is>
          <t>S-8-1</t>
        </is>
      </c>
      <c r="B183" s="28" t="inlineStr">
        <is>
          <t>정보보호 시스템 구축</t>
        </is>
      </c>
      <c r="C183" s="26" t="n">
        <v>1</v>
      </c>
      <c r="D183" s="28" t="inlineStr">
        <is>
          <t>요건1</t>
        </is>
      </c>
      <c r="E183" s="26" t="n">
        <v>0</v>
      </c>
      <c r="F183" s="28" t="inlineStr">
        <is>
          <t>등기임원이나 미등기임원(또는 이에 준하는 관리자급 구성원)을 정보보호 최고책임자(CISO)로 선임하고 있는 경우</t>
        </is>
      </c>
    </row>
    <row r="184" ht="15" customHeight="1">
      <c r="A184" s="17" t="inlineStr">
        <is>
          <t>S-8-1</t>
        </is>
      </c>
      <c r="B184" s="18" t="inlineStr">
        <is>
          <t>정보보호 시스템 구축</t>
        </is>
      </c>
      <c r="C184" s="16" t="n">
        <v>2</v>
      </c>
      <c r="D184" s="18" t="inlineStr">
        <is>
          <t>요건2</t>
        </is>
      </c>
      <c r="E184" s="16" t="n">
        <v>25</v>
      </c>
      <c r="F184" s="18" t="inlineStr">
        <is>
          <t>정보보호 시스템의 안정성에 대해 제3자(또는 규제기관)의 인증을 획득하고 있는 경우</t>
        </is>
      </c>
    </row>
    <row r="185" ht="15" customHeight="1">
      <c r="A185" s="27" t="inlineStr">
        <is>
          <t>S-8-1</t>
        </is>
      </c>
      <c r="B185" s="28" t="inlineStr">
        <is>
          <t>정보보호 시스템 구축</t>
        </is>
      </c>
      <c r="C185" s="26" t="n">
        <v>3</v>
      </c>
      <c r="D185" s="28" t="inlineStr">
        <is>
          <t>요건3</t>
        </is>
      </c>
      <c r="E185" s="26" t="n">
        <v>50</v>
      </c>
      <c r="F185" s="28" t="inlineStr">
        <is>
          <t>모의해킹 등 외부공격에 대한 취약성 분석을 실시하고 있는 경우</t>
        </is>
      </c>
    </row>
    <row r="186" ht="15" customHeight="1">
      <c r="A186" s="17" t="inlineStr">
        <is>
          <t>S-8-1</t>
        </is>
      </c>
      <c r="B186" s="18" t="inlineStr">
        <is>
          <t>정보보호 시스템 구축</t>
        </is>
      </c>
      <c r="C186" s="16" t="n">
        <v>4</v>
      </c>
      <c r="D186" s="18" t="inlineStr">
        <is>
          <t>요건4</t>
        </is>
      </c>
      <c r="E186" s="16" t="n">
        <v>75</v>
      </c>
      <c r="F186" s="18" t="inlineStr">
        <is>
          <t>정보보호 공시(의무 또는 자율)사항을 이행하고 있는 경우</t>
        </is>
      </c>
    </row>
    <row r="187" ht="15" customHeight="1">
      <c r="A187" s="27" t="inlineStr">
        <is>
          <t>S-8-1</t>
        </is>
      </c>
      <c r="B187" s="28" t="inlineStr">
        <is>
          <t>정보보호 시스템 구축</t>
        </is>
      </c>
      <c r="C187" s="26" t="n">
        <v>5</v>
      </c>
      <c r="D187" s="28" t="inlineStr">
        <is>
          <t>요건5</t>
        </is>
      </c>
      <c r="E187" s="26" t="n">
        <v>100</v>
      </c>
      <c r="F187" s="28" t="inlineStr">
        <is>
          <t>정보보호 시스템의 손상 또는 외부공격 등 정보보안 관련 사고에 대비하기 위한 보험에 가입하고 있는 경우</t>
        </is>
      </c>
    </row>
    <row r="188" ht="15" customHeight="1">
      <c r="A188" s="17" t="inlineStr">
        <is>
          <t>G-1-2</t>
        </is>
      </c>
      <c r="B188" s="18" t="inlineStr">
        <is>
          <t>사외이사 비율</t>
        </is>
      </c>
      <c r="C188" s="16" t="n">
        <v>1</v>
      </c>
      <c r="D188" s="17" t="inlineStr">
        <is>
          <t>1단계</t>
        </is>
      </c>
      <c r="E188" s="16" t="n">
        <v>0</v>
      </c>
      <c r="F188" s="18" t="inlineStr">
        <is>
          <t>총원의 과반수로 구성되었으나, 사외이사가 3인인 경우</t>
        </is>
      </c>
    </row>
    <row r="189" ht="15" customHeight="1">
      <c r="A189" s="27" t="inlineStr">
        <is>
          <t>G-1-2</t>
        </is>
      </c>
      <c r="B189" s="28" t="inlineStr">
        <is>
          <t>사외이사 비율</t>
        </is>
      </c>
      <c r="C189" s="26" t="n">
        <v>2</v>
      </c>
      <c r="D189" s="27" t="inlineStr">
        <is>
          <t>2단계</t>
        </is>
      </c>
      <c r="E189" s="26" t="n">
        <v>25</v>
      </c>
      <c r="F189" s="27" t="inlineStr">
        <is>
          <t>3인 이상, 이사 총원의 과반수를 차지하고 있으나, 전체 이사 중 60% 미만인 경우</t>
        </is>
      </c>
    </row>
    <row r="190" ht="15" customHeight="1">
      <c r="A190" s="17" t="inlineStr">
        <is>
          <t>G-1-2</t>
        </is>
      </c>
      <c r="B190" s="18" t="inlineStr">
        <is>
          <t>사외이사 비율</t>
        </is>
      </c>
      <c r="C190" s="16" t="n">
        <v>3</v>
      </c>
      <c r="D190" s="17" t="inlineStr">
        <is>
          <t>3단계</t>
        </is>
      </c>
      <c r="E190" s="16" t="n">
        <v>50</v>
      </c>
      <c r="F190" s="17" t="inlineStr">
        <is>
          <t>3인 이상, 이사 총원의 과반수를 차지, 전체 이사 중 60% 이상 ~ 70% 미만인 경우</t>
        </is>
      </c>
    </row>
    <row r="191" ht="15" customHeight="1">
      <c r="A191" s="27" t="inlineStr">
        <is>
          <t>G-1-2</t>
        </is>
      </c>
      <c r="B191" s="28" t="inlineStr">
        <is>
          <t>사외이사 비율</t>
        </is>
      </c>
      <c r="C191" s="26" t="n">
        <v>4</v>
      </c>
      <c r="D191" s="27" t="inlineStr">
        <is>
          <t>4단계</t>
        </is>
      </c>
      <c r="E191" s="26" t="n">
        <v>75</v>
      </c>
      <c r="F191" s="27" t="inlineStr">
        <is>
          <t>3인 이상, 이사 총원의 과반수를 차지, 전체 이사 중 70% 이상 ~ 80% 미만인 경우</t>
        </is>
      </c>
    </row>
    <row r="192" ht="15" customHeight="1">
      <c r="A192" s="17" t="inlineStr">
        <is>
          <t>G-1-2</t>
        </is>
      </c>
      <c r="B192" s="18" t="inlineStr">
        <is>
          <t>사외이사 비율</t>
        </is>
      </c>
      <c r="C192" s="16" t="n">
        <v>5</v>
      </c>
      <c r="D192" s="17" t="inlineStr">
        <is>
          <t>5단계</t>
        </is>
      </c>
      <c r="E192" s="16" t="n">
        <v>100</v>
      </c>
      <c r="F192" s="17" t="inlineStr">
        <is>
          <t>3인 이상, 이사 총원의 과반수를 차지, 전체 이사 중 80% 이상인 경우</t>
        </is>
      </c>
    </row>
    <row r="193" ht="15" customHeight="1">
      <c r="A193" s="27" t="inlineStr">
        <is>
          <t>G-1-3</t>
        </is>
      </c>
      <c r="B193" s="28" t="inlineStr">
        <is>
          <t>대표이사와 이사회 의장 분리</t>
        </is>
      </c>
      <c r="C193" s="26" t="n">
        <v>1</v>
      </c>
      <c r="D193" s="27" t="inlineStr">
        <is>
          <t>1단계</t>
        </is>
      </c>
      <c r="E193" s="26" t="n">
        <v>0</v>
      </c>
      <c r="F193" s="28" t="inlineStr">
        <is>
          <t>현재 대표이사와 이사회 의장이 동일한 경우</t>
        </is>
      </c>
    </row>
    <row r="194" ht="15" customHeight="1">
      <c r="A194" s="17" t="inlineStr">
        <is>
          <t>G-1-3</t>
        </is>
      </c>
      <c r="B194" s="18" t="inlineStr">
        <is>
          <t>대표이사와 이사회 의장 분리</t>
        </is>
      </c>
      <c r="C194" s="16" t="n">
        <v>2</v>
      </c>
      <c r="D194" s="17" t="inlineStr">
        <is>
          <t>2단계</t>
        </is>
      </c>
      <c r="E194" s="16" t="n">
        <v>25</v>
      </c>
      <c r="F194" s="18" t="inlineStr">
        <is>
          <t>과거 대표이사 또는 이사회 의장을 역임했던 자가 현재 이사회 의장인 경우</t>
        </is>
      </c>
    </row>
    <row r="195" ht="29.25" customHeight="1">
      <c r="A195" s="27" t="inlineStr">
        <is>
          <t>G-1-3</t>
        </is>
      </c>
      <c r="B195" s="28" t="inlineStr">
        <is>
          <t>대표이사와 이사회 의장 분리</t>
        </is>
      </c>
      <c r="C195" s="26" t="n">
        <v>3</v>
      </c>
      <c r="D195" s="27" t="inlineStr">
        <is>
          <t>3단계</t>
        </is>
      </c>
      <c r="E195" s="26" t="n">
        <v>50</v>
      </c>
      <c r="F195" s="28" t="inlineStr">
        <is>
          <t>현재 이사회 의장이 과거 또는 현재의 대표이사나 이사회 의장을 역임하지 않았으나, 모회사 또는 자회사의 임원 등 독립성이 결여된 자가 이사회 의장인 경우</t>
        </is>
      </c>
    </row>
    <row r="196" ht="43.5" customHeight="1">
      <c r="A196" s="17" t="inlineStr">
        <is>
          <t>G-1-3</t>
        </is>
      </c>
      <c r="B196" s="18" t="inlineStr">
        <is>
          <t>대표이사와 이사회 의장 분리</t>
        </is>
      </c>
      <c r="C196" s="16" t="n">
        <v>4</v>
      </c>
      <c r="D196" s="17" t="inlineStr">
        <is>
          <t>4단계</t>
        </is>
      </c>
      <c r="E196" s="16" t="n">
        <v>75</v>
      </c>
      <c r="F196" s="18" t="inlineStr">
        <is>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is>
      </c>
    </row>
    <row r="197" ht="29.25" customHeight="1">
      <c r="A197" s="27" t="inlineStr">
        <is>
          <t>G-1-3</t>
        </is>
      </c>
      <c r="B197" s="28" t="inlineStr">
        <is>
          <t>대표이사와 이사회 의장 분리</t>
        </is>
      </c>
      <c r="C197" s="26" t="n">
        <v>5</v>
      </c>
      <c r="D197" s="27" t="inlineStr">
        <is>
          <t>5단계</t>
        </is>
      </c>
      <c r="E197" s="26" t="n">
        <v>100</v>
      </c>
      <c r="F197" s="28" t="inlineStr">
        <is>
          <t>과거 또는 현재 대표이사이거나, 이사회 의장을 역임한 적이 없으며, 회사로부터 독립성이 확보된 이사가 현재 이사회의 의장인 경우</t>
        </is>
      </c>
    </row>
    <row r="198" ht="15" customHeight="1">
      <c r="A198" s="17" t="inlineStr">
        <is>
          <t>G-1-4</t>
        </is>
      </c>
      <c r="B198" s="18" t="inlineStr">
        <is>
          <t>이사회 성별 다양성</t>
        </is>
      </c>
      <c r="C198" s="16" t="n">
        <v>1</v>
      </c>
      <c r="D198" s="17" t="inlineStr">
        <is>
          <t>1단계</t>
        </is>
      </c>
      <c r="E198" s="16" t="n">
        <v>0</v>
      </c>
      <c r="F198" s="18" t="inlineStr">
        <is>
          <t>이사회 내 여성 이사가 선임되어 있지 않는 경우</t>
        </is>
      </c>
    </row>
    <row r="199" ht="15" customHeight="1">
      <c r="A199" s="27" t="inlineStr">
        <is>
          <t>G-1-4</t>
        </is>
      </c>
      <c r="B199" s="28" t="inlineStr">
        <is>
          <t>이사회 성별 다양성</t>
        </is>
      </c>
      <c r="C199" s="26" t="n">
        <v>2</v>
      </c>
      <c r="D199" s="27" t="inlineStr">
        <is>
          <t>2단계</t>
        </is>
      </c>
      <c r="E199" s="26" t="n">
        <v>25</v>
      </c>
      <c r="F199" s="28" t="inlineStr">
        <is>
          <t>이사회 내 여성 이사가 1명만 선임되어 있는 경우</t>
        </is>
      </c>
    </row>
    <row r="200" ht="15" customHeight="1">
      <c r="A200" s="17" t="inlineStr">
        <is>
          <t>G-1-4</t>
        </is>
      </c>
      <c r="B200" s="18" t="inlineStr">
        <is>
          <t>이사회 성별 다양성</t>
        </is>
      </c>
      <c r="C200" s="16" t="n">
        <v>3</v>
      </c>
      <c r="D200" s="17" t="inlineStr">
        <is>
          <t>3단계</t>
        </is>
      </c>
      <c r="E200" s="16" t="n">
        <v>50</v>
      </c>
      <c r="F200" s="18" t="inlineStr">
        <is>
          <t>이사회 내 여성 이사가 2명 이상이며, 그 비율이 10% 이상 ~ 20% 미만인 경우</t>
        </is>
      </c>
    </row>
    <row r="201" ht="15" customHeight="1">
      <c r="A201" s="27" t="inlineStr">
        <is>
          <t>G-1-4</t>
        </is>
      </c>
      <c r="B201" s="28" t="inlineStr">
        <is>
          <t>이사회 성별 다양성</t>
        </is>
      </c>
      <c r="C201" s="26" t="n">
        <v>4</v>
      </c>
      <c r="D201" s="27" t="inlineStr">
        <is>
          <t>4단계</t>
        </is>
      </c>
      <c r="E201" s="26" t="n">
        <v>75</v>
      </c>
      <c r="F201" s="28" t="inlineStr">
        <is>
          <t>이사회 내 여성 이사가 2명 이상이며, 그 비율이 20% 이상 ~ 30% 미만인 경우</t>
        </is>
      </c>
    </row>
    <row r="202" ht="29.25" customHeight="1">
      <c r="A202" s="17" t="inlineStr">
        <is>
          <t>G-1-4</t>
        </is>
      </c>
      <c r="B202" s="18" t="inlineStr">
        <is>
          <t>이사회 성별 다양성</t>
        </is>
      </c>
      <c r="C202" s="16" t="n">
        <v>5</v>
      </c>
      <c r="D202" s="17" t="inlineStr">
        <is>
          <t>5단계</t>
        </is>
      </c>
      <c r="E202" s="16" t="n">
        <v>100</v>
      </c>
      <c r="F202" s="18" t="inlineStr">
        <is>
          <t>이사회 내 여성 이사가 2명 이상이며, 그 비율이 30% 이상인 경우 * 이사회 내 다수 성(性)이 여성일 경우에는 반대로 적용</t>
        </is>
      </c>
    </row>
    <row r="203" ht="15" customHeight="1">
      <c r="A203" s="27" t="inlineStr">
        <is>
          <t>G-1-5</t>
        </is>
      </c>
      <c r="B203" s="28" t="inlineStr">
        <is>
          <t>사외이사 전문성</t>
        </is>
      </c>
      <c r="C203" s="26" t="n">
        <v>1</v>
      </c>
      <c r="D203" s="27" t="inlineStr">
        <is>
          <t>1단계</t>
        </is>
      </c>
      <c r="E203" s="26" t="n">
        <v>0</v>
      </c>
      <c r="F203" s="28" t="inlineStr">
        <is>
          <t>동종산업 경력을 보유한 사외이사가 없는 경우</t>
        </is>
      </c>
    </row>
    <row r="204" ht="15" customHeight="1">
      <c r="A204" s="17" t="inlineStr">
        <is>
          <t>G-1-5</t>
        </is>
      </c>
      <c r="B204" s="18" t="inlineStr">
        <is>
          <t>사외이사 전문성</t>
        </is>
      </c>
      <c r="C204" s="16" t="n">
        <v>2</v>
      </c>
      <c r="D204" s="17" t="inlineStr">
        <is>
          <t>2단계</t>
        </is>
      </c>
      <c r="E204" s="16" t="n">
        <v>50</v>
      </c>
      <c r="F204" s="18" t="inlineStr">
        <is>
          <t>동종산업 경력을 보유한 사외이사가 1명 이상인 경우</t>
        </is>
      </c>
    </row>
    <row r="205" ht="15" customHeight="1">
      <c r="A205" s="27" t="inlineStr">
        <is>
          <t>G-1-5</t>
        </is>
      </c>
      <c r="B205" s="28" t="inlineStr">
        <is>
          <t>사외이사 전문성</t>
        </is>
      </c>
      <c r="C205" s="26" t="n">
        <v>3</v>
      </c>
      <c r="D205" s="27" t="inlineStr">
        <is>
          <t>3단계</t>
        </is>
      </c>
      <c r="E205" s="26" t="n">
        <v>100</v>
      </c>
      <c r="F205" s="28" t="inlineStr">
        <is>
          <t>동종산업 경력을 보유한 사외이사가 50% 이상인 경우</t>
        </is>
      </c>
    </row>
    <row r="206" ht="15" customHeight="1">
      <c r="A206" s="17" t="inlineStr">
        <is>
          <t>G-2-1</t>
        </is>
      </c>
      <c r="B206" s="18" t="inlineStr">
        <is>
          <t>전체 이사 출석률</t>
        </is>
      </c>
      <c r="C206" s="16" t="n">
        <v>1</v>
      </c>
      <c r="D206" s="17" t="inlineStr">
        <is>
          <t>1단계</t>
        </is>
      </c>
      <c r="E206" s="16" t="n">
        <v>0</v>
      </c>
      <c r="F206" s="18" t="inlineStr">
        <is>
          <t>이사회 구성원 평균 출석률이 75% 미만인 경우</t>
        </is>
      </c>
    </row>
    <row r="207" ht="15" customHeight="1">
      <c r="A207" s="27" t="inlineStr">
        <is>
          <t>G-2-1</t>
        </is>
      </c>
      <c r="B207" s="28" t="inlineStr">
        <is>
          <t>전체 이사 출석률</t>
        </is>
      </c>
      <c r="C207" s="26" t="n">
        <v>2</v>
      </c>
      <c r="D207" s="27" t="inlineStr">
        <is>
          <t>2단계</t>
        </is>
      </c>
      <c r="E207" s="26" t="n">
        <v>25</v>
      </c>
      <c r="F207" s="28" t="inlineStr">
        <is>
          <t>이사회 구성원 평균 출석률이 75% 이상 85% 미만인 경우</t>
        </is>
      </c>
    </row>
    <row r="208" ht="15" customHeight="1">
      <c r="A208" s="17" t="inlineStr">
        <is>
          <t>G-2-1</t>
        </is>
      </c>
      <c r="B208" s="18" t="inlineStr">
        <is>
          <t>전체 이사 출석률</t>
        </is>
      </c>
      <c r="C208" s="16" t="n">
        <v>3</v>
      </c>
      <c r="D208" s="17" t="inlineStr">
        <is>
          <t>3단계</t>
        </is>
      </c>
      <c r="E208" s="16" t="n">
        <v>50</v>
      </c>
      <c r="F208" s="18" t="inlineStr">
        <is>
          <t>이사회 구성원 평균 출석률이 85% 이상 90% 미만인 경우</t>
        </is>
      </c>
    </row>
    <row r="209" ht="15" customHeight="1">
      <c r="A209" s="27" t="inlineStr">
        <is>
          <t>G-2-1</t>
        </is>
      </c>
      <c r="B209" s="28" t="inlineStr">
        <is>
          <t>전체 이사 출석률</t>
        </is>
      </c>
      <c r="C209" s="26" t="n">
        <v>4</v>
      </c>
      <c r="D209" s="27" t="inlineStr">
        <is>
          <t>4단계</t>
        </is>
      </c>
      <c r="E209" s="26" t="n">
        <v>75</v>
      </c>
      <c r="F209" s="28" t="inlineStr">
        <is>
          <t>이사회 구성원 평균 출석률이 90% 이상 95% 미만인 경우</t>
        </is>
      </c>
    </row>
    <row r="210" ht="15" customHeight="1">
      <c r="A210" s="17" t="inlineStr">
        <is>
          <t>G-2-1</t>
        </is>
      </c>
      <c r="B210" s="18" t="inlineStr">
        <is>
          <t>전체 이사 출석률</t>
        </is>
      </c>
      <c r="C210" s="16" t="n">
        <v>5</v>
      </c>
      <c r="D210" s="17" t="inlineStr">
        <is>
          <t>5단계</t>
        </is>
      </c>
      <c r="E210" s="16" t="n">
        <v>100</v>
      </c>
      <c r="F210" s="18" t="inlineStr">
        <is>
          <t>이사회 구성원 평균 출석률이 95% 이상인 경우</t>
        </is>
      </c>
    </row>
    <row r="211" ht="15" customHeight="1">
      <c r="A211" s="27" t="inlineStr">
        <is>
          <t>G-2-2</t>
        </is>
      </c>
      <c r="B211" s="28" t="inlineStr">
        <is>
          <t>사내이사 출석률</t>
        </is>
      </c>
      <c r="C211" s="26" t="n">
        <v>1</v>
      </c>
      <c r="D211" s="27" t="inlineStr">
        <is>
          <t>1단계</t>
        </is>
      </c>
      <c r="E211" s="26" t="n">
        <v>0</v>
      </c>
      <c r="F211" s="28" t="inlineStr">
        <is>
          <t>사내이사 평균 출석률이 75% 미만인 경우</t>
        </is>
      </c>
    </row>
    <row r="212" ht="15" customHeight="1">
      <c r="A212" s="17" t="inlineStr">
        <is>
          <t>G-2-2</t>
        </is>
      </c>
      <c r="B212" s="18" t="inlineStr">
        <is>
          <t>사내이사 출석률</t>
        </is>
      </c>
      <c r="C212" s="16" t="n">
        <v>2</v>
      </c>
      <c r="D212" s="17" t="inlineStr">
        <is>
          <t>2단계</t>
        </is>
      </c>
      <c r="E212" s="16" t="n">
        <v>25</v>
      </c>
      <c r="F212" s="18" t="inlineStr">
        <is>
          <t>사내이사 평균 출석률이 75% 이상 85% 미만인 경우</t>
        </is>
      </c>
    </row>
    <row r="213" ht="15" customHeight="1">
      <c r="A213" s="27" t="inlineStr">
        <is>
          <t>G-2-2</t>
        </is>
      </c>
      <c r="B213" s="28" t="inlineStr">
        <is>
          <t>사내이사 출석률</t>
        </is>
      </c>
      <c r="C213" s="26" t="n">
        <v>3</v>
      </c>
      <c r="D213" s="27" t="inlineStr">
        <is>
          <t>3단계</t>
        </is>
      </c>
      <c r="E213" s="26" t="n">
        <v>50</v>
      </c>
      <c r="F213" s="28" t="inlineStr">
        <is>
          <t>사내이사 평균 출석률이 85% 이상 90% 미만인 경우</t>
        </is>
      </c>
    </row>
    <row r="214" ht="15" customHeight="1">
      <c r="A214" s="17" t="inlineStr">
        <is>
          <t>G-2-2</t>
        </is>
      </c>
      <c r="B214" s="18" t="inlineStr">
        <is>
          <t>사내이사 출석률</t>
        </is>
      </c>
      <c r="C214" s="16" t="n">
        <v>4</v>
      </c>
      <c r="D214" s="17" t="inlineStr">
        <is>
          <t>4단계</t>
        </is>
      </c>
      <c r="E214" s="16" t="n">
        <v>75</v>
      </c>
      <c r="F214" s="18" t="inlineStr">
        <is>
          <t>사내이사 평균 출석률이 90% 이상 95% 미만인 경우</t>
        </is>
      </c>
    </row>
    <row r="215" ht="15" customHeight="1">
      <c r="A215" s="27" t="inlineStr">
        <is>
          <t>G-2-2</t>
        </is>
      </c>
      <c r="B215" s="28" t="inlineStr">
        <is>
          <t>사내이사 출석률</t>
        </is>
      </c>
      <c r="C215" s="26" t="n">
        <v>5</v>
      </c>
      <c r="D215" s="27" t="inlineStr">
        <is>
          <t>5단계</t>
        </is>
      </c>
      <c r="E215" s="26" t="n">
        <v>100</v>
      </c>
      <c r="F215" s="28" t="inlineStr">
        <is>
          <t>사내이사 평균 출석률이 95% 이상인 경우</t>
        </is>
      </c>
    </row>
    <row r="216" ht="29.25" customHeight="1">
      <c r="A216" s="17" t="inlineStr">
        <is>
          <t>G-2-3</t>
        </is>
      </c>
      <c r="B216" s="18" t="inlineStr">
        <is>
          <t>이사회 산하 위원회</t>
        </is>
      </c>
      <c r="C216" s="16" t="n">
        <v>1</v>
      </c>
      <c r="D216" s="18" t="inlineStr">
        <is>
          <t>요건1</t>
        </is>
      </c>
      <c r="E216" s="16" t="n">
        <v>0</v>
      </c>
      <c r="F216" s="18" t="inlineStr">
        <is>
          <t>이사회 산하 모든 위원회 설치는 정관에 근거하고 있으며, 모든 위원회에 대해 ‘운영규정’을 제정하고 있는 경우</t>
        </is>
      </c>
    </row>
    <row r="217" ht="29.25" customHeight="1">
      <c r="A217" s="27" t="inlineStr">
        <is>
          <t>G-2-3</t>
        </is>
      </c>
      <c r="B217" s="28" t="inlineStr">
        <is>
          <t>이사회 산하 위원회</t>
        </is>
      </c>
      <c r="C217" s="26" t="n">
        <v>2</v>
      </c>
      <c r="D217" s="28" t="inlineStr">
        <is>
          <t>요건2</t>
        </is>
      </c>
      <c r="E217" s="26" t="n">
        <v>25</v>
      </c>
      <c r="F217" s="28" t="inlineStr">
        <is>
          <t>특정 이사(사내이사, 사외이사, 기타비상임이사)가 이사회 산하 모든 위원회의 구성원으로 선임되어 있지 않은 경우</t>
        </is>
      </c>
    </row>
    <row r="218" ht="15" customHeight="1">
      <c r="A218" s="17" t="inlineStr">
        <is>
          <t>G-2-3</t>
        </is>
      </c>
      <c r="B218" s="18" t="inlineStr">
        <is>
          <t>이사회 산하 위원회</t>
        </is>
      </c>
      <c r="C218" s="16" t="n">
        <v>3</v>
      </c>
      <c r="D218" s="18" t="inlineStr">
        <is>
          <t>요건3</t>
        </is>
      </c>
      <c r="E218" s="16" t="n">
        <v>50</v>
      </c>
      <c r="F218" s="18" t="inlineStr">
        <is>
          <t>이사회 산하 모든 위원회가 구성원의 과반수 이상을 사외이사로 선임하고 있는 경우</t>
        </is>
      </c>
    </row>
    <row r="219" ht="15" customHeight="1">
      <c r="A219" s="27" t="inlineStr">
        <is>
          <t>G-2-3</t>
        </is>
      </c>
      <c r="B219" s="28" t="inlineStr">
        <is>
          <t>이사회 산하 위원회</t>
        </is>
      </c>
      <c r="C219" s="26" t="n">
        <v>4</v>
      </c>
      <c r="D219" s="28" t="inlineStr">
        <is>
          <t>요건4</t>
        </is>
      </c>
      <c r="E219" s="26" t="n">
        <v>75</v>
      </c>
      <c r="F219" s="28" t="inlineStr">
        <is>
          <t>직전 회계연도 중 이사회 산하 위원회 개최 횟수가 평균적으로 3회 이상인 경우</t>
        </is>
      </c>
    </row>
    <row r="220" ht="15" customHeight="1">
      <c r="A220" s="17" t="inlineStr">
        <is>
          <t>G-2-3</t>
        </is>
      </c>
      <c r="B220" s="18" t="inlineStr">
        <is>
          <t>이사회 산하 위원회</t>
        </is>
      </c>
      <c r="C220" s="16" t="n">
        <v>5</v>
      </c>
      <c r="D220" s="18" t="inlineStr">
        <is>
          <t>요건5</t>
        </is>
      </c>
      <c r="E220" s="16" t="n">
        <v>100</v>
      </c>
      <c r="F220" s="18" t="inlineStr">
        <is>
          <t>직전 회계연도 중 이사회 산하 모든 위원회가 심의/의결 안건을 다룬 경우</t>
        </is>
      </c>
    </row>
    <row r="221" ht="15" customHeight="1">
      <c r="A221" s="27" t="inlineStr">
        <is>
          <t>G-2-4</t>
        </is>
      </c>
      <c r="B221" s="28" t="inlineStr">
        <is>
          <t>이사회 안건 처리</t>
        </is>
      </c>
      <c r="C221" s="26" t="n">
        <v>1</v>
      </c>
      <c r="D221" s="27" t="inlineStr">
        <is>
          <t>1단계</t>
        </is>
      </c>
      <c r="E221" s="26" t="n">
        <v>0</v>
      </c>
      <c r="F221" s="28" t="inlineStr">
        <is>
          <t>안건에 대한 수정, 보완, 반대하는 의견이 한 건도 없는 경우</t>
        </is>
      </c>
    </row>
    <row r="222" ht="15" customHeight="1">
      <c r="A222" s="17" t="inlineStr">
        <is>
          <t>G-2-4</t>
        </is>
      </c>
      <c r="B222" s="18" t="inlineStr">
        <is>
          <t>이사회 안건 처리</t>
        </is>
      </c>
      <c r="C222" s="16" t="n">
        <v>2</v>
      </c>
      <c r="D222" s="17" t="inlineStr">
        <is>
          <t>2단계</t>
        </is>
      </c>
      <c r="E222" s="16" t="n">
        <v>50</v>
      </c>
      <c r="F222" s="18" t="inlineStr">
        <is>
          <t>안건에 대한 수정, 보완, 반대하는 의견이 한 건 이상 존재하는 경우</t>
        </is>
      </c>
    </row>
    <row r="223" ht="15" customHeight="1">
      <c r="A223" s="27" t="inlineStr">
        <is>
          <t>G-2-4</t>
        </is>
      </c>
      <c r="B223" s="28" t="inlineStr">
        <is>
          <t>이사회 안건 처리</t>
        </is>
      </c>
      <c r="C223" s="26" t="n">
        <v>3</v>
      </c>
      <c r="D223" s="27" t="inlineStr">
        <is>
          <t>3단계</t>
        </is>
      </c>
      <c r="E223" s="26" t="n">
        <v>100</v>
      </c>
      <c r="F223" s="28" t="inlineStr">
        <is>
          <t>안건에 대한 수정, 보완, 반대하는 의견이 5% 이상 존재하는 경우</t>
        </is>
      </c>
    </row>
    <row r="224" ht="15" customHeight="1">
      <c r="A224" s="17" t="inlineStr">
        <is>
          <t>G-3-1</t>
        </is>
      </c>
      <c r="B224" s="18" t="inlineStr">
        <is>
          <t>주주총회 소집 공고</t>
        </is>
      </c>
      <c r="C224" s="16" t="n">
        <v>1</v>
      </c>
      <c r="D224" s="17" t="inlineStr">
        <is>
          <t>1단계</t>
        </is>
      </c>
      <c r="E224" s="16" t="n">
        <v>0</v>
      </c>
      <c r="F224" s="18" t="inlineStr">
        <is>
          <t>주주총회 소집 공고를 서면으로만 통지하거나, 주주의 동의를 받아 전자문서로만 하는 경우</t>
        </is>
      </c>
    </row>
    <row r="225" ht="15" customHeight="1">
      <c r="A225" s="27" t="inlineStr">
        <is>
          <t>G-3-1</t>
        </is>
      </c>
      <c r="B225" s="28" t="inlineStr">
        <is>
          <t>주주총회 소집 공고</t>
        </is>
      </c>
      <c r="C225" s="26" t="n">
        <v>2</v>
      </c>
      <c r="D225" s="27" t="inlineStr">
        <is>
          <t>2단계</t>
        </is>
      </c>
      <c r="E225" s="26" t="n">
        <v>25</v>
      </c>
      <c r="F225" s="28" t="inlineStr">
        <is>
          <t>서면 또는 전자문서로 통지하는 방식 外 1개의 추가 방식을 이용하는 경우</t>
        </is>
      </c>
    </row>
    <row r="226" ht="15" customHeight="1">
      <c r="A226" s="17" t="inlineStr">
        <is>
          <t>G-3-1</t>
        </is>
      </c>
      <c r="B226" s="18" t="inlineStr">
        <is>
          <t>주주총회 소집 공고</t>
        </is>
      </c>
      <c r="C226" s="16" t="n">
        <v>3</v>
      </c>
      <c r="D226" s="17" t="inlineStr">
        <is>
          <t>3단계</t>
        </is>
      </c>
      <c r="E226" s="16" t="n">
        <v>50</v>
      </c>
      <c r="F226" s="18" t="inlineStr">
        <is>
          <t>서면 또는 전자문서로 통지하는 방식 外 2개의 추가 방식을 이용하는 경우</t>
        </is>
      </c>
    </row>
    <row r="227" ht="15" customHeight="1">
      <c r="A227" s="27" t="inlineStr">
        <is>
          <t>G-3-1</t>
        </is>
      </c>
      <c r="B227" s="28" t="inlineStr">
        <is>
          <t>주주총회 소집 공고</t>
        </is>
      </c>
      <c r="C227" s="26" t="n">
        <v>4</v>
      </c>
      <c r="D227" s="27" t="inlineStr">
        <is>
          <t>4단계</t>
        </is>
      </c>
      <c r="E227" s="26" t="n">
        <v>75</v>
      </c>
      <c r="F227" s="28" t="inlineStr">
        <is>
          <t>서면 또는 전자문서로 통지하는 방식 外 3개의 추가 방식을 이용하는 경우</t>
        </is>
      </c>
    </row>
    <row r="228" ht="15" customHeight="1">
      <c r="A228" s="17" t="inlineStr">
        <is>
          <t>G-3-1</t>
        </is>
      </c>
      <c r="B228" s="18" t="inlineStr">
        <is>
          <t>주주총회 소집 공고</t>
        </is>
      </c>
      <c r="C228" s="16" t="n">
        <v>5</v>
      </c>
      <c r="D228" s="17" t="inlineStr">
        <is>
          <t>5단계</t>
        </is>
      </c>
      <c r="E228" s="16" t="n">
        <v>100</v>
      </c>
      <c r="F228" s="18" t="inlineStr">
        <is>
          <t>서면 또는 전자문서로 통지하는 방식 外 4개 이상의 추가 방식을 이용하는 경우</t>
        </is>
      </c>
    </row>
    <row r="229" ht="15" customHeight="1">
      <c r="A229" s="27" t="inlineStr">
        <is>
          <t>G-3-2</t>
        </is>
      </c>
      <c r="B229" s="28" t="inlineStr">
        <is>
          <t>주주총회 집중일 이외 개최</t>
        </is>
      </c>
      <c r="C229" s="26" t="n">
        <v>1</v>
      </c>
      <c r="D229" s="28" t="inlineStr">
        <is>
          <t>요건1</t>
        </is>
      </c>
      <c r="E229" s="26" t="n">
        <v>0</v>
      </c>
      <c r="F229" s="28" t="inlineStr">
        <is>
          <t>주주총회 개최일을 지정하는데 있어, 재무결산 및 감사보고서 발행일을 고려함</t>
        </is>
      </c>
    </row>
    <row r="230" ht="15" customHeight="1">
      <c r="A230" s="17" t="inlineStr">
        <is>
          <t>G-3-2</t>
        </is>
      </c>
      <c r="B230" s="18" t="inlineStr">
        <is>
          <t>주주총회 집중일 이외 개최</t>
        </is>
      </c>
      <c r="C230" s="16" t="n">
        <v>2</v>
      </c>
      <c r="D230" s="18" t="inlineStr">
        <is>
          <t>요건2</t>
        </is>
      </c>
      <c r="E230" s="16" t="n">
        <v>25</v>
      </c>
      <c r="F230" s="18" t="inlineStr">
        <is>
          <t>주주총회 개최일을 지정하는데 있어, 조직의 연간 업무계획 및 경영진 등의 업무일정을 고려함</t>
        </is>
      </c>
    </row>
    <row r="231" ht="15" customHeight="1">
      <c r="A231" s="27" t="inlineStr">
        <is>
          <t>G-3-2</t>
        </is>
      </c>
      <c r="B231" s="28" t="inlineStr">
        <is>
          <t>주주총회 집중일 이외 개최</t>
        </is>
      </c>
      <c r="C231" s="26" t="n">
        <v>3</v>
      </c>
      <c r="D231" s="28" t="inlineStr">
        <is>
          <t>요건3</t>
        </is>
      </c>
      <c r="E231" s="26" t="n">
        <v>50</v>
      </c>
      <c r="F231" s="28" t="inlineStr">
        <is>
          <t>주주총회 개최일을 지정하는데 있어, 연기금, 기관투자자, 의결권자문사 등의 주요 시장 참여자 의견을 수렴함</t>
        </is>
      </c>
    </row>
    <row r="232" ht="15" customHeight="1">
      <c r="A232" s="17" t="inlineStr">
        <is>
          <t>G-3-2</t>
        </is>
      </c>
      <c r="B232" s="18" t="inlineStr">
        <is>
          <t>주주총회 집중일 이외 개최</t>
        </is>
      </c>
      <c r="C232" s="16" t="n">
        <v>4</v>
      </c>
      <c r="D232" s="18" t="inlineStr">
        <is>
          <t>요건4</t>
        </is>
      </c>
      <c r="E232" s="16" t="n">
        <v>75</v>
      </c>
      <c r="F232" s="18" t="inlineStr">
        <is>
          <t>주주총회 개최일을 지정하는데 있어, 소액주주 및 기타 이해관계자 등의 의견을 수렴함</t>
        </is>
      </c>
    </row>
    <row r="233" ht="15" customHeight="1">
      <c r="A233" s="27" t="inlineStr">
        <is>
          <t>G-3-2</t>
        </is>
      </c>
      <c r="B233" s="28" t="inlineStr">
        <is>
          <t>주주총회 집중일 이외 개최</t>
        </is>
      </c>
      <c r="C233" s="26" t="n">
        <v>5</v>
      </c>
      <c r="D233" s="28" t="inlineStr">
        <is>
          <t>요건5</t>
        </is>
      </c>
      <c r="E233" s="26" t="n">
        <v>100</v>
      </c>
      <c r="F233" s="28" t="inlineStr">
        <is>
          <t>주주총회 개최일을 지정하는데 있어, 주주총회 예상 집중일을 고려함</t>
        </is>
      </c>
    </row>
    <row r="234" ht="15" customHeight="1">
      <c r="A234" s="17" t="inlineStr">
        <is>
          <t>G-3-4</t>
        </is>
      </c>
      <c r="B234" s="18" t="inlineStr">
        <is>
          <t>배당정책 및 이행</t>
        </is>
      </c>
      <c r="C234" s="16" t="n">
        <v>1</v>
      </c>
      <c r="D234" s="17" t="inlineStr">
        <is>
          <t>1단계</t>
        </is>
      </c>
      <c r="E234" s="16" t="n">
        <v>0</v>
      </c>
      <c r="F234" s="18" t="inlineStr">
        <is>
          <t>주주에게 배당정책 및 배당계획을 통지하지 아니한 경우</t>
        </is>
      </c>
    </row>
    <row r="235" ht="15" customHeight="1">
      <c r="A235" s="27" t="inlineStr">
        <is>
          <t>G-3-4</t>
        </is>
      </c>
      <c r="B235" s="28" t="inlineStr">
        <is>
          <t>배당정책 및 이행</t>
        </is>
      </c>
      <c r="C235" s="26" t="n">
        <v>2</v>
      </c>
      <c r="D235" s="27" t="inlineStr">
        <is>
          <t>2단계</t>
        </is>
      </c>
      <c r="E235" s="26" t="n">
        <v>50</v>
      </c>
      <c r="F235" s="28" t="inlineStr">
        <is>
          <t>주주에게 배당정책 및 배당계획을 연 1회 이상 통지한 경우</t>
        </is>
      </c>
    </row>
    <row r="236" ht="15" customHeight="1">
      <c r="A236" s="17" t="inlineStr">
        <is>
          <t>G-3-4</t>
        </is>
      </c>
      <c r="B236" s="18" t="inlineStr">
        <is>
          <t>배당정책 및 이행</t>
        </is>
      </c>
      <c r="C236" s="16" t="n">
        <v>3</v>
      </c>
      <c r="D236" s="17" t="inlineStr">
        <is>
          <t>3단계</t>
        </is>
      </c>
      <c r="E236" s="16" t="n">
        <v>100</v>
      </c>
      <c r="F236" s="18" t="inlineStr">
        <is>
          <t>주주에게 배당정책 및 배당계획을 연 1회 인상 통지하였으며, 배당정책 및 배당계획대로 배당을 집행한 경우</t>
        </is>
      </c>
    </row>
    <row r="237" ht="15" customHeight="1">
      <c r="A237" s="27" t="inlineStr">
        <is>
          <t>G-4-1</t>
        </is>
      </c>
      <c r="B237" s="28" t="inlineStr">
        <is>
          <t>윤리규범 위반사항 공시</t>
        </is>
      </c>
      <c r="C237" s="26" t="n">
        <v>1</v>
      </c>
      <c r="D237" s="28" t="inlineStr">
        <is>
          <t>요건1</t>
        </is>
      </c>
      <c r="E237" s="26" t="n">
        <v>0</v>
      </c>
      <c r="F237" s="28" t="inlineStr">
        <is>
          <t>윤리규범 위반 건수를 공시하고 있는 경우</t>
        </is>
      </c>
    </row>
    <row r="238" ht="15" customHeight="1">
      <c r="A238" s="17" t="inlineStr">
        <is>
          <t>G-4-1</t>
        </is>
      </c>
      <c r="B238" s="18" t="inlineStr">
        <is>
          <t>윤리규범 위반사항 공시</t>
        </is>
      </c>
      <c r="C238" s="16" t="n">
        <v>2</v>
      </c>
      <c r="D238" s="18" t="inlineStr">
        <is>
          <t>요건2</t>
        </is>
      </c>
      <c r="E238" s="16" t="n">
        <v>25</v>
      </c>
      <c r="F238" s="18" t="inlineStr">
        <is>
          <t>윤리규범 위반한 구성원 수를 공시하고 있는 경우</t>
        </is>
      </c>
    </row>
    <row r="239" ht="15" customHeight="1">
      <c r="A239" s="27" t="inlineStr">
        <is>
          <t>G-4-1</t>
        </is>
      </c>
      <c r="B239" s="28" t="inlineStr">
        <is>
          <t>윤리규범 위반사항 공시</t>
        </is>
      </c>
      <c r="C239" s="26" t="n">
        <v>3</v>
      </c>
      <c r="D239" s="28" t="inlineStr">
        <is>
          <t>요건3</t>
        </is>
      </c>
      <c r="E239" s="26" t="n">
        <v>50</v>
      </c>
      <c r="F239" s="28" t="inlineStr">
        <is>
          <t>윤리규범 위반 건과 관련한 처벌내역(사법상, 행정상)을 공시하고 있는 경우</t>
        </is>
      </c>
    </row>
    <row r="240" ht="15" customHeight="1">
      <c r="A240" s="17" t="inlineStr">
        <is>
          <t>G-4-1</t>
        </is>
      </c>
      <c r="B240" s="18" t="inlineStr">
        <is>
          <t>윤리규범 위반사항 공시</t>
        </is>
      </c>
      <c r="C240" s="16" t="n">
        <v>4</v>
      </c>
      <c r="D240" s="18" t="inlineStr">
        <is>
          <t>요건4</t>
        </is>
      </c>
      <c r="E240" s="16" t="n">
        <v>75</v>
      </c>
      <c r="F240" s="18" t="inlineStr">
        <is>
          <t>윤리규범 위반 건과 관련된 구성원 처분내역(인사상)을 공시하고 있는 경우</t>
        </is>
      </c>
    </row>
    <row r="241" ht="15" customHeight="1">
      <c r="A241" s="27" t="inlineStr">
        <is>
          <t>G-4-1</t>
        </is>
      </c>
      <c r="B241" s="28" t="inlineStr">
        <is>
          <t>윤리규범 위반사항 공시</t>
        </is>
      </c>
      <c r="C241" s="26" t="n">
        <v>5</v>
      </c>
      <c r="D241" s="28" t="inlineStr">
        <is>
          <t>요건5</t>
        </is>
      </c>
      <c r="E241" s="26" t="n">
        <v>100</v>
      </c>
      <c r="F241" s="28" t="inlineStr">
        <is>
          <t>윤리규범 위반 사건 재발방지를 위한 개선활동 및 계획을 공시하고 있는 경우 * 선택 항목의 합산값으로 평가</t>
        </is>
      </c>
    </row>
    <row r="242" ht="15" customHeight="1">
      <c r="A242" s="17" t="inlineStr">
        <is>
          <t>G-5-1</t>
        </is>
      </c>
      <c r="B242" s="18" t="inlineStr">
        <is>
          <t>내부감사부서 설치</t>
        </is>
      </c>
      <c r="C242" s="16" t="n">
        <v>1</v>
      </c>
      <c r="D242" s="17" t="inlineStr">
        <is>
          <t>1단계</t>
        </is>
      </c>
      <c r="E242" s="16" t="n">
        <v>0</v>
      </c>
      <c r="F242" s="18" t="inlineStr">
        <is>
          <t>내부감사부서를 두고 있지 않거나, 감사 관련 업무를 수행하는 부서 또는 업무분장을 두고 있지 않은 경우</t>
        </is>
      </c>
    </row>
    <row r="243" ht="15" customHeight="1">
      <c r="A243" s="27" t="inlineStr">
        <is>
          <t>G-5-1</t>
        </is>
      </c>
      <c r="B243" s="28" t="inlineStr">
        <is>
          <t>내부감사부서 설치</t>
        </is>
      </c>
      <c r="C243" s="26" t="n">
        <v>2</v>
      </c>
      <c r="D243" s="27" t="inlineStr">
        <is>
          <t>2단계</t>
        </is>
      </c>
      <c r="E243" s="26" t="n">
        <v>25</v>
      </c>
      <c r="F243" s="28" t="inlineStr">
        <is>
          <t>내부감사부서를 두고 있지 않으나, 감사 관련 업무를 수행하는 기타 부서 및 업무분장이 있는 경우</t>
        </is>
      </c>
    </row>
    <row r="244" ht="29.25" customHeight="1">
      <c r="A244" s="17" t="inlineStr">
        <is>
          <t>G-5-1</t>
        </is>
      </c>
      <c r="B244" s="18" t="inlineStr">
        <is>
          <t>내부감사부서 설치</t>
        </is>
      </c>
      <c r="C244" s="16" t="n">
        <v>3</v>
      </c>
      <c r="D244" s="17" t="inlineStr">
        <is>
          <t>3단계</t>
        </is>
      </c>
      <c r="E244" s="16" t="n">
        <v>50</v>
      </c>
      <c r="F244" s="18" t="inlineStr">
        <is>
          <t>내부감사부서를 두고 있으나, 내부감사부서의 업무분장 등에 감사위원회 업무지원과 관련한 내용을 명시하지 않은 경우</t>
        </is>
      </c>
    </row>
    <row r="245" ht="29.25" customHeight="1">
      <c r="A245" s="27" t="inlineStr">
        <is>
          <t>G-5-1</t>
        </is>
      </c>
      <c r="B245" s="28" t="inlineStr">
        <is>
          <t>내부감사부서 설치</t>
        </is>
      </c>
      <c r="C245" s="26" t="n">
        <v>4</v>
      </c>
      <c r="D245" s="27" t="inlineStr">
        <is>
          <t>4단계</t>
        </is>
      </c>
      <c r="E245" s="26" t="n">
        <v>75</v>
      </c>
      <c r="F245" s="28" t="inlineStr">
        <is>
          <t>내부감사부서를 두고 있으며, 내부감사부서의 업무분장 등에 감사위원회 업무지원과 관련한 내용을 명시한 경우</t>
        </is>
      </c>
    </row>
    <row r="246" ht="15" customHeight="1">
      <c r="A246" s="17" t="inlineStr">
        <is>
          <t>G-5-1</t>
        </is>
      </c>
      <c r="B246" s="18" t="inlineStr">
        <is>
          <t>내부감사부서 설치</t>
        </is>
      </c>
      <c r="C246" s="16" t="n">
        <v>5</v>
      </c>
      <c r="D246" s="17" t="inlineStr">
        <is>
          <t>5단계</t>
        </is>
      </c>
      <c r="E246" s="16" t="n">
        <v>100</v>
      </c>
      <c r="F246" s="18" t="inlineStr">
        <is>
          <t>감사위원회 지원 역할만을 수행하는 별도 전담부서 또는 업무분장이 규정되어 있는 경우</t>
        </is>
      </c>
    </row>
    <row r="247" ht="29.25" customHeight="1">
      <c r="A247" s="27" t="inlineStr">
        <is>
          <t>G-5-2</t>
        </is>
      </c>
      <c r="B247" s="28" t="inlineStr">
        <is>
          <t>감사기구 전문성 (감사기구 내 회계/재무 전문가)</t>
        </is>
      </c>
      <c r="C247" s="26" t="n">
        <v>1</v>
      </c>
      <c r="D247" s="27" t="inlineStr">
        <is>
          <t>1단계</t>
        </is>
      </c>
      <c r="E247" s="26" t="n">
        <v>0</v>
      </c>
      <c r="F247" s="28" t="inlineStr">
        <is>
          <t>감사위원회 내 회계 및 재무 분야 전문성을 보유한 감사위원이 1명 선임되어 있는 경우</t>
        </is>
      </c>
    </row>
    <row r="248" ht="29.25" customHeight="1">
      <c r="A248" s="17" t="inlineStr">
        <is>
          <t>G-5-2</t>
        </is>
      </c>
      <c r="B248" s="18" t="inlineStr">
        <is>
          <t>감사기구 전문성 (감사기구 내 회계/재무 전문가)</t>
        </is>
      </c>
      <c r="C248" s="16" t="n">
        <v>2</v>
      </c>
      <c r="D248" s="17" t="inlineStr">
        <is>
          <t>2단계</t>
        </is>
      </c>
      <c r="E248" s="16" t="n">
        <v>50</v>
      </c>
      <c r="F248" s="18" t="inlineStr">
        <is>
          <t>감사위원회 내 회계 및 재무 전문가가 1명 이상 선임되어 있으나, 전체 감사위원 중 50% 이하인 경우</t>
        </is>
      </c>
    </row>
    <row r="249" ht="29.25" customHeight="1">
      <c r="A249" s="27" t="inlineStr">
        <is>
          <t>G-5-2</t>
        </is>
      </c>
      <c r="B249" s="28" t="inlineStr">
        <is>
          <t>감사기구 전문성 (감사기구 내 회계/재무 전문가)</t>
        </is>
      </c>
      <c r="C249" s="26" t="n">
        <v>3</v>
      </c>
      <c r="D249" s="27" t="inlineStr">
        <is>
          <t>3단계</t>
        </is>
      </c>
      <c r="E249" s="26" t="n">
        <v>100</v>
      </c>
      <c r="F249" s="28" t="inlineStr">
        <is>
          <t>감사위원회 내 회계 및 재무 전문가가 1명 이상 선임되어 있으며, 전체 감사위원 중 50% 초과한 경우</t>
        </is>
      </c>
    </row>
    <row r="250" ht="29.25" customHeight="1">
      <c r="A250" s="17" t="inlineStr">
        <is>
          <t>E-기후변화 대응-추가1</t>
        </is>
      </c>
      <c r="B250" s="18" t="inlineStr">
        <is>
          <t>산림탄소흡수량</t>
        </is>
      </c>
      <c r="C250" s="16" t="n">
        <v>1</v>
      </c>
      <c r="D250" s="17" t="inlineStr">
        <is>
          <t>1단계</t>
        </is>
      </c>
      <c r="E250" s="16" t="n">
        <v>0</v>
      </c>
      <c r="F250" s="18" t="inlineStr">
        <is>
          <t>과거 4년간 산림탄소흡수량 정보 없음</t>
        </is>
      </c>
    </row>
    <row r="251" ht="29.25" customHeight="1">
      <c r="A251" s="27" t="inlineStr">
        <is>
          <t>E-기후변화 대응-추가1</t>
        </is>
      </c>
      <c r="B251" s="28" t="inlineStr">
        <is>
          <t>산림탄소흡수량</t>
        </is>
      </c>
      <c r="C251" s="26" t="n">
        <v>2</v>
      </c>
      <c r="D251" s="27" t="inlineStr">
        <is>
          <t>2단계</t>
        </is>
      </c>
      <c r="E251" s="26" t="n">
        <v>25</v>
      </c>
      <c r="F251" s="28" t="inlineStr">
        <is>
          <t>과거 4년간 산림탄소흡수량 공시</t>
        </is>
      </c>
    </row>
    <row r="252" ht="29.25" customHeight="1">
      <c r="A252" s="17" t="inlineStr">
        <is>
          <t>E-기후변화 대응-추가1</t>
        </is>
      </c>
      <c r="B252" s="18" t="inlineStr">
        <is>
          <t>산림탄소흡수량</t>
        </is>
      </c>
      <c r="C252" s="16" t="n">
        <v>3</v>
      </c>
      <c r="D252" s="17" t="inlineStr">
        <is>
          <t>3단계</t>
        </is>
      </c>
      <c r="E252" s="16" t="n">
        <v>50</v>
      </c>
      <c r="F252" s="18" t="inlineStr">
        <is>
          <t>과거 4년간 자사 배출량 대비 산림탄소흡수 상쇄량 하락 추세</t>
        </is>
      </c>
    </row>
    <row r="253" ht="29.25" customHeight="1">
      <c r="A253" s="27" t="inlineStr">
        <is>
          <t>E-기후변화 대응-추가1</t>
        </is>
      </c>
      <c r="B253" s="28" t="inlineStr">
        <is>
          <t>산림탄소흡수량</t>
        </is>
      </c>
      <c r="C253" s="26" t="n">
        <v>4</v>
      </c>
      <c r="D253" s="27" t="inlineStr">
        <is>
          <t>4단계</t>
        </is>
      </c>
      <c r="E253" s="26" t="n">
        <v>75</v>
      </c>
      <c r="F253" s="28" t="inlineStr">
        <is>
          <t>과거 4년간 자사 배출량 대비 산림탄소흡수 상쇄량 상승 추세</t>
        </is>
      </c>
    </row>
    <row r="254" ht="29.25" customHeight="1">
      <c r="A254" s="17" t="inlineStr">
        <is>
          <t>E-기후변화 대응-추가1</t>
        </is>
      </c>
      <c r="B254" s="18" t="inlineStr">
        <is>
          <t>산림탄소흡수량</t>
        </is>
      </c>
      <c r="C254" s="16" t="n">
        <v>5</v>
      </c>
      <c r="D254" s="17" t="inlineStr">
        <is>
          <t>5단계</t>
        </is>
      </c>
      <c r="E254" s="16" t="n">
        <v>100</v>
      </c>
      <c r="F254" s="18" t="inlineStr">
        <is>
          <t>과거 4년간 자사 배출량 대비 산림탄소흡수 상쇄량 매년 상승 추세 * 3개년 이하 데이터 보유 시 해당 데이터로 추세 산정</t>
        </is>
      </c>
    </row>
    <row r="255" ht="29.25" customHeight="1">
      <c r="A255" s="27" t="inlineStr">
        <is>
          <t>E-기후변화 대응-추가2</t>
        </is>
      </c>
      <c r="B255" s="28" t="inlineStr">
        <is>
          <t>친환경 차량 보유 비율</t>
        </is>
      </c>
      <c r="C255" s="26" t="n">
        <v>1</v>
      </c>
      <c r="D255" s="27" t="inlineStr">
        <is>
          <t>1단계</t>
        </is>
      </c>
      <c r="E255" s="26" t="n">
        <v>0</v>
      </c>
      <c r="F255" s="28" t="inlineStr">
        <is>
          <t>조직 내 친환경 차량의 보유 비율 0% ~ 20%</t>
        </is>
      </c>
    </row>
    <row r="256" ht="29.25" customHeight="1">
      <c r="A256" s="17" t="inlineStr">
        <is>
          <t>E-기후변화 대응-추가2</t>
        </is>
      </c>
      <c r="B256" s="18" t="inlineStr">
        <is>
          <t>친환경 차량 보유 비율</t>
        </is>
      </c>
      <c r="C256" s="16" t="n">
        <v>2</v>
      </c>
      <c r="D256" s="17" t="inlineStr">
        <is>
          <t>2단계</t>
        </is>
      </c>
      <c r="E256" s="16" t="n">
        <v>25</v>
      </c>
      <c r="F256" s="18" t="inlineStr">
        <is>
          <t>조직 내 친환경 차량의 보유 비율 21% ~ 40% 이내</t>
        </is>
      </c>
    </row>
    <row r="257" ht="29.25" customHeight="1">
      <c r="A257" s="27" t="inlineStr">
        <is>
          <t>E-기후변화 대응-추가2</t>
        </is>
      </c>
      <c r="B257" s="28" t="inlineStr">
        <is>
          <t>친환경 차량 보유 비율</t>
        </is>
      </c>
      <c r="C257" s="26" t="n">
        <v>3</v>
      </c>
      <c r="D257" s="27" t="inlineStr">
        <is>
          <t>3단계</t>
        </is>
      </c>
      <c r="E257" s="26" t="n">
        <v>50</v>
      </c>
      <c r="F257" s="28" t="inlineStr">
        <is>
          <t>조직 내 친환경 차량의 보유 비율 41% ~ 60% 이내</t>
        </is>
      </c>
    </row>
    <row r="258" ht="29.25" customHeight="1">
      <c r="A258" s="17" t="inlineStr">
        <is>
          <t>E-기후변화 대응-추가2</t>
        </is>
      </c>
      <c r="B258" s="18" t="inlineStr">
        <is>
          <t>친환경 차량 보유 비율</t>
        </is>
      </c>
      <c r="C258" s="16" t="n">
        <v>4</v>
      </c>
      <c r="D258" s="17" t="inlineStr">
        <is>
          <t>4단계</t>
        </is>
      </c>
      <c r="E258" s="16" t="n">
        <v>75</v>
      </c>
      <c r="F258" s="18" t="inlineStr">
        <is>
          <t>조직 내 친환경 차량의 보유 비율 61% ~ 80% 이내</t>
        </is>
      </c>
    </row>
    <row r="259" ht="29.25" customHeight="1">
      <c r="A259" s="27" t="inlineStr">
        <is>
          <t>E-기후변화 대응-추가2</t>
        </is>
      </c>
      <c r="B259" s="28" t="inlineStr">
        <is>
          <t>친환경 차량 보유 비율</t>
        </is>
      </c>
      <c r="C259" s="26" t="n">
        <v>5</v>
      </c>
      <c r="D259" s="27" t="inlineStr">
        <is>
          <t>5단계</t>
        </is>
      </c>
      <c r="E259" s="26" t="n">
        <v>100</v>
      </c>
      <c r="F259" s="28" t="inlineStr">
        <is>
          <t>조직 내 친환경 차량의 보유 비율 81% ~ 100% 이내</t>
        </is>
      </c>
    </row>
    <row r="260" ht="29.25" customHeight="1">
      <c r="A260" s="17" t="inlineStr">
        <is>
          <t>S-동반성장-추가1</t>
        </is>
      </c>
      <c r="B260" s="18" t="inlineStr">
        <is>
          <t>공급망 안정</t>
        </is>
      </c>
      <c r="C260" s="16" t="n">
        <v>1</v>
      </c>
      <c r="D260" s="18" t="inlineStr">
        <is>
          <t>요건1</t>
        </is>
      </c>
      <c r="E260" s="16" t="n">
        <v>0</v>
      </c>
      <c r="F260" s="17" t="inlineStr">
        <is>
          <t>1차 협력사가 원부자재를 생산 및 공급하는데 영향을 미칠 수 있는 정치, 경제, 사회, 문화 분야의 리스크를 모니터링 하고 있는 경우</t>
        </is>
      </c>
    </row>
    <row r="261" ht="29.25" customHeight="1">
      <c r="A261" s="27" t="inlineStr">
        <is>
          <t>S-동반성장-추가1</t>
        </is>
      </c>
      <c r="B261" s="28" t="inlineStr">
        <is>
          <t>공급망 안정</t>
        </is>
      </c>
      <c r="C261" s="26" t="n">
        <v>2</v>
      </c>
      <c r="D261" s="28" t="inlineStr">
        <is>
          <t>요건2</t>
        </is>
      </c>
      <c r="E261" s="26" t="n">
        <v>25</v>
      </c>
      <c r="F261" s="27" t="inlineStr">
        <is>
          <t>1차 협력사 外 2차 이하(N차 협력사, 또는 원산지)에 잠재되어 있는 원부자재 생산-공급 차질 리스크를 모니터링 하고 있는 경우</t>
        </is>
      </c>
    </row>
    <row r="262" ht="29.25" customHeight="1">
      <c r="A262" s="17" t="inlineStr">
        <is>
          <t>S-동반성장-추가1</t>
        </is>
      </c>
      <c r="B262" s="18" t="inlineStr">
        <is>
          <t>공급망 안정</t>
        </is>
      </c>
      <c r="C262" s="16" t="n">
        <v>3</v>
      </c>
      <c r="D262" s="18" t="inlineStr">
        <is>
          <t>요건3</t>
        </is>
      </c>
      <c r="E262" s="16" t="n">
        <v>50</v>
      </c>
      <c r="F262" s="18" t="inlineStr">
        <is>
          <t>특정 지역 및 국가의 협력사에만 의존하지 않고, 공급선을 다변화하였거나, 대체가능한 협력사를 발굴/확보하고 있는 경우</t>
        </is>
      </c>
    </row>
    <row r="263" ht="29.25" customHeight="1">
      <c r="A263" s="27" t="inlineStr">
        <is>
          <t>S-동반성장-추가1</t>
        </is>
      </c>
      <c r="B263" s="28" t="inlineStr">
        <is>
          <t>공급망 안정</t>
        </is>
      </c>
      <c r="C263" s="26" t="n">
        <v>4</v>
      </c>
      <c r="D263" s="28" t="inlineStr">
        <is>
          <t>요건4</t>
        </is>
      </c>
      <c r="E263" s="26" t="n">
        <v>75</v>
      </c>
      <c r="F263" s="28" t="inlineStr">
        <is>
          <t>특정 물류/유통망에 의존하지 않고, 물류/유통망을 다변화하였거나, 대체 물류/유통망을 발굴/확보하고 있는 경우</t>
        </is>
      </c>
    </row>
    <row r="264" ht="29.25" customHeight="1">
      <c r="A264" s="17" t="inlineStr">
        <is>
          <t>S-동반성장-추가1</t>
        </is>
      </c>
      <c r="B264" s="18" t="inlineStr">
        <is>
          <t>공급망 안정</t>
        </is>
      </c>
      <c r="C264" s="16" t="n">
        <v>5</v>
      </c>
      <c r="D264" s="18" t="inlineStr">
        <is>
          <t>요건5</t>
        </is>
      </c>
      <c r="E264" s="16" t="n">
        <v>100</v>
      </c>
      <c r="F264" s="18" t="inlineStr">
        <is>
          <t>공급망 불안정 발생에 대비하여 충분한 원부자재 재고를 확보하고 있거나, 원부자재 생산을 조직이 내재화한 경우</t>
        </is>
      </c>
    </row>
    <row r="265" ht="15" customHeight="1">
      <c r="A265" s="27" t="inlineStr">
        <is>
          <t>S-소비자-추가2</t>
        </is>
      </c>
      <c r="B265" s="28" t="inlineStr">
        <is>
          <t>소비자 안전</t>
        </is>
      </c>
      <c r="C265" s="26" t="n">
        <v>1</v>
      </c>
      <c r="D265" s="27" t="inlineStr">
        <is>
          <t>1단계</t>
        </is>
      </c>
      <c r="E265" s="26" t="n">
        <v>0</v>
      </c>
      <c r="F265" s="28" t="inlineStr">
        <is>
          <t>소비자안전 관련 규정 및 활동이 없음</t>
        </is>
      </c>
    </row>
    <row r="266" ht="15" customHeight="1">
      <c r="A266" s="17" t="inlineStr">
        <is>
          <t>S-소비자-추가2</t>
        </is>
      </c>
      <c r="B266" s="18" t="inlineStr">
        <is>
          <t>소비자 안전</t>
        </is>
      </c>
      <c r="C266" s="16" t="n">
        <v>2</v>
      </c>
      <c r="D266" s="17" t="inlineStr">
        <is>
          <t>2단계</t>
        </is>
      </c>
      <c r="E266" s="16" t="n">
        <v>25</v>
      </c>
      <c r="F266" s="18" t="inlineStr">
        <is>
          <t>소비자안전 관련 규정이 있으나 활동이 없음</t>
        </is>
      </c>
    </row>
    <row r="267" ht="15" customHeight="1">
      <c r="A267" s="27" t="inlineStr">
        <is>
          <t>S-소비자-추가2</t>
        </is>
      </c>
      <c r="B267" s="28" t="inlineStr">
        <is>
          <t>소비자 안전</t>
        </is>
      </c>
      <c r="C267" s="26" t="n">
        <v>3</v>
      </c>
      <c r="D267" s="27" t="inlineStr">
        <is>
          <t>3단계</t>
        </is>
      </c>
      <c r="E267" s="26" t="n">
        <v>50</v>
      </c>
      <c r="F267" s="28" t="inlineStr">
        <is>
          <t>소비자안전 관련 규정이 있고, 계획을 수립하고 있으나, 운영 실적이 미흡함</t>
        </is>
      </c>
    </row>
    <row r="268" ht="15" customHeight="1">
      <c r="A268" s="17" t="inlineStr">
        <is>
          <t>S-소비자-추가2</t>
        </is>
      </c>
      <c r="B268" s="18" t="inlineStr">
        <is>
          <t>소비자 안전</t>
        </is>
      </c>
      <c r="C268" s="16" t="n">
        <v>4</v>
      </c>
      <c r="D268" s="17" t="inlineStr">
        <is>
          <t>4단계</t>
        </is>
      </c>
      <c r="E268" s="16" t="n">
        <v>75</v>
      </c>
      <c r="F268" s="18" t="inlineStr">
        <is>
          <t>소비자안전 관련 규정이 있고, 소비자안전 보장을 위한 계획을 수립하고 운영하고 있음</t>
        </is>
      </c>
    </row>
    <row r="269" ht="29.25" customHeight="1">
      <c r="A269" s="27" t="inlineStr">
        <is>
          <t>S-소비자-추가2</t>
        </is>
      </c>
      <c r="B269" s="28" t="inlineStr">
        <is>
          <t>소비자 안전</t>
        </is>
      </c>
      <c r="C269" s="26" t="n">
        <v>5</v>
      </c>
      <c r="D269" s="27" t="inlineStr">
        <is>
          <t>5단계</t>
        </is>
      </c>
      <c r="E269" s="26" t="n">
        <v>100</v>
      </c>
      <c r="F269" s="28" t="inlineStr">
        <is>
          <t>소비자안전 관련 규정이 있고, 소비자안전 보장을 위한 계획을 수립하고 운영하고 있으며, 소비자안전 확보 노력이 지속적으로 진행되고 있음</t>
        </is>
      </c>
    </row>
    <row r="270" ht="15" customHeight="1">
      <c r="A270" s="17" t="inlineStr">
        <is>
          <t>S-노동-추가1</t>
        </is>
      </c>
      <c r="B270" s="18" t="inlineStr">
        <is>
          <t>정규직 중 고졸자 비율</t>
        </is>
      </c>
      <c r="C270" s="16" t="n">
        <v>1</v>
      </c>
      <c r="D270" s="17" t="inlineStr">
        <is>
          <t>1단계</t>
        </is>
      </c>
      <c r="E270" s="16" t="n">
        <v>0</v>
      </c>
      <c r="F270" s="18" t="inlineStr">
        <is>
          <t>정규직(무기계약직 포함) 중 고졸자 비율을 공시하지 않는 경우</t>
        </is>
      </c>
    </row>
    <row r="271" ht="29.25" customHeight="1">
      <c r="A271" s="27" t="inlineStr">
        <is>
          <t>S-노동-추가1</t>
        </is>
      </c>
      <c r="B271" s="28" t="inlineStr">
        <is>
          <t>정규직 중 고졸자 비율</t>
        </is>
      </c>
      <c r="C271" s="26" t="n">
        <v>2</v>
      </c>
      <c r="D271" s="27" t="inlineStr">
        <is>
          <t>2단계</t>
        </is>
      </c>
      <c r="E271" s="26" t="n">
        <v>25</v>
      </c>
      <c r="F271" s="28" t="inlineStr">
        <is>
          <t>정규직(무기계약직 포함) 중 고졸자 비율을 공시하고 공공기관 평균 대비 고졸자 비율이 적은 경우 (공공기관의 50% 미만)</t>
        </is>
      </c>
    </row>
    <row r="272" ht="29.25" customHeight="1">
      <c r="A272" s="17" t="inlineStr">
        <is>
          <t>S-노동-추가1</t>
        </is>
      </c>
      <c r="B272" s="18" t="inlineStr">
        <is>
          <t>정규직 중 고졸자 비율</t>
        </is>
      </c>
      <c r="C272" s="16" t="n">
        <v>3</v>
      </c>
      <c r="D272" s="17" t="inlineStr">
        <is>
          <t>3단계</t>
        </is>
      </c>
      <c r="E272" s="16" t="n">
        <v>50</v>
      </c>
      <c r="F272" s="18" t="inlineStr">
        <is>
          <t>정규직(무기계약직 포함) 중 고졸자 비율을 공시하고 공공기관 평균 대비 고졸자 비율이 적은 경우 (공공기관의 50% 이상 ~100% 미만)</t>
        </is>
      </c>
    </row>
    <row r="273" ht="29.25" customHeight="1">
      <c r="A273" s="27" t="inlineStr">
        <is>
          <t>S-노동-추가1</t>
        </is>
      </c>
      <c r="B273" s="28" t="inlineStr">
        <is>
          <t>정규직 중 고졸자 비율</t>
        </is>
      </c>
      <c r="C273" s="26" t="n">
        <v>4</v>
      </c>
      <c r="D273" s="27" t="inlineStr">
        <is>
          <t>4단계</t>
        </is>
      </c>
      <c r="E273" s="26" t="n">
        <v>75</v>
      </c>
      <c r="F273" s="28" t="inlineStr">
        <is>
          <t>정규직(무기계약직 포함) 중 고졸자 비율을 공시하고 공공기관 평균 대비 고졸자 비율이 동일하거나 높은 경우 (공공기관의 100% 이상 ~150% 미만)</t>
        </is>
      </c>
    </row>
    <row r="274" ht="29.25" customHeight="1">
      <c r="A274" s="17" t="inlineStr">
        <is>
          <t>S-노동-추가1</t>
        </is>
      </c>
      <c r="B274" s="18" t="inlineStr">
        <is>
          <t>정규직 중 고졸자 비율</t>
        </is>
      </c>
      <c r="C274" s="16" t="n">
        <v>5</v>
      </c>
      <c r="D274" s="17" t="inlineStr">
        <is>
          <t>5단계</t>
        </is>
      </c>
      <c r="E274" s="16" t="n">
        <v>100</v>
      </c>
      <c r="F274" s="18" t="inlineStr">
        <is>
          <t>정규직(무기계약직 포함) 중 고졸자 비율을 공시하고 공공기관 평균 대비 고졸자 비율이 높은 경우 (공공기관의 150% 이상)</t>
        </is>
      </c>
    </row>
    <row r="275" ht="15" customHeight="1">
      <c r="A275" s="27" t="inlineStr">
        <is>
          <t>S-노동-추가2</t>
        </is>
      </c>
      <c r="B275" s="28" t="inlineStr">
        <is>
          <t>여가친화 경영</t>
        </is>
      </c>
      <c r="C275" s="26" t="n">
        <v>1</v>
      </c>
      <c r="D275" s="27" t="inlineStr">
        <is>
          <t>1단계</t>
        </is>
      </c>
      <c r="E275" s="26" t="n">
        <v>0</v>
      </c>
      <c r="F275" s="28" t="inlineStr">
        <is>
          <t>여가친화인증 미획득</t>
        </is>
      </c>
    </row>
    <row r="276" ht="15" customHeight="1">
      <c r="A276" s="17" t="inlineStr">
        <is>
          <t>S-노동-추가2</t>
        </is>
      </c>
      <c r="B276" s="18" t="inlineStr">
        <is>
          <t>여가친화 경영</t>
        </is>
      </c>
      <c r="C276" s="16" t="n">
        <v>2</v>
      </c>
      <c r="D276" s="17" t="inlineStr">
        <is>
          <t>2단계</t>
        </is>
      </c>
      <c r="E276" s="16" t="n">
        <v>100</v>
      </c>
      <c r="F276" s="18" t="inlineStr">
        <is>
          <t>여가친화인증 획득</t>
        </is>
      </c>
    </row>
    <row r="277" ht="29.25" customHeight="1">
      <c r="A277" s="27" t="inlineStr">
        <is>
          <t>S-노동-추가3</t>
        </is>
      </c>
      <c r="B277" s="27" t="inlineStr">
        <is>
          <t>50세 이상 비자발적 이직예정자 중 재취업지원 제공 비율</t>
        </is>
      </c>
      <c r="C277" s="26" t="n">
        <v>1</v>
      </c>
      <c r="D277" s="27" t="inlineStr">
        <is>
          <t>1단계</t>
        </is>
      </c>
      <c r="E277" s="26" t="n">
        <v>0</v>
      </c>
      <c r="F277" s="28" t="inlineStr">
        <is>
          <t>재취업지원서비스 미제공 또는 제공 비율 감소 추세</t>
        </is>
      </c>
    </row>
    <row r="278" ht="29.25" customHeight="1">
      <c r="A278" s="17" t="inlineStr">
        <is>
          <t>S-노동-추가3</t>
        </is>
      </c>
      <c r="B278" s="17" t="inlineStr">
        <is>
          <t>50세 이상 비자발적 이직예정자 중 재취업지원 제공 비율</t>
        </is>
      </c>
      <c r="C278" s="16" t="n">
        <v>2</v>
      </c>
      <c r="D278" s="17" t="inlineStr">
        <is>
          <t>2단계</t>
        </is>
      </c>
      <c r="E278" s="16" t="n">
        <v>50</v>
      </c>
      <c r="F278" s="18" t="inlineStr">
        <is>
          <t>재취업지원서비스 제공 비율 유지 추세</t>
        </is>
      </c>
    </row>
    <row r="279" ht="29.25" customHeight="1">
      <c r="A279" s="27" t="inlineStr">
        <is>
          <t>S-노동-추가3</t>
        </is>
      </c>
      <c r="B279" s="27" t="inlineStr">
        <is>
          <t>50세 이상 비자발적 이직예정자 중 재취업지원 제공 비율</t>
        </is>
      </c>
      <c r="C279" s="26" t="n">
        <v>3</v>
      </c>
      <c r="D279" s="27" t="inlineStr">
        <is>
          <t>3단계</t>
        </is>
      </c>
      <c r="E279" s="26" t="n">
        <v>100</v>
      </c>
      <c r="F279" s="28" t="inlineStr">
        <is>
          <t>재취업지원서비스 제공 비율 증가 추세</t>
        </is>
      </c>
    </row>
    <row r="280" ht="15" customHeight="1">
      <c r="A280" s="17" t="inlineStr">
        <is>
          <t>S-지역사회-추가2</t>
        </is>
      </c>
      <c r="B280" s="18" t="inlineStr">
        <is>
          <t>산학협력 활성화 기여</t>
        </is>
      </c>
      <c r="C280" s="16" t="n">
        <v>1</v>
      </c>
      <c r="D280" s="17" t="inlineStr">
        <is>
          <t>1단계</t>
        </is>
      </c>
      <c r="E280" s="16" t="n">
        <v>0</v>
      </c>
      <c r="F280" s="18" t="inlineStr">
        <is>
          <t>산학협력 활동에 관한 정보공시가 없는 경우</t>
        </is>
      </c>
    </row>
    <row r="281" ht="15" customHeight="1">
      <c r="A281" s="27" t="inlineStr">
        <is>
          <t>S-지역사회-추가2</t>
        </is>
      </c>
      <c r="B281" s="28" t="inlineStr">
        <is>
          <t>산학협력 활성화 기여</t>
        </is>
      </c>
      <c r="C281" s="26" t="n">
        <v>2</v>
      </c>
      <c r="D281" s="27" t="inlineStr">
        <is>
          <t>2단계</t>
        </is>
      </c>
      <c r="E281" s="26" t="n">
        <v>25</v>
      </c>
      <c r="F281" s="28" t="inlineStr">
        <is>
          <t>산학협력 활동 내용은 공시하나 ‘산학협력 마일리지’ 점수에 대한 정보공시가 없는 경우</t>
        </is>
      </c>
    </row>
    <row r="282" ht="29.25" customHeight="1">
      <c r="A282" s="17" t="inlineStr">
        <is>
          <t>S-지역사회-추가2</t>
        </is>
      </c>
      <c r="B282" s="18" t="inlineStr">
        <is>
          <t>산학협력 활성화 기여</t>
        </is>
      </c>
      <c r="C282" s="16" t="n">
        <v>3</v>
      </c>
      <c r="D282" s="17" t="inlineStr">
        <is>
          <t>3단계</t>
        </is>
      </c>
      <c r="E282" s="16" t="n">
        <v>50</v>
      </c>
      <c r="F282" s="18" t="inlineStr">
        <is>
          <t>산학협력 활동 내용, 마일리지 점수에 대한 정보공시가 있으나, 최근 4개년 매출액 대비 마일리지 점수 변동을 알 수 없거나 감소 추세인 경우</t>
        </is>
      </c>
    </row>
    <row r="283" ht="29.25" customHeight="1">
      <c r="A283" s="27" t="inlineStr">
        <is>
          <t>S-지역사회-추가2</t>
        </is>
      </c>
      <c r="B283" s="28" t="inlineStr">
        <is>
          <t>산학협력 활성화 기여</t>
        </is>
      </c>
      <c r="C283" s="26" t="n">
        <v>4</v>
      </c>
      <c r="D283" s="27" t="inlineStr">
        <is>
          <t>4단계</t>
        </is>
      </c>
      <c r="E283" s="26" t="n">
        <v>75</v>
      </c>
      <c r="F283" s="28" t="inlineStr">
        <is>
          <t>산학협력 활동 내용, 마일리지 점수에 대한 정보를 공시하며, 최근 4개년 매출액 대비 마일리지 점수가 유지되는 경우</t>
        </is>
      </c>
    </row>
    <row r="284" ht="29.25" customHeight="1">
      <c r="A284" s="17" t="inlineStr">
        <is>
          <t>S-지역사회-추가2</t>
        </is>
      </c>
      <c r="B284" s="18" t="inlineStr">
        <is>
          <t>산학협력 활성화 기여</t>
        </is>
      </c>
      <c r="C284" s="16" t="n">
        <v>5</v>
      </c>
      <c r="D284" s="17" t="inlineStr">
        <is>
          <t>5단계</t>
        </is>
      </c>
      <c r="E284" s="16" t="n">
        <v>100</v>
      </c>
      <c r="F284" s="18" t="inlineStr">
        <is>
          <t>산학협력 활동 내용, 마일리지 점수에 대한 정보를 공시하며, 최근 4개년 매출액 대비 마일리지 점수가 증가 추세인 경우 * 3개년 이하 데이터 보유 시 해당 데이터로 추세 산정</t>
        </is>
      </c>
    </row>
    <row r="285" ht="15" customHeight="1">
      <c r="A285" s="27" t="inlineStr">
        <is>
          <t>S-지역사회-추가3</t>
        </is>
      </c>
      <c r="B285" s="28" t="inlineStr">
        <is>
          <t>미래세대 성장 및 교육 기여</t>
        </is>
      </c>
      <c r="C285" s="26" t="n">
        <v>1</v>
      </c>
      <c r="D285" s="27" t="inlineStr">
        <is>
          <t>1단계</t>
        </is>
      </c>
      <c r="E285" s="26" t="n">
        <v>0</v>
      </c>
      <c r="F285" s="28" t="inlineStr">
        <is>
          <t>미래세대 성장 및 교육 기여 활동에 관한 정보공시가 없는 경우</t>
        </is>
      </c>
    </row>
    <row r="286" ht="15" customHeight="1">
      <c r="A286" s="17" t="inlineStr">
        <is>
          <t>S-지역사회-추가3</t>
        </is>
      </c>
      <c r="B286" s="18" t="inlineStr">
        <is>
          <t>미래세대 성장 및 교육 기여</t>
        </is>
      </c>
      <c r="C286" s="16" t="n">
        <v>2</v>
      </c>
      <c r="D286" s="17" t="inlineStr">
        <is>
          <t>2단계</t>
        </is>
      </c>
      <c r="E286" s="16" t="n">
        <v>25</v>
      </c>
      <c r="F286" s="18" t="inlineStr">
        <is>
          <t>미래세대 성장 및 교육 기여 활동 내용은 공시하나 지출액이나 수혜인원에 대한 정보공시가 없는 경우</t>
        </is>
      </c>
    </row>
    <row r="287" ht="29.25" customHeight="1">
      <c r="A287" s="27" t="inlineStr">
        <is>
          <t>S-지역사회-추가3</t>
        </is>
      </c>
      <c r="B287" s="28" t="inlineStr">
        <is>
          <t>미래세대 성장 및 교육 기여</t>
        </is>
      </c>
      <c r="C287" s="26" t="n">
        <v>3</v>
      </c>
      <c r="D287" s="27" t="inlineStr">
        <is>
          <t>3단계</t>
        </is>
      </c>
      <c r="E287" s="26" t="n">
        <v>50</v>
      </c>
      <c r="F287" s="28"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288" ht="29.25" customHeight="1">
      <c r="A288" s="17" t="inlineStr">
        <is>
          <t>S-지역사회-추가3</t>
        </is>
      </c>
      <c r="B288" s="18" t="inlineStr">
        <is>
          <t>미래세대 성장 및 교육 기여</t>
        </is>
      </c>
      <c r="C288" s="16" t="n">
        <v>4</v>
      </c>
      <c r="D288" s="17" t="inlineStr">
        <is>
          <t>4단계</t>
        </is>
      </c>
      <c r="E288" s="16" t="n">
        <v>75</v>
      </c>
      <c r="F288" s="18" t="inlineStr">
        <is>
          <t>미래세대 성장 및 교육 기여 활동 내용, 지출액, 수혜규모에 대한 정보를 공시하며, 최근 4년간 매출액 증감폭 대비 미래세대 성장 기여 활동 지출액 또는 수혜규모가 유지되고 있는 경우</t>
        </is>
      </c>
    </row>
    <row r="289" ht="43.5" customHeight="1">
      <c r="A289" s="27" t="inlineStr">
        <is>
          <t>S-지역사회-추가3</t>
        </is>
      </c>
      <c r="B289" s="28" t="inlineStr">
        <is>
          <t>미래세대 성장 및 교육 기여</t>
        </is>
      </c>
      <c r="C289" s="26" t="n">
        <v>5</v>
      </c>
      <c r="D289" s="27" t="inlineStr">
        <is>
          <t>5단계</t>
        </is>
      </c>
      <c r="E289" s="26" t="n">
        <v>100</v>
      </c>
      <c r="F289" s="28"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290" ht="29.25" customHeight="1">
      <c r="A290" s="17" t="inlineStr">
        <is>
          <t>G-경영진-추가1</t>
        </is>
      </c>
      <c r="B290" s="18" t="inlineStr">
        <is>
          <t>경영진 성과평가 및 보상</t>
        </is>
      </c>
      <c r="C290" s="16" t="n">
        <v>1</v>
      </c>
      <c r="D290" s="18" t="inlineStr">
        <is>
          <t>요건1</t>
        </is>
      </c>
      <c r="E290" s="16" t="n">
        <v>0</v>
      </c>
      <c r="F290" s="18" t="inlineStr">
        <is>
          <t>조직의 재무적 성과와 연계하여 정량적 ‘성과평가 지표’가 설정되어 있는 경우 (매출액, 영업이익, 현금흐름, EBIT, 시가총액, 주주수익률 등)</t>
        </is>
      </c>
    </row>
    <row r="291" ht="29.25" customHeight="1">
      <c r="A291" s="27" t="inlineStr">
        <is>
          <t>G-경영진-추가1</t>
        </is>
      </c>
      <c r="B291" s="28" t="inlineStr">
        <is>
          <t>경영진 성과평가 및 보상</t>
        </is>
      </c>
      <c r="C291" s="26" t="n">
        <v>2</v>
      </c>
      <c r="D291" s="28" t="inlineStr">
        <is>
          <t>요건2</t>
        </is>
      </c>
      <c r="E291" s="26" t="n">
        <v>25</v>
      </c>
      <c r="F291" s="28" t="inlineStr">
        <is>
          <t>조직의 비재무적 성과와 연계하여 정량적 ‘성과평가 지표’가 설정되어 있는 경우 (온실가스 배출량, 친환경 제품 비율, 산업재해율, 인권 리스크 개선율 등)</t>
        </is>
      </c>
    </row>
    <row r="292" ht="15" customHeight="1">
      <c r="A292" s="17" t="inlineStr">
        <is>
          <t>G-경영진-추가1</t>
        </is>
      </c>
      <c r="B292" s="18" t="inlineStr">
        <is>
          <t>경영진 성과평가 및 보상</t>
        </is>
      </c>
      <c r="C292" s="16" t="n">
        <v>3</v>
      </c>
      <c r="D292" s="18" t="inlineStr">
        <is>
          <t>요건3</t>
        </is>
      </c>
      <c r="E292" s="16" t="n">
        <v>50</v>
      </c>
      <c r="F292" s="18" t="inlineStr">
        <is>
          <t>조직의 재무적/비재무적 성과와 연계하여 3년 이상의 중장기 ‘성과평가 지표’가 설정되어 있는 경우</t>
        </is>
      </c>
    </row>
    <row r="293" ht="29.25" customHeight="1">
      <c r="A293" s="27" t="inlineStr">
        <is>
          <t>G-경영진-추가1</t>
        </is>
      </c>
      <c r="B293" s="28" t="inlineStr">
        <is>
          <t>경영진 성과평가 및 보상</t>
        </is>
      </c>
      <c r="C293" s="26" t="n">
        <v>4</v>
      </c>
      <c r="D293" s="28" t="inlineStr">
        <is>
          <t>요건4</t>
        </is>
      </c>
      <c r="E293" s="26" t="n">
        <v>75</v>
      </c>
      <c r="F293" s="28" t="inlineStr">
        <is>
          <t>성과평가 결과에 따라 보상(성과급)을 지급하고 있으며, 성과보상 지급을 1년 이상 초과하여 이연지급하고 있는 경우</t>
        </is>
      </c>
    </row>
    <row r="294" ht="29.25" customHeight="1">
      <c r="A294" s="17" t="inlineStr">
        <is>
          <t>G-경영진-추가1</t>
        </is>
      </c>
      <c r="B294" s="18" t="inlineStr">
        <is>
          <t>경영진 성과평가 및 보상</t>
        </is>
      </c>
      <c r="C294" s="16" t="n">
        <v>5</v>
      </c>
      <c r="D294" s="18" t="inlineStr">
        <is>
          <t>요건5</t>
        </is>
      </c>
      <c r="E294" s="16" t="n">
        <v>100</v>
      </c>
      <c r="F294" s="18" t="inlineStr">
        <is>
          <t>성과평가 종료 후, 지급(예정) 보상을 회수할 수 있는 요건을 두고 있는 경우 (경영진 행위가 불법적이거나, 조직에 심각한 피해를 초래한 사유 등)</t>
        </is>
      </c>
    </row>
    <row r="295" ht="29.25" customHeight="1">
      <c r="A295" s="28" t="inlineStr">
        <is>
          <t>반도체-E-1</t>
        </is>
      </c>
      <c r="B295" s="28" t="inlineStr">
        <is>
          <t>에너지 효율적 제품</t>
        </is>
      </c>
      <c r="C295" s="26" t="n">
        <v>1</v>
      </c>
      <c r="D295" s="27" t="inlineStr">
        <is>
          <t>1단계</t>
        </is>
      </c>
      <c r="E295" s="26" t="n">
        <v>0</v>
      </c>
      <c r="F295" s="28" t="inlineStr">
        <is>
          <t>지난 4개년간 에너지 효율적 제품의 비중 감소 추세 | 2단계: 지난 4개년간 에너지 효율적 제품의 비중 변동 없음 | 3단계: 지난 4개년간 에너지 효율적 제품의 비중 증가 추세</t>
        </is>
      </c>
    </row>
    <row r="296" ht="15" customHeight="1">
      <c r="A296" s="18" t="inlineStr">
        <is>
          <t>반도체-E-1</t>
        </is>
      </c>
      <c r="B296" s="18" t="inlineStr">
        <is>
          <t>에너지 효율적 제품</t>
        </is>
      </c>
      <c r="C296" s="16" t="n">
        <v>2</v>
      </c>
      <c r="D296" s="17" t="inlineStr">
        <is>
          <t>2단계</t>
        </is>
      </c>
      <c r="E296" s="16" t="n">
        <v>50</v>
      </c>
      <c r="F296" s="18" t="inlineStr">
        <is>
          <t>지난 4개년간 에너지 효율적 제품의 비중 변동 없음</t>
        </is>
      </c>
    </row>
    <row r="297" ht="15" customHeight="1">
      <c r="A297" s="28" t="inlineStr">
        <is>
          <t>반도체-E-1</t>
        </is>
      </c>
      <c r="B297" s="28" t="inlineStr">
        <is>
          <t>에너지 효율적 제품</t>
        </is>
      </c>
      <c r="C297" s="26" t="n">
        <v>3</v>
      </c>
      <c r="D297" s="27" t="inlineStr">
        <is>
          <t>3단계</t>
        </is>
      </c>
      <c r="E297" s="26" t="n">
        <v>100</v>
      </c>
      <c r="F297" s="28" t="inlineStr">
        <is>
          <t>지난 4개년간 에너지 효율적 제품의 비중 증가 추세</t>
        </is>
      </c>
    </row>
    <row r="298" ht="29.25" customHeight="1">
      <c r="A298" s="18" t="inlineStr">
        <is>
          <t>반도체-E-2</t>
        </is>
      </c>
      <c r="B298" s="18" t="inlineStr">
        <is>
          <t>초순수 사용량</t>
        </is>
      </c>
      <c r="C298" s="16" t="n">
        <v>1</v>
      </c>
      <c r="D298" s="17" t="inlineStr">
        <is>
          <t>1단계</t>
        </is>
      </c>
      <c r="E298" s="16" t="n">
        <v>0</v>
      </c>
      <c r="F298" s="18" t="inlineStr">
        <is>
          <t>지난 4개년간 원단위 초순수 사용량 증가 추세 | 2단계: 지난 4개년간 원단위 초순수 사용량 변동 없음 | 3단계: 지난 4개년간 원단위 초순수 사용량 감소 추세 (미산정 시 0점)</t>
        </is>
      </c>
    </row>
    <row r="299" ht="15" customHeight="1">
      <c r="A299" s="28" t="inlineStr">
        <is>
          <t>반도체-E-2</t>
        </is>
      </c>
      <c r="B299" s="28" t="inlineStr">
        <is>
          <t>초순수 사용량</t>
        </is>
      </c>
      <c r="C299" s="26" t="n">
        <v>2</v>
      </c>
      <c r="D299" s="27" t="inlineStr">
        <is>
          <t>2단계</t>
        </is>
      </c>
      <c r="E299" s="26" t="n">
        <v>50</v>
      </c>
      <c r="F299" s="28" t="inlineStr">
        <is>
          <t>지난 4개년간 원단위 초순수 사용량 변동 없음</t>
        </is>
      </c>
    </row>
    <row r="300" ht="15" customHeight="1">
      <c r="A300" s="18" t="inlineStr">
        <is>
          <t>반도체-E-2</t>
        </is>
      </c>
      <c r="B300" s="18" t="inlineStr">
        <is>
          <t>초순수 사용량</t>
        </is>
      </c>
      <c r="C300" s="16" t="n">
        <v>3</v>
      </c>
      <c r="D300" s="17" t="inlineStr">
        <is>
          <t>3단계</t>
        </is>
      </c>
      <c r="E300" s="16" t="n">
        <v>100</v>
      </c>
      <c r="F300" s="18" t="inlineStr">
        <is>
          <t>지난 4개년간 원단위 초순수 사용량 감소 추세 (미산정 시 0점)</t>
        </is>
      </c>
    </row>
    <row r="301" ht="29.25" customHeight="1">
      <c r="A301" s="28" t="inlineStr">
        <is>
          <t>반도체-E-3</t>
        </is>
      </c>
      <c r="B301" s="28" t="inlineStr">
        <is>
          <t>물 부족 지역에서의 용수 사용량</t>
        </is>
      </c>
      <c r="C301" s="26" t="n">
        <v>1</v>
      </c>
      <c r="D301" s="27" t="inlineStr">
        <is>
          <t>1단계</t>
        </is>
      </c>
      <c r="E301" s="26" t="n">
        <v>0</v>
      </c>
      <c r="F301" s="28" t="inlineStr">
        <is>
          <t>지난 4개년간 물부족지역 사업장 원단위 용수사용량 증가 추세 | 2단계: 변동 없음 | 3단계: 감소 추세 (미식별·미측정 시 0점)</t>
        </is>
      </c>
    </row>
    <row r="302" ht="15" customHeight="1">
      <c r="A302" s="18" t="inlineStr">
        <is>
          <t>반도체-E-3</t>
        </is>
      </c>
      <c r="B302" s="18" t="inlineStr">
        <is>
          <t>물 부족 지역에서의 용수 사용량</t>
        </is>
      </c>
      <c r="C302" s="16" t="n">
        <v>2</v>
      </c>
      <c r="D302" s="17" t="inlineStr">
        <is>
          <t>2단계</t>
        </is>
      </c>
      <c r="E302" s="16" t="n">
        <v>50</v>
      </c>
      <c r="F302" s="18" t="inlineStr">
        <is>
          <t>변동 없음</t>
        </is>
      </c>
    </row>
    <row r="303" ht="15" customHeight="1">
      <c r="A303" s="28" t="inlineStr">
        <is>
          <t>반도체-E-3</t>
        </is>
      </c>
      <c r="B303" s="28" t="inlineStr">
        <is>
          <t>물 부족 지역에서의 용수 사용량</t>
        </is>
      </c>
      <c r="C303" s="26" t="n">
        <v>3</v>
      </c>
      <c r="D303" s="27" t="inlineStr">
        <is>
          <t>3단계</t>
        </is>
      </c>
      <c r="E303" s="26" t="n">
        <v>100</v>
      </c>
      <c r="F303" s="28" t="inlineStr">
        <is>
          <t>감소 추세 (미식별·미측정 시 0점)</t>
        </is>
      </c>
    </row>
    <row r="304" ht="15" customHeight="1">
      <c r="A304" s="18" t="inlineStr">
        <is>
          <t>반도체-E-4</t>
        </is>
      </c>
      <c r="B304" s="18" t="inlineStr">
        <is>
          <t>과불화탄소 배출량</t>
        </is>
      </c>
      <c r="C304" s="16" t="n">
        <v>1</v>
      </c>
      <c r="D304" s="17" t="inlineStr">
        <is>
          <t>1단계</t>
        </is>
      </c>
      <c r="E304" s="16" t="n">
        <v>0</v>
      </c>
      <c r="F304" s="18" t="inlineStr">
        <is>
          <t>지난 4개년간 원단위 PFC 배출량 증가 추세 | 2단계: 변동 없음 | 3단계: 감소 추세 (미관리 시 0점)</t>
        </is>
      </c>
    </row>
    <row r="305" ht="15" customHeight="1">
      <c r="A305" s="28" t="inlineStr">
        <is>
          <t>반도체-E-4</t>
        </is>
      </c>
      <c r="B305" s="28" t="inlineStr">
        <is>
          <t>과불화탄소 배출량</t>
        </is>
      </c>
      <c r="C305" s="26" t="n">
        <v>2</v>
      </c>
      <c r="D305" s="27" t="inlineStr">
        <is>
          <t>2단계</t>
        </is>
      </c>
      <c r="E305" s="26" t="n">
        <v>50</v>
      </c>
      <c r="F305" s="28" t="inlineStr">
        <is>
          <t>변동 없음</t>
        </is>
      </c>
    </row>
    <row r="306" ht="15" customHeight="1">
      <c r="A306" s="18" t="inlineStr">
        <is>
          <t>반도체-E-4</t>
        </is>
      </c>
      <c r="B306" s="18" t="inlineStr">
        <is>
          <t>과불화탄소 배출량</t>
        </is>
      </c>
      <c r="C306" s="16" t="n">
        <v>3</v>
      </c>
      <c r="D306" s="17" t="inlineStr">
        <is>
          <t>3단계</t>
        </is>
      </c>
      <c r="E306" s="16" t="n">
        <v>100</v>
      </c>
      <c r="F306" s="18" t="inlineStr">
        <is>
          <t>감소 추세 (미관리 시 0점)</t>
        </is>
      </c>
    </row>
    <row r="307" ht="15" customHeight="1">
      <c r="A307" s="28" t="inlineStr">
        <is>
          <t>반도체-E-5</t>
        </is>
      </c>
      <c r="B307" s="28" t="inlineStr">
        <is>
          <t>휘발성 유기화합물 배출량</t>
        </is>
      </c>
      <c r="C307" s="26" t="n">
        <v>1</v>
      </c>
      <c r="D307" s="27" t="inlineStr">
        <is>
          <t>1단계</t>
        </is>
      </c>
      <c r="E307" s="26" t="n">
        <v>0</v>
      </c>
      <c r="F307" s="28" t="inlineStr">
        <is>
          <t>지난 4개년간 원단위 VOC 배출량 증가 추세 | 2단계: 변동 없음 | 3단계: 감소 추세 (미관리 시 0점)</t>
        </is>
      </c>
    </row>
    <row r="308" ht="15" customHeight="1">
      <c r="A308" s="18" t="inlineStr">
        <is>
          <t>반도체-E-5</t>
        </is>
      </c>
      <c r="B308" s="18" t="inlineStr">
        <is>
          <t>휘발성 유기화합물 배출량</t>
        </is>
      </c>
      <c r="C308" s="16" t="n">
        <v>2</v>
      </c>
      <c r="D308" s="17" t="inlineStr">
        <is>
          <t>2단계</t>
        </is>
      </c>
      <c r="E308" s="16" t="n">
        <v>50</v>
      </c>
      <c r="F308" s="18" t="inlineStr">
        <is>
          <t>변동 없음</t>
        </is>
      </c>
    </row>
    <row r="309" ht="15" customHeight="1">
      <c r="A309" s="28" t="inlineStr">
        <is>
          <t>반도체-E-5</t>
        </is>
      </c>
      <c r="B309" s="28" t="inlineStr">
        <is>
          <t>휘발성 유기화합물 배출량</t>
        </is>
      </c>
      <c r="C309" s="26" t="n">
        <v>3</v>
      </c>
      <c r="D309" s="27" t="inlineStr">
        <is>
          <t>3단계</t>
        </is>
      </c>
      <c r="E309" s="26" t="n">
        <v>100</v>
      </c>
      <c r="F309" s="28" t="inlineStr">
        <is>
          <t>감소 추세 (미관리 시 0점)</t>
        </is>
      </c>
    </row>
    <row r="310" ht="15" customHeight="1">
      <c r="A310" s="17" t="inlineStr">
        <is>
          <t>S-6-3</t>
        </is>
      </c>
      <c r="B310" s="18" t="inlineStr">
        <is>
          <t>협력사 ESG 협약사항</t>
        </is>
      </c>
      <c r="C310" s="16" t="n">
        <v>1</v>
      </c>
      <c r="D310" s="18" t="inlineStr">
        <is>
          <t>요건1</t>
        </is>
      </c>
      <c r="E310" s="16" t="n">
        <v>0</v>
      </c>
      <c r="F310" s="18" t="inlineStr">
        <is>
          <t>협력사의 ESG 추진에 필요한 교육 운영 지원 협약 체결</t>
        </is>
      </c>
    </row>
    <row r="311" ht="15" customHeight="1">
      <c r="A311" s="27" t="inlineStr">
        <is>
          <t>S-6-3</t>
        </is>
      </c>
      <c r="B311" s="28" t="inlineStr">
        <is>
          <t>협력사 ESG 협약사항</t>
        </is>
      </c>
      <c r="C311" s="26" t="n">
        <v>2</v>
      </c>
      <c r="D311" s="28" t="inlineStr">
        <is>
          <t>요건2</t>
        </is>
      </c>
      <c r="E311" s="26" t="n">
        <v>25</v>
      </c>
      <c r="F311" s="28" t="inlineStr">
        <is>
          <t>협력사의 ESG 추진에 필요한 기술 및 R&amp;D 지원 협약 체결</t>
        </is>
      </c>
    </row>
    <row r="312" ht="15" customHeight="1">
      <c r="A312" s="17" t="inlineStr">
        <is>
          <t>S-6-3</t>
        </is>
      </c>
      <c r="B312" s="18" t="inlineStr">
        <is>
          <t>협력사 ESG 협약사항</t>
        </is>
      </c>
      <c r="C312" s="16" t="n">
        <v>3</v>
      </c>
      <c r="D312" s="18" t="inlineStr">
        <is>
          <t>요건3</t>
        </is>
      </c>
      <c r="E312" s="16" t="n">
        <v>50</v>
      </c>
      <c r="F312" s="18" t="inlineStr">
        <is>
          <t>협력사의 ESG 추진에 필요한 금융 및 자금 지원 협약 체결</t>
        </is>
      </c>
    </row>
    <row r="313" ht="15" customHeight="1">
      <c r="A313" s="27" t="inlineStr">
        <is>
          <t>S-6-3</t>
        </is>
      </c>
      <c r="B313" s="28" t="inlineStr">
        <is>
          <t>협력사 ESG 협약사항</t>
        </is>
      </c>
      <c r="C313" s="26" t="n">
        <v>4</v>
      </c>
      <c r="D313" s="28" t="inlineStr">
        <is>
          <t>요건4</t>
        </is>
      </c>
      <c r="E313" s="26" t="n">
        <v>75</v>
      </c>
      <c r="F313" s="28" t="inlineStr">
        <is>
          <t>협력사의 ESG 추진에 필요한 인허가 획득 지원 협약 체결</t>
        </is>
      </c>
    </row>
    <row r="314" ht="15" customHeight="1">
      <c r="A314" s="17" t="inlineStr">
        <is>
          <t>S-6-3</t>
        </is>
      </c>
      <c r="B314" s="18" t="inlineStr">
        <is>
          <t>협력사 ESG 협약사항</t>
        </is>
      </c>
      <c r="C314" s="16" t="n">
        <v>5</v>
      </c>
      <c r="D314" s="18" t="inlineStr">
        <is>
          <t>요건5</t>
        </is>
      </c>
      <c r="E314" s="16" t="n">
        <v>100</v>
      </c>
      <c r="F314" s="18" t="inlineStr">
        <is>
          <t>협력사의 ESG 추진에 필요한 설비/장치 도입 지원 협약 체결</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D7D31"/>
    <outlinePr summaryBelow="1" summaryRight="1"/>
    <pageSetUpPr/>
  </sheetPr>
  <dimension ref="A1:J133"/>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7" customWidth="1" min="1" max="1"/>
    <col width="22" customWidth="1" min="2" max="2"/>
    <col width="20" customWidth="1" min="3" max="3"/>
    <col width="10" customWidth="1" min="4" max="4"/>
    <col width="34" customWidth="1" min="5" max="5"/>
    <col width="10" customWidth="1" min="6" max="6"/>
    <col width="20" customWidth="1" min="7" max="7"/>
    <col width="24" customWidth="1" min="8" max="8"/>
    <col width="30" customWidth="1" min="9" max="9"/>
    <col width="18" customWidth="1" min="10" max="10"/>
  </cols>
  <sheetData>
    <row r="1" ht="30" customHeight="1">
      <c r="A1" s="14" t="inlineStr">
        <is>
          <t>순번</t>
        </is>
      </c>
      <c r="B1" s="14" t="inlineStr">
        <is>
          <t>핵심원칙(대분류)</t>
        </is>
      </c>
      <c r="C1" s="14" t="inlineStr">
        <is>
          <t>세부원칙</t>
        </is>
      </c>
      <c r="D1" s="14" t="inlineStr">
        <is>
          <t>지표코드</t>
        </is>
      </c>
      <c r="E1" s="14" t="inlineStr">
        <is>
          <t>지표명</t>
        </is>
      </c>
      <c r="F1" s="14" t="inlineStr">
        <is>
          <t>데이터유형</t>
        </is>
      </c>
      <c r="G1" s="14" t="inlineStr">
        <is>
          <t>크롤링소스(정량 수집처)</t>
        </is>
      </c>
      <c r="H1" s="14" t="inlineStr">
        <is>
          <t>연계 K-ESG 분류코드</t>
        </is>
      </c>
      <c r="I1" s="14" t="inlineStr">
        <is>
          <t>비고/근거</t>
        </is>
      </c>
      <c r="J1" s="13" t="inlineStr">
        <is>
          <t>[입력]자사 현황값</t>
        </is>
      </c>
    </row>
    <row r="2" ht="15" customHeight="1">
      <c r="A2" s="20" t="n">
        <v>1</v>
      </c>
      <c r="B2" s="18" t="inlineStr">
        <is>
          <t>지배구조 핵심지표(15개)</t>
        </is>
      </c>
      <c r="C2" s="17" t="inlineStr">
        <is>
          <t>-</t>
        </is>
      </c>
      <c r="D2" s="38" t="inlineStr">
        <is>
          <t>H01</t>
        </is>
      </c>
      <c r="E2" s="18" t="inlineStr">
        <is>
          <t>주주총회 4주 전 소집공고 실시</t>
        </is>
      </c>
      <c r="F2" s="38" t="inlineStr">
        <is>
          <t>OX</t>
        </is>
      </c>
      <c r="G2" s="18" t="inlineStr">
        <is>
          <t>기업지배구조보고서</t>
        </is>
      </c>
      <c r="H2" s="17" t="inlineStr">
        <is>
          <t>G-3-1</t>
        </is>
      </c>
      <c r="I2" s="18" t="inlineStr">
        <is>
          <t>준수율 산정 15개 항목 중 하나</t>
        </is>
      </c>
      <c r="J2" s="39" t="n"/>
    </row>
    <row r="3" ht="15" customHeight="1">
      <c r="A3" s="29" t="n">
        <v>2</v>
      </c>
      <c r="B3" s="28" t="inlineStr">
        <is>
          <t>지배구조 핵심지표(15개)</t>
        </is>
      </c>
      <c r="C3" s="27" t="inlineStr">
        <is>
          <t>-</t>
        </is>
      </c>
      <c r="D3" s="40" t="inlineStr">
        <is>
          <t>H02</t>
        </is>
      </c>
      <c r="E3" s="28" t="inlineStr">
        <is>
          <t>전자투표 실시</t>
        </is>
      </c>
      <c r="F3" s="40" t="inlineStr">
        <is>
          <t>OX</t>
        </is>
      </c>
      <c r="G3" s="28" t="inlineStr">
        <is>
          <t>기업지배구조보고서</t>
        </is>
      </c>
      <c r="H3" s="27" t="inlineStr">
        <is>
          <t>G-3-3</t>
        </is>
      </c>
      <c r="I3" s="28" t="n"/>
      <c r="J3" s="39" t="n"/>
    </row>
    <row r="4" ht="15" customHeight="1">
      <c r="A4" s="20" t="n">
        <v>3</v>
      </c>
      <c r="B4" s="18" t="inlineStr">
        <is>
          <t>지배구조 핵심지표(15개)</t>
        </is>
      </c>
      <c r="C4" s="17" t="inlineStr">
        <is>
          <t>-</t>
        </is>
      </c>
      <c r="D4" s="38" t="inlineStr">
        <is>
          <t>H03</t>
        </is>
      </c>
      <c r="E4" s="18" t="inlineStr">
        <is>
          <t>주주총회 집중일 이외 개최</t>
        </is>
      </c>
      <c r="F4" s="38" t="inlineStr">
        <is>
          <t>OX</t>
        </is>
      </c>
      <c r="G4" s="18" t="inlineStr">
        <is>
          <t>기업지배구조보고서</t>
        </is>
      </c>
      <c r="H4" s="17" t="inlineStr">
        <is>
          <t>G-3-2</t>
        </is>
      </c>
      <c r="I4" s="18" t="n"/>
      <c r="J4" s="39" t="n"/>
    </row>
    <row r="5" ht="15" customHeight="1">
      <c r="A5" s="29" t="n">
        <v>4</v>
      </c>
      <c r="B5" s="28" t="inlineStr">
        <is>
          <t>지배구조 핵심지표(15개)</t>
        </is>
      </c>
      <c r="C5" s="27" t="inlineStr">
        <is>
          <t>-</t>
        </is>
      </c>
      <c r="D5" s="40" t="inlineStr">
        <is>
          <t>H04</t>
        </is>
      </c>
      <c r="E5" s="28" t="inlineStr">
        <is>
          <t>현금배당 관련 예측가능성 제공</t>
        </is>
      </c>
      <c r="F5" s="40" t="inlineStr">
        <is>
          <t>OX</t>
        </is>
      </c>
      <c r="G5" s="28" t="inlineStr">
        <is>
          <t>기업지배구조보고서</t>
        </is>
      </c>
      <c r="H5" s="27" t="inlineStr">
        <is>
          <t>G-3-4</t>
        </is>
      </c>
      <c r="I5" s="28" t="inlineStr">
        <is>
          <t>배당액 확정일이 배당기준일보다 선행</t>
        </is>
      </c>
      <c r="J5" s="39" t="n"/>
    </row>
    <row r="6" ht="15" customHeight="1">
      <c r="A6" s="20" t="n">
        <v>5</v>
      </c>
      <c r="B6" s="18" t="inlineStr">
        <is>
          <t>지배구조 핵심지표(15개)</t>
        </is>
      </c>
      <c r="C6" s="17" t="inlineStr">
        <is>
          <t>-</t>
        </is>
      </c>
      <c r="D6" s="38" t="inlineStr">
        <is>
          <t>H05</t>
        </is>
      </c>
      <c r="E6" s="18" t="inlineStr">
        <is>
          <t>배당정책·배당실시계획 연1회 이상 주주 통지</t>
        </is>
      </c>
      <c r="F6" s="38" t="inlineStr">
        <is>
          <t>OX</t>
        </is>
      </c>
      <c r="G6" s="18" t="inlineStr">
        <is>
          <t>기업지배구조보고서</t>
        </is>
      </c>
      <c r="H6" s="17" t="inlineStr">
        <is>
          <t>G-3-4</t>
        </is>
      </c>
      <c r="I6" s="18" t="n"/>
      <c r="J6" s="39" t="n"/>
    </row>
    <row r="7" ht="15" customHeight="1">
      <c r="A7" s="29" t="n">
        <v>6</v>
      </c>
      <c r="B7" s="28" t="inlineStr">
        <is>
          <t>지배구조 핵심지표(15개)</t>
        </is>
      </c>
      <c r="C7" s="27" t="inlineStr">
        <is>
          <t>-</t>
        </is>
      </c>
      <c r="D7" s="40" t="inlineStr">
        <is>
          <t>H06</t>
        </is>
      </c>
      <c r="E7" s="28" t="inlineStr">
        <is>
          <t>최고경영자 승계정책 마련 및 운영</t>
        </is>
      </c>
      <c r="F7" s="40" t="inlineStr">
        <is>
          <t>OX</t>
        </is>
      </c>
      <c r="G7" s="28" t="inlineStr">
        <is>
          <t>기업지배구조보고서</t>
        </is>
      </c>
      <c r="H7" s="27" t="inlineStr">
        <is>
          <t>G-경영진-추가1</t>
        </is>
      </c>
      <c r="I7" s="28" t="n"/>
      <c r="J7" s="39" t="n"/>
    </row>
    <row r="8" ht="29.25" customHeight="1">
      <c r="A8" s="20" t="n">
        <v>7</v>
      </c>
      <c r="B8" s="18" t="inlineStr">
        <is>
          <t>지배구조 핵심지표(15개)</t>
        </is>
      </c>
      <c r="C8" s="17" t="inlineStr">
        <is>
          <t>-</t>
        </is>
      </c>
      <c r="D8" s="38" t="inlineStr">
        <is>
          <t>H07</t>
        </is>
      </c>
      <c r="E8" s="18" t="inlineStr">
        <is>
          <t>위험관리 등 내부통제정책 마련 및 운영</t>
        </is>
      </c>
      <c r="F8" s="38" t="inlineStr">
        <is>
          <t>OX</t>
        </is>
      </c>
      <c r="G8" s="18" t="inlineStr">
        <is>
          <t>기업지배구조보고서</t>
        </is>
      </c>
      <c r="H8" s="17" t="inlineStr">
        <is>
          <t>G-4-1</t>
        </is>
      </c>
      <c r="I8" s="18" t="inlineStr">
        <is>
          <t>리스크관리·준법경영·내부회계관리·공시정보관리 모두 충족해야 준수</t>
        </is>
      </c>
      <c r="J8" s="39" t="n"/>
    </row>
    <row r="9" ht="15" customHeight="1">
      <c r="A9" s="29" t="n">
        <v>8</v>
      </c>
      <c r="B9" s="28" t="inlineStr">
        <is>
          <t>지배구조 핵심지표(15개)</t>
        </is>
      </c>
      <c r="C9" s="27" t="inlineStr">
        <is>
          <t>-</t>
        </is>
      </c>
      <c r="D9" s="40" t="inlineStr">
        <is>
          <t>H08</t>
        </is>
      </c>
      <c r="E9" s="28" t="inlineStr">
        <is>
          <t>사외이사가 이사회 의장인지 여부</t>
        </is>
      </c>
      <c r="F9" s="40" t="inlineStr">
        <is>
          <t>OX</t>
        </is>
      </c>
      <c r="G9" s="28" t="inlineStr">
        <is>
          <t>기업지배구조보고서</t>
        </is>
      </c>
      <c r="H9" s="27" t="inlineStr">
        <is>
          <t>G-1-3</t>
        </is>
      </c>
      <c r="I9" s="28" t="n"/>
      <c r="J9" s="39" t="n"/>
    </row>
    <row r="10" ht="15" customHeight="1">
      <c r="A10" s="20" t="n">
        <v>9</v>
      </c>
      <c r="B10" s="18" t="inlineStr">
        <is>
          <t>지배구조 핵심지표(15개)</t>
        </is>
      </c>
      <c r="C10" s="17" t="inlineStr">
        <is>
          <t>-</t>
        </is>
      </c>
      <c r="D10" s="38" t="inlineStr">
        <is>
          <t>H09</t>
        </is>
      </c>
      <c r="E10" s="18" t="inlineStr">
        <is>
          <t>집중투표제 채택</t>
        </is>
      </c>
      <c r="F10" s="38" t="inlineStr">
        <is>
          <t>OX</t>
        </is>
      </c>
      <c r="G10" s="18" t="inlineStr">
        <is>
          <t>기업지배구조보고서</t>
        </is>
      </c>
      <c r="H10" s="17" t="inlineStr">
        <is>
          <t>G-3-3</t>
        </is>
      </c>
      <c r="I10" s="18" t="inlineStr">
        <is>
          <t>정관상 배제하지 않는 경우 해당</t>
        </is>
      </c>
      <c r="J10" s="39" t="n"/>
    </row>
    <row r="11" ht="29.25" customHeight="1">
      <c r="A11" s="29" t="n">
        <v>10</v>
      </c>
      <c r="B11" s="28" t="inlineStr">
        <is>
          <t>지배구조 핵심지표(15개)</t>
        </is>
      </c>
      <c r="C11" s="27" t="inlineStr">
        <is>
          <t>-</t>
        </is>
      </c>
      <c r="D11" s="40" t="inlineStr">
        <is>
          <t>H10</t>
        </is>
      </c>
      <c r="E11" s="28" t="inlineStr">
        <is>
          <t>기업가치 훼손·주주권익 침해 책임자 임원선임 방지 정책 수립</t>
        </is>
      </c>
      <c r="F11" s="40" t="inlineStr">
        <is>
          <t>OX</t>
        </is>
      </c>
      <c r="G11" s="28" t="inlineStr">
        <is>
          <t>기업지배구조보고서</t>
        </is>
      </c>
      <c r="H11" s="27" t="inlineStr">
        <is>
          <t>G-4-1</t>
        </is>
      </c>
      <c r="I11" s="28" t="n"/>
      <c r="J11" s="39" t="n"/>
    </row>
    <row r="12" ht="15" customHeight="1">
      <c r="A12" s="20" t="n">
        <v>11</v>
      </c>
      <c r="B12" s="18" t="inlineStr">
        <is>
          <t>지배구조 핵심지표(15개)</t>
        </is>
      </c>
      <c r="C12" s="17" t="inlineStr">
        <is>
          <t>-</t>
        </is>
      </c>
      <c r="D12" s="38" t="inlineStr">
        <is>
          <t>H11</t>
        </is>
      </c>
      <c r="E12" s="18" t="inlineStr">
        <is>
          <t>이사회 구성원 모두 단일 성별이 아님</t>
        </is>
      </c>
      <c r="F12" s="38" t="inlineStr">
        <is>
          <t>OX</t>
        </is>
      </c>
      <c r="G12" s="18" t="inlineStr">
        <is>
          <t>기업지배구조보고서</t>
        </is>
      </c>
      <c r="H12" s="17" t="inlineStr">
        <is>
          <t>G-1-4</t>
        </is>
      </c>
      <c r="I12" s="18" t="inlineStr">
        <is>
          <t>성별 다양성</t>
        </is>
      </c>
      <c r="J12" s="39" t="n"/>
    </row>
    <row r="13" ht="15" customHeight="1">
      <c r="A13" s="29" t="n">
        <v>12</v>
      </c>
      <c r="B13" s="28" t="inlineStr">
        <is>
          <t>지배구조 핵심지표(15개)</t>
        </is>
      </c>
      <c r="C13" s="27" t="inlineStr">
        <is>
          <t>-</t>
        </is>
      </c>
      <c r="D13" s="40" t="inlineStr">
        <is>
          <t>H12</t>
        </is>
      </c>
      <c r="E13" s="28" t="inlineStr">
        <is>
          <t>독립적인 내부감사부서(지원조직) 설치</t>
        </is>
      </c>
      <c r="F13" s="40" t="inlineStr">
        <is>
          <t>OX</t>
        </is>
      </c>
      <c r="G13" s="28" t="inlineStr">
        <is>
          <t>기업지배구조보고서</t>
        </is>
      </c>
      <c r="H13" s="27" t="inlineStr">
        <is>
          <t>G-5-1</t>
        </is>
      </c>
      <c r="I13" s="28" t="n"/>
      <c r="J13" s="39" t="n"/>
    </row>
    <row r="14" ht="15" customHeight="1">
      <c r="A14" s="20" t="n">
        <v>13</v>
      </c>
      <c r="B14" s="18" t="inlineStr">
        <is>
          <t>지배구조 핵심지표(15개)</t>
        </is>
      </c>
      <c r="C14" s="17" t="inlineStr">
        <is>
          <t>-</t>
        </is>
      </c>
      <c r="D14" s="38" t="inlineStr">
        <is>
          <t>H13</t>
        </is>
      </c>
      <c r="E14" s="18" t="inlineStr">
        <is>
          <t>내부감사기구에 회계·재무 전문가 존재</t>
        </is>
      </c>
      <c r="F14" s="38" t="inlineStr">
        <is>
          <t>OX</t>
        </is>
      </c>
      <c r="G14" s="18" t="inlineStr">
        <is>
          <t>기업지배구조보고서</t>
        </is>
      </c>
      <c r="H14" s="17" t="inlineStr">
        <is>
          <t>G-5-2</t>
        </is>
      </c>
      <c r="I14" s="18" t="n"/>
      <c r="J14" s="39" t="n"/>
    </row>
    <row r="15" ht="29.25" customHeight="1">
      <c r="A15" s="29" t="n">
        <v>14</v>
      </c>
      <c r="B15" s="28" t="inlineStr">
        <is>
          <t>지배구조 핵심지표(15개)</t>
        </is>
      </c>
      <c r="C15" s="27" t="inlineStr">
        <is>
          <t>-</t>
        </is>
      </c>
      <c r="D15" s="40" t="inlineStr">
        <is>
          <t>H14</t>
        </is>
      </c>
      <c r="E15" s="28" t="inlineStr">
        <is>
          <t>내부감사기구-외부감사인 분기 1회 이상 경영진 없이 회의</t>
        </is>
      </c>
      <c r="F15" s="40" t="inlineStr">
        <is>
          <t>OX</t>
        </is>
      </c>
      <c r="G15" s="28" t="inlineStr">
        <is>
          <t>기업지배구조보고서</t>
        </is>
      </c>
      <c r="H15" s="27" t="inlineStr">
        <is>
          <t>G-5-1</t>
        </is>
      </c>
      <c r="I15" s="28" t="n"/>
      <c r="J15" s="39" t="n"/>
    </row>
    <row r="16" ht="29.25" customHeight="1">
      <c r="A16" s="20" t="n">
        <v>15</v>
      </c>
      <c r="B16" s="18" t="inlineStr">
        <is>
          <t>지배구조 핵심지표(15개)</t>
        </is>
      </c>
      <c r="C16" s="17" t="inlineStr">
        <is>
          <t>-</t>
        </is>
      </c>
      <c r="D16" s="38" t="inlineStr">
        <is>
          <t>H15</t>
        </is>
      </c>
      <c r="E16" s="18" t="inlineStr">
        <is>
          <t>경영 중요정보에 내부감사기구 접근 가능한 절차 마련</t>
        </is>
      </c>
      <c r="F16" s="38" t="inlineStr">
        <is>
          <t>OX</t>
        </is>
      </c>
      <c r="G16" s="18" t="inlineStr">
        <is>
          <t>기업지배구조보고서</t>
        </is>
      </c>
      <c r="H16" s="17" t="inlineStr">
        <is>
          <t>G-5-1</t>
        </is>
      </c>
      <c r="I16" s="18" t="n"/>
      <c r="J16" s="39" t="n"/>
    </row>
    <row r="17" ht="15" customHeight="1">
      <c r="A17" s="29" t="n">
        <v>16</v>
      </c>
      <c r="B17" s="28" t="inlineStr">
        <is>
          <t>핵심원칙1_주주의권리</t>
        </is>
      </c>
      <c r="C17" s="27" t="inlineStr">
        <is>
          <t>1-①_주주총회정보제공</t>
        </is>
      </c>
      <c r="D17" s="40" t="inlineStr">
        <is>
          <t>101</t>
        </is>
      </c>
      <c r="E17" s="28" t="inlineStr">
        <is>
          <t>소집공고일~주주총회일 간격(일)</t>
        </is>
      </c>
      <c r="F17" s="29" t="inlineStr">
        <is>
          <t>숫자</t>
        </is>
      </c>
      <c r="G17" s="28" t="inlineStr">
        <is>
          <t>기업지배구조보고서</t>
        </is>
      </c>
      <c r="H17" s="27" t="inlineStr">
        <is>
          <t>G-3-1, G-3-3</t>
        </is>
      </c>
      <c r="I17" s="27" t="inlineStr">
        <is>
          <t>4주 초과 여부 판단 근거</t>
        </is>
      </c>
      <c r="J17" s="39" t="n"/>
    </row>
    <row r="18" ht="15" customHeight="1">
      <c r="A18" s="20" t="n">
        <v>17</v>
      </c>
      <c r="B18" s="18" t="inlineStr">
        <is>
          <t>핵심원칙1_주주의권리</t>
        </is>
      </c>
      <c r="C18" s="17" t="inlineStr">
        <is>
          <t>1-①_주주총회정보제공</t>
        </is>
      </c>
      <c r="D18" s="38" t="inlineStr">
        <is>
          <t>102</t>
        </is>
      </c>
      <c r="E18" s="18" t="inlineStr">
        <is>
          <t>외국인 주주 이해가능 소집통지 실시여부</t>
        </is>
      </c>
      <c r="F18" s="38" t="inlineStr">
        <is>
          <t>OX</t>
        </is>
      </c>
      <c r="G18" s="18" t="inlineStr">
        <is>
          <t>기업지배구조보고서</t>
        </is>
      </c>
      <c r="H18" s="17" t="inlineStr">
        <is>
          <t>G-3-1, G-3-3</t>
        </is>
      </c>
      <c r="I18" s="18" t="n"/>
      <c r="J18" s="39" t="n"/>
    </row>
    <row r="19" ht="15" customHeight="1">
      <c r="A19" s="29" t="n">
        <v>18</v>
      </c>
      <c r="B19" s="28" t="inlineStr">
        <is>
          <t>핵심원칙1_주주의권리</t>
        </is>
      </c>
      <c r="C19" s="27" t="inlineStr">
        <is>
          <t>1-②_의결권행사</t>
        </is>
      </c>
      <c r="D19" s="40" t="inlineStr">
        <is>
          <t>103</t>
        </is>
      </c>
      <c r="E19" s="28" t="inlineStr">
        <is>
          <t>정기주총 집중일 회피 여부</t>
        </is>
      </c>
      <c r="F19" s="40" t="inlineStr">
        <is>
          <t>OX</t>
        </is>
      </c>
      <c r="G19" s="28" t="inlineStr">
        <is>
          <t>기업지배구조보고서</t>
        </is>
      </c>
      <c r="H19" s="27" t="inlineStr">
        <is>
          <t>G-3-1, G-3-3</t>
        </is>
      </c>
      <c r="I19" s="28" t="inlineStr">
        <is>
          <t>최근 3개년</t>
        </is>
      </c>
      <c r="J19" s="39" t="n"/>
    </row>
    <row r="20" ht="15" customHeight="1">
      <c r="A20" s="20" t="n">
        <v>19</v>
      </c>
      <c r="B20" s="18" t="inlineStr">
        <is>
          <t>핵심원칙1_주주의권리</t>
        </is>
      </c>
      <c r="C20" s="17" t="inlineStr">
        <is>
          <t>1-②_의결권행사</t>
        </is>
      </c>
      <c r="D20" s="38" t="inlineStr">
        <is>
          <t>104</t>
        </is>
      </c>
      <c r="E20" s="18" t="inlineStr">
        <is>
          <t>서면투표 실시여부</t>
        </is>
      </c>
      <c r="F20" s="38" t="inlineStr">
        <is>
          <t>OX</t>
        </is>
      </c>
      <c r="G20" s="18" t="inlineStr">
        <is>
          <t>기업지배구조보고서</t>
        </is>
      </c>
      <c r="H20" s="17" t="inlineStr">
        <is>
          <t>G-3-1, G-3-3</t>
        </is>
      </c>
      <c r="I20" s="18" t="n"/>
      <c r="J20" s="39" t="n"/>
    </row>
    <row r="21" ht="15" customHeight="1">
      <c r="A21" s="29" t="n">
        <v>20</v>
      </c>
      <c r="B21" s="28" t="inlineStr">
        <is>
          <t>핵심원칙1_주주의권리</t>
        </is>
      </c>
      <c r="C21" s="27" t="inlineStr">
        <is>
          <t>1-②_의결권행사</t>
        </is>
      </c>
      <c r="D21" s="40" t="inlineStr">
        <is>
          <t>105</t>
        </is>
      </c>
      <c r="E21" s="28" t="inlineStr">
        <is>
          <t>전자투표 실시여부</t>
        </is>
      </c>
      <c r="F21" s="40" t="inlineStr">
        <is>
          <t>OX</t>
        </is>
      </c>
      <c r="G21" s="28" t="inlineStr">
        <is>
          <t>기업지배구조보고서</t>
        </is>
      </c>
      <c r="H21" s="27" t="inlineStr">
        <is>
          <t>G-3-1, G-3-3</t>
        </is>
      </c>
      <c r="I21" s="28" t="n"/>
      <c r="J21" s="39" t="n"/>
    </row>
    <row r="22" ht="15" customHeight="1">
      <c r="A22" s="20" t="n">
        <v>21</v>
      </c>
      <c r="B22" s="18" t="inlineStr">
        <is>
          <t>핵심원칙1_주주의권리</t>
        </is>
      </c>
      <c r="C22" s="17" t="inlineStr">
        <is>
          <t>1-②_의결권행사</t>
        </is>
      </c>
      <c r="D22" s="38" t="inlineStr">
        <is>
          <t>106</t>
        </is>
      </c>
      <c r="E22" s="18" t="inlineStr">
        <is>
          <t>의결권 대리행사 권유 여부</t>
        </is>
      </c>
      <c r="F22" s="38" t="inlineStr">
        <is>
          <t>OX</t>
        </is>
      </c>
      <c r="G22" s="18" t="inlineStr">
        <is>
          <t>기업지배구조보고서</t>
        </is>
      </c>
      <c r="H22" s="17" t="inlineStr">
        <is>
          <t>G-3-1, G-3-3</t>
        </is>
      </c>
      <c r="I22" s="18" t="n"/>
      <c r="J22" s="39" t="n"/>
    </row>
    <row r="23" ht="15" customHeight="1">
      <c r="A23" s="29" t="n">
        <v>22</v>
      </c>
      <c r="B23" s="28" t="inlineStr">
        <is>
          <t>핵심원칙1_주주의권리</t>
        </is>
      </c>
      <c r="C23" s="27" t="inlineStr">
        <is>
          <t>1-②_의결권행사</t>
        </is>
      </c>
      <c r="D23" s="40" t="inlineStr">
        <is>
          <t>107</t>
        </is>
      </c>
      <c r="E23" s="28" t="inlineStr">
        <is>
          <t>안건별 찬성/반대(기권) 비율(%)</t>
        </is>
      </c>
      <c r="F23" s="29" t="inlineStr">
        <is>
          <t>숫자</t>
        </is>
      </c>
      <c r="G23" s="28" t="inlineStr">
        <is>
          <t>기업지배구조보고서</t>
        </is>
      </c>
      <c r="H23" s="27" t="inlineStr">
        <is>
          <t>G-3-1, G-3-3</t>
        </is>
      </c>
      <c r="I23" s="28" t="n"/>
      <c r="J23" s="39" t="n"/>
    </row>
    <row r="24" ht="15" customHeight="1">
      <c r="A24" s="20" t="n">
        <v>23</v>
      </c>
      <c r="B24" s="18" t="inlineStr">
        <is>
          <t>핵심원칙1_주주의권리</t>
        </is>
      </c>
      <c r="C24" s="17" t="inlineStr">
        <is>
          <t>1-③_주주제안권</t>
        </is>
      </c>
      <c r="D24" s="38" t="inlineStr">
        <is>
          <t>108</t>
        </is>
      </c>
      <c r="E24" s="18" t="inlineStr">
        <is>
          <t>주주제안 절차 홈페이지 등 안내 시행여부</t>
        </is>
      </c>
      <c r="F24" s="38" t="inlineStr">
        <is>
          <t>OX</t>
        </is>
      </c>
      <c r="G24" s="18" t="inlineStr">
        <is>
          <t>기업지배구조보고서</t>
        </is>
      </c>
      <c r="H24" s="17" t="inlineStr">
        <is>
          <t>G-3(주주권리 보강)</t>
        </is>
      </c>
      <c r="I24" s="18" t="n"/>
      <c r="J24" s="39" t="n"/>
    </row>
    <row r="25" ht="15" customHeight="1">
      <c r="A25" s="29" t="n">
        <v>24</v>
      </c>
      <c r="B25" s="28" t="inlineStr">
        <is>
          <t>핵심원칙1_주주의권리</t>
        </is>
      </c>
      <c r="C25" s="27" t="inlineStr">
        <is>
          <t>1-③_주주제안권</t>
        </is>
      </c>
      <c r="D25" s="40" t="inlineStr">
        <is>
          <t>109</t>
        </is>
      </c>
      <c r="E25" s="28" t="inlineStr">
        <is>
          <t>주주제안 처리절차·기준 규정 시행여부</t>
        </is>
      </c>
      <c r="F25" s="40" t="inlineStr">
        <is>
          <t>OX</t>
        </is>
      </c>
      <c r="G25" s="28" t="inlineStr">
        <is>
          <t>기업지배구조보고서</t>
        </is>
      </c>
      <c r="H25" s="27" t="inlineStr">
        <is>
          <t>G-3(주주권리 보강)</t>
        </is>
      </c>
      <c r="I25" s="28" t="n"/>
      <c r="J25" s="39" t="n"/>
    </row>
    <row r="26" ht="15" customHeight="1">
      <c r="A26" s="20" t="n">
        <v>25</v>
      </c>
      <c r="B26" s="18" t="inlineStr">
        <is>
          <t>핵심원칙1_주주의권리</t>
        </is>
      </c>
      <c r="C26" s="17" t="inlineStr">
        <is>
          <t>1-③_주주제안권</t>
        </is>
      </c>
      <c r="D26" s="38" t="inlineStr">
        <is>
          <t>110</t>
        </is>
      </c>
      <c r="E26" s="18" t="inlineStr">
        <is>
          <t>공시대상기간 내 주주제안 건수 및 이행상황</t>
        </is>
      </c>
      <c r="F26" s="20" t="inlineStr">
        <is>
          <t>숫자/텍스트</t>
        </is>
      </c>
      <c r="G26" s="18" t="inlineStr">
        <is>
          <t>기업지배구조보고서</t>
        </is>
      </c>
      <c r="H26" s="17" t="inlineStr">
        <is>
          <t>G-3(주주권리 보강)</t>
        </is>
      </c>
      <c r="I26" s="18" t="n"/>
      <c r="J26" s="39" t="n"/>
    </row>
    <row r="27" ht="15" customHeight="1">
      <c r="A27" s="29" t="n">
        <v>26</v>
      </c>
      <c r="B27" s="28" t="inlineStr">
        <is>
          <t>핵심원칙1_주주의권리</t>
        </is>
      </c>
      <c r="C27" s="27" t="inlineStr">
        <is>
          <t>1-③_주주제안권</t>
        </is>
      </c>
      <c r="D27" s="40" t="inlineStr">
        <is>
          <t>111</t>
        </is>
      </c>
      <c r="E27" s="28" t="inlineStr">
        <is>
          <t>공개서한 접수 여부 및 처리현황</t>
        </is>
      </c>
      <c r="F27" s="40" t="inlineStr">
        <is>
          <t>OX/텍스트</t>
        </is>
      </c>
      <c r="G27" s="28" t="inlineStr">
        <is>
          <t>기업지배구조보고서</t>
        </is>
      </c>
      <c r="H27" s="27" t="inlineStr">
        <is>
          <t>G-3(주주권리 보강)</t>
        </is>
      </c>
      <c r="I27" s="28" t="n"/>
      <c r="J27" s="39" t="n"/>
    </row>
    <row r="28" ht="15" customHeight="1">
      <c r="A28" s="20" t="n">
        <v>27</v>
      </c>
      <c r="B28" s="18" t="inlineStr">
        <is>
          <t>핵심원칙1_주주의권리</t>
        </is>
      </c>
      <c r="C28" s="17" t="inlineStr">
        <is>
          <t>1-④_주주환원정책</t>
        </is>
      </c>
      <c r="D28" s="38" t="inlineStr">
        <is>
          <t>112</t>
        </is>
      </c>
      <c r="E28" s="18" t="inlineStr">
        <is>
          <t>주주환원정책(배당 포함) 수립여부</t>
        </is>
      </c>
      <c r="F28" s="38" t="inlineStr">
        <is>
          <t>OX</t>
        </is>
      </c>
      <c r="G28" s="18" t="inlineStr">
        <is>
          <t>기업지배구조보고서</t>
        </is>
      </c>
      <c r="H28" s="17" t="inlineStr">
        <is>
          <t>G-3-4</t>
        </is>
      </c>
      <c r="I28" s="18" t="n"/>
      <c r="J28" s="39" t="n"/>
    </row>
    <row r="29" ht="15" customHeight="1">
      <c r="A29" s="29" t="n">
        <v>28</v>
      </c>
      <c r="B29" s="28" t="inlineStr">
        <is>
          <t>핵심원칙1_주주의권리</t>
        </is>
      </c>
      <c r="C29" s="27" t="inlineStr">
        <is>
          <t>1-④_주주환원정책</t>
        </is>
      </c>
      <c r="D29" s="40" t="inlineStr">
        <is>
          <t>113</t>
        </is>
      </c>
      <c r="E29" s="28" t="inlineStr">
        <is>
          <t>주주환원정책 연1회 통지 여부</t>
        </is>
      </c>
      <c r="F29" s="40" t="inlineStr">
        <is>
          <t>OX</t>
        </is>
      </c>
      <c r="G29" s="28" t="inlineStr">
        <is>
          <t>기업지배구조보고서</t>
        </is>
      </c>
      <c r="H29" s="27" t="inlineStr">
        <is>
          <t>G-3-4</t>
        </is>
      </c>
      <c r="I29" s="28" t="n"/>
      <c r="J29" s="39" t="n"/>
    </row>
    <row r="30" ht="15" customHeight="1">
      <c r="A30" s="20" t="n">
        <v>29</v>
      </c>
      <c r="B30" s="18" t="inlineStr">
        <is>
          <t>핵심원칙1_주주의권리</t>
        </is>
      </c>
      <c r="C30" s="17" t="inlineStr">
        <is>
          <t>1-④_주주환원정책</t>
        </is>
      </c>
      <c r="D30" s="38" t="inlineStr">
        <is>
          <t>114</t>
        </is>
      </c>
      <c r="E30" s="18" t="inlineStr">
        <is>
          <t>주주환원정책 영문자료 제공 여부</t>
        </is>
      </c>
      <c r="F30" s="38" t="inlineStr">
        <is>
          <t>OX</t>
        </is>
      </c>
      <c r="G30" s="18" t="inlineStr">
        <is>
          <t>기업지배구조보고서</t>
        </is>
      </c>
      <c r="H30" s="17" t="inlineStr">
        <is>
          <t>G-3-4</t>
        </is>
      </c>
      <c r="I30" s="18" t="n"/>
      <c r="J30" s="39" t="n"/>
    </row>
    <row r="31" ht="29.25" customHeight="1">
      <c r="A31" s="29" t="n">
        <v>30</v>
      </c>
      <c r="B31" s="28" t="inlineStr">
        <is>
          <t>핵심원칙1_주주의권리</t>
        </is>
      </c>
      <c r="C31" s="27" t="inlineStr">
        <is>
          <t>1-④_주주환원정책</t>
        </is>
      </c>
      <c r="D31" s="40" t="inlineStr">
        <is>
          <t>115</t>
        </is>
      </c>
      <c r="E31" s="28" t="inlineStr">
        <is>
          <t>현금배당 관련 예측가능성 제공(배당기준일 이전 배당결정)</t>
        </is>
      </c>
      <c r="F31" s="40" t="inlineStr">
        <is>
          <t>OX</t>
        </is>
      </c>
      <c r="G31" s="28" t="inlineStr">
        <is>
          <t>기업지배구조보고서</t>
        </is>
      </c>
      <c r="H31" s="27" t="inlineStr">
        <is>
          <t>G-3-4</t>
        </is>
      </c>
      <c r="I31" s="28" t="inlineStr">
        <is>
          <t>표 1-4-1</t>
        </is>
      </c>
      <c r="J31" s="39" t="n"/>
    </row>
    <row r="32" ht="15" customHeight="1">
      <c r="A32" s="20" t="n">
        <v>31</v>
      </c>
      <c r="B32" s="18" t="inlineStr">
        <is>
          <t>핵심원칙1_주주의권리</t>
        </is>
      </c>
      <c r="C32" s="17" t="inlineStr">
        <is>
          <t>1-④_주주환원정책</t>
        </is>
      </c>
      <c r="D32" s="38" t="inlineStr">
        <is>
          <t>116</t>
        </is>
      </c>
      <c r="E32" s="18" t="inlineStr">
        <is>
          <t>상장회사협의회 표준정관 개정 반영 여부</t>
        </is>
      </c>
      <c r="F32" s="38" t="inlineStr">
        <is>
          <t>OX</t>
        </is>
      </c>
      <c r="G32" s="18" t="inlineStr">
        <is>
          <t>기업지배구조보고서</t>
        </is>
      </c>
      <c r="H32" s="17" t="inlineStr">
        <is>
          <t>G-3-4</t>
        </is>
      </c>
      <c r="I32" s="18" t="n"/>
      <c r="J32" s="39" t="n"/>
    </row>
    <row r="33" ht="29.25" customHeight="1">
      <c r="A33" s="29" t="n">
        <v>32</v>
      </c>
      <c r="B33" s="28" t="inlineStr">
        <is>
          <t>핵심원칙1_주주의권리</t>
        </is>
      </c>
      <c r="C33" s="27" t="inlineStr">
        <is>
          <t>1-⑤_배당등주주권리</t>
        </is>
      </c>
      <c r="D33" s="40" t="inlineStr">
        <is>
          <t>117</t>
        </is>
      </c>
      <c r="E33" s="28" t="inlineStr">
        <is>
          <t>최근 3개년 주당 배당금</t>
        </is>
      </c>
      <c r="F33" s="29" t="inlineStr">
        <is>
          <t>숫자</t>
        </is>
      </c>
      <c r="G33" s="28" t="inlineStr">
        <is>
          <t>기업지배구조보고서/지속가능경영보고서</t>
        </is>
      </c>
      <c r="H33" s="27" t="inlineStr">
        <is>
          <t>G-3-4</t>
        </is>
      </c>
      <c r="I33" s="28" t="inlineStr">
        <is>
          <t>표 1-5-1-1</t>
        </is>
      </c>
      <c r="J33" s="39" t="n"/>
    </row>
    <row r="34" ht="29.25" customHeight="1">
      <c r="A34" s="20" t="n">
        <v>33</v>
      </c>
      <c r="B34" s="18" t="inlineStr">
        <is>
          <t>핵심원칙1_주주의권리</t>
        </is>
      </c>
      <c r="C34" s="17" t="inlineStr">
        <is>
          <t>1-⑤_배당등주주권리</t>
        </is>
      </c>
      <c r="D34" s="38" t="inlineStr">
        <is>
          <t>118</t>
        </is>
      </c>
      <c r="E34" s="18" t="inlineStr">
        <is>
          <t>최근 3개년 시가배당률(%)</t>
        </is>
      </c>
      <c r="F34" s="20" t="inlineStr">
        <is>
          <t>숫자</t>
        </is>
      </c>
      <c r="G34" s="18" t="inlineStr">
        <is>
          <t>기업지배구조보고서/지속가능경영보고서</t>
        </is>
      </c>
      <c r="H34" s="17" t="inlineStr">
        <is>
          <t>G-3-4</t>
        </is>
      </c>
      <c r="I34" s="18" t="n"/>
      <c r="J34" s="39" t="n"/>
    </row>
    <row r="35" ht="29.25" customHeight="1">
      <c r="A35" s="29" t="n">
        <v>34</v>
      </c>
      <c r="B35" s="28" t="inlineStr">
        <is>
          <t>핵심원칙1_주주의권리</t>
        </is>
      </c>
      <c r="C35" s="27" t="inlineStr">
        <is>
          <t>1-⑤_배당등주주권리</t>
        </is>
      </c>
      <c r="D35" s="40" t="inlineStr">
        <is>
          <t>119</t>
        </is>
      </c>
      <c r="E35" s="28" t="inlineStr">
        <is>
          <t>최근 3개년 현금배당성향(연결/개별, %)</t>
        </is>
      </c>
      <c r="F35" s="29" t="inlineStr">
        <is>
          <t>숫자</t>
        </is>
      </c>
      <c r="G35" s="28" t="inlineStr">
        <is>
          <t>기업지배구조보고서/지속가능경영보고서</t>
        </is>
      </c>
      <c r="H35" s="27" t="inlineStr">
        <is>
          <t>G-3-4</t>
        </is>
      </c>
      <c r="I35" s="28" t="inlineStr">
        <is>
          <t>표 1-5-1-2</t>
        </is>
      </c>
      <c r="J35" s="39" t="n"/>
    </row>
    <row r="36" ht="15" customHeight="1">
      <c r="A36" s="20" t="n">
        <v>35</v>
      </c>
      <c r="B36" s="18" t="inlineStr">
        <is>
          <t>핵심원칙1_주주의권리</t>
        </is>
      </c>
      <c r="C36" s="17" t="inlineStr">
        <is>
          <t>1-⑤_배당등주주권리</t>
        </is>
      </c>
      <c r="D36" s="38" t="inlineStr">
        <is>
          <t>120</t>
        </is>
      </c>
      <c r="E36" s="18" t="inlineStr">
        <is>
          <t>차등배당·분기배당·중간배당 실시여부</t>
        </is>
      </c>
      <c r="F36" s="38" t="inlineStr">
        <is>
          <t>OX</t>
        </is>
      </c>
      <c r="G36" s="18" t="inlineStr">
        <is>
          <t>기업지배구조보고서</t>
        </is>
      </c>
      <c r="H36" s="17" t="inlineStr">
        <is>
          <t>G-3-4</t>
        </is>
      </c>
      <c r="I36" s="18" t="n"/>
      <c r="J36" s="39" t="n"/>
    </row>
    <row r="37" ht="29.25" customHeight="1">
      <c r="A37" s="29" t="n">
        <v>36</v>
      </c>
      <c r="B37" s="28" t="inlineStr">
        <is>
          <t>핵심원칙1_주주의권리</t>
        </is>
      </c>
      <c r="C37" s="27" t="inlineStr">
        <is>
          <t>1-⑤_배당등주주권리</t>
        </is>
      </c>
      <c r="D37" s="40" t="inlineStr">
        <is>
          <t>121</t>
        </is>
      </c>
      <c r="E37" s="28" t="inlineStr">
        <is>
          <t>자사주 매입·소각 등 배당외 주주환원 실시내역</t>
        </is>
      </c>
      <c r="F37" s="29" t="inlineStr">
        <is>
          <t>텍스트</t>
        </is>
      </c>
      <c r="G37" s="28" t="inlineStr">
        <is>
          <t>기업지배구조보고서/지속가능경영보고서</t>
        </is>
      </c>
      <c r="H37" s="27" t="inlineStr">
        <is>
          <t>G-3-4</t>
        </is>
      </c>
      <c r="I37" s="28" t="n"/>
      <c r="J37" s="39" t="n"/>
    </row>
    <row r="38" ht="29.25" customHeight="1">
      <c r="A38" s="20" t="n">
        <v>37</v>
      </c>
      <c r="B38" s="18" t="inlineStr">
        <is>
          <t>핵심원칙2_주주의공평한대우</t>
        </is>
      </c>
      <c r="C38" s="17" t="inlineStr">
        <is>
          <t>2-①_의결권및정보제공</t>
        </is>
      </c>
      <c r="D38" s="38" t="inlineStr">
        <is>
          <t>201</t>
        </is>
      </c>
      <c r="E38" s="18" t="inlineStr">
        <is>
          <t>발행가능주식총수 대비 발행주식수(%)</t>
        </is>
      </c>
      <c r="F38" s="20" t="inlineStr">
        <is>
          <t>숫자</t>
        </is>
      </c>
      <c r="G38" s="18" t="inlineStr">
        <is>
          <t>기업지배구조보고서</t>
        </is>
      </c>
      <c r="H38" s="17" t="inlineStr">
        <is>
          <t>G-3(주주권리 보강)</t>
        </is>
      </c>
      <c r="I38" s="18" t="n"/>
      <c r="J38" s="39" t="n"/>
    </row>
    <row r="39" ht="29.25" customHeight="1">
      <c r="A39" s="29" t="n">
        <v>38</v>
      </c>
      <c r="B39" s="28" t="inlineStr">
        <is>
          <t>핵심원칙2_주주의공평한대우</t>
        </is>
      </c>
      <c r="C39" s="27" t="inlineStr">
        <is>
          <t>2-①_의결권및정보제공</t>
        </is>
      </c>
      <c r="D39" s="40" t="inlineStr">
        <is>
          <t>202</t>
        </is>
      </c>
      <c r="E39" s="28" t="inlineStr">
        <is>
          <t>종류주식별 의결권 부여 내용</t>
        </is>
      </c>
      <c r="F39" s="29" t="inlineStr">
        <is>
          <t>텍스트</t>
        </is>
      </c>
      <c r="G39" s="28" t="inlineStr">
        <is>
          <t>기업지배구조보고서</t>
        </is>
      </c>
      <c r="H39" s="27" t="inlineStr">
        <is>
          <t>G-3(주주권리 보강)</t>
        </is>
      </c>
      <c r="I39" s="28" t="n"/>
      <c r="J39" s="39" t="n"/>
    </row>
    <row r="40" ht="29.25" customHeight="1">
      <c r="A40" s="20" t="n">
        <v>39</v>
      </c>
      <c r="B40" s="18" t="inlineStr">
        <is>
          <t>핵심원칙2_주주의공평한대우</t>
        </is>
      </c>
      <c r="C40" s="17" t="inlineStr">
        <is>
          <t>2-①_의결권및정보제공</t>
        </is>
      </c>
      <c r="D40" s="38" t="inlineStr">
        <is>
          <t>203</t>
        </is>
      </c>
      <c r="E40" s="17" t="inlineStr">
        <is>
          <t>IR·컨퍼런스콜 등 주주와의 대화 개최 여부</t>
        </is>
      </c>
      <c r="F40" s="38" t="inlineStr">
        <is>
          <t>OX</t>
        </is>
      </c>
      <c r="G40" s="18" t="inlineStr">
        <is>
          <t>기업지배구조보고서/지속가능경영보고서</t>
        </is>
      </c>
      <c r="H40" s="17" t="inlineStr">
        <is>
          <t>G-3(주주권리 보강)</t>
        </is>
      </c>
      <c r="I40" s="18" t="n"/>
      <c r="J40" s="39" t="n"/>
    </row>
    <row r="41" ht="29.25" customHeight="1">
      <c r="A41" s="29" t="n">
        <v>40</v>
      </c>
      <c r="B41" s="28" t="inlineStr">
        <is>
          <t>핵심원칙2_주주의공평한대우</t>
        </is>
      </c>
      <c r="C41" s="27" t="inlineStr">
        <is>
          <t>2-①_의결권및정보제공</t>
        </is>
      </c>
      <c r="D41" s="40" t="inlineStr">
        <is>
          <t>204</t>
        </is>
      </c>
      <c r="E41" s="28" t="inlineStr">
        <is>
          <t>소액주주 별도 소통행사 개최여부</t>
        </is>
      </c>
      <c r="F41" s="40" t="inlineStr">
        <is>
          <t>OX</t>
        </is>
      </c>
      <c r="G41" s="28" t="inlineStr">
        <is>
          <t>기업지배구조보고서/지속가능경영보고서</t>
        </is>
      </c>
      <c r="H41" s="27" t="inlineStr">
        <is>
          <t>G-3(주주권리 보강)</t>
        </is>
      </c>
      <c r="I41" s="28" t="n"/>
      <c r="J41" s="39" t="n"/>
    </row>
    <row r="42" ht="29.25" customHeight="1">
      <c r="A42" s="20" t="n">
        <v>41</v>
      </c>
      <c r="B42" s="18" t="inlineStr">
        <is>
          <t>핵심원칙2_주주의공평한대우</t>
        </is>
      </c>
      <c r="C42" s="17" t="inlineStr">
        <is>
          <t>2-①_의결권및정보제공</t>
        </is>
      </c>
      <c r="D42" s="38" t="inlineStr">
        <is>
          <t>205</t>
        </is>
      </c>
      <c r="E42" s="18" t="inlineStr">
        <is>
          <t>해외투자자 별도 소통행사 개최여부</t>
        </is>
      </c>
      <c r="F42" s="38" t="inlineStr">
        <is>
          <t>OX</t>
        </is>
      </c>
      <c r="G42" s="18" t="inlineStr">
        <is>
          <t>기업지배구조보고서/지속가능경영보고서</t>
        </is>
      </c>
      <c r="H42" s="17" t="inlineStr">
        <is>
          <t>G-3(주주권리 보강)</t>
        </is>
      </c>
      <c r="I42" s="18" t="n"/>
      <c r="J42" s="39" t="n"/>
    </row>
    <row r="43" ht="29.25" customHeight="1">
      <c r="A43" s="29" t="n">
        <v>42</v>
      </c>
      <c r="B43" s="28" t="inlineStr">
        <is>
          <t>핵심원칙2_주주의공평한대우</t>
        </is>
      </c>
      <c r="C43" s="27" t="inlineStr">
        <is>
          <t>2-①_의결권및정보제공</t>
        </is>
      </c>
      <c r="D43" s="40" t="inlineStr">
        <is>
          <t>206</t>
        </is>
      </c>
      <c r="E43" s="27" t="inlineStr">
        <is>
          <t>IR 담당부서 연락처 상세 안내(문의창구) 시행여부</t>
        </is>
      </c>
      <c r="F43" s="40" t="inlineStr">
        <is>
          <t>OX</t>
        </is>
      </c>
      <c r="G43" s="28" t="inlineStr">
        <is>
          <t>기업지배구조보고서/지속가능경영보고서</t>
        </is>
      </c>
      <c r="H43" s="27" t="inlineStr">
        <is>
          <t>G-3(주주권리 보강)</t>
        </is>
      </c>
      <c r="I43" s="28" t="n"/>
      <c r="J43" s="39" t="n"/>
    </row>
    <row r="44" ht="29.25" customHeight="1">
      <c r="A44" s="20" t="n">
        <v>43</v>
      </c>
      <c r="B44" s="18" t="inlineStr">
        <is>
          <t>핵심원칙2_주주의공평한대우</t>
        </is>
      </c>
      <c r="C44" s="17" t="inlineStr">
        <is>
          <t>2-①_의결권및정보제공</t>
        </is>
      </c>
      <c r="D44" s="38" t="inlineStr">
        <is>
          <t>207</t>
        </is>
      </c>
      <c r="E44" s="18" t="inlineStr">
        <is>
          <t>영문 IR 사이트 운영 여부</t>
        </is>
      </c>
      <c r="F44" s="38" t="inlineStr">
        <is>
          <t>OX</t>
        </is>
      </c>
      <c r="G44" s="18" t="inlineStr">
        <is>
          <t>기업지배구조보고서/지속가능경영보고서</t>
        </is>
      </c>
      <c r="H44" s="17" t="inlineStr">
        <is>
          <t>G-3(주주권리 보강)</t>
        </is>
      </c>
      <c r="I44" s="18" t="n"/>
      <c r="J44" s="39" t="n"/>
    </row>
    <row r="45" ht="29.25" customHeight="1">
      <c r="A45" s="29" t="n">
        <v>44</v>
      </c>
      <c r="B45" s="28" t="inlineStr">
        <is>
          <t>핵심원칙2_주주의공평한대우</t>
        </is>
      </c>
      <c r="C45" s="27" t="inlineStr">
        <is>
          <t>2-①_의결권및정보제공</t>
        </is>
      </c>
      <c r="D45" s="40" t="inlineStr">
        <is>
          <t>208</t>
        </is>
      </c>
      <c r="E45" s="28" t="inlineStr">
        <is>
          <t>외국인 담당 직원 지정 여부</t>
        </is>
      </c>
      <c r="F45" s="40" t="inlineStr">
        <is>
          <t>OX</t>
        </is>
      </c>
      <c r="G45" s="28" t="inlineStr">
        <is>
          <t>기업지배구조보고서</t>
        </is>
      </c>
      <c r="H45" s="27" t="inlineStr">
        <is>
          <t>G-3(주주권리 보강)</t>
        </is>
      </c>
      <c r="I45" s="28" t="n"/>
      <c r="J45" s="39" t="n"/>
    </row>
    <row r="46" ht="29.25" customHeight="1">
      <c r="A46" s="20" t="n">
        <v>45</v>
      </c>
      <c r="B46" s="18" t="inlineStr">
        <is>
          <t>핵심원칙2_주주의공평한대우</t>
        </is>
      </c>
      <c r="C46" s="17" t="inlineStr">
        <is>
          <t>2-①_의결권및정보제공</t>
        </is>
      </c>
      <c r="D46" s="38" t="inlineStr">
        <is>
          <t>209</t>
        </is>
      </c>
      <c r="E46" s="18" t="inlineStr">
        <is>
          <t>영문공시 비율(%)</t>
        </is>
      </c>
      <c r="F46" s="20" t="inlineStr">
        <is>
          <t>숫자</t>
        </is>
      </c>
      <c r="G46" s="18" t="inlineStr">
        <is>
          <t>기업지배구조보고서</t>
        </is>
      </c>
      <c r="H46" s="17" t="inlineStr">
        <is>
          <t>G-3(주주권리 보강)</t>
        </is>
      </c>
      <c r="I46" s="18" t="n"/>
      <c r="J46" s="39" t="n"/>
    </row>
    <row r="47" ht="29.25" customHeight="1">
      <c r="A47" s="29" t="n">
        <v>46</v>
      </c>
      <c r="B47" s="28" t="inlineStr">
        <is>
          <t>핵심원칙2_주주의공평한대우</t>
        </is>
      </c>
      <c r="C47" s="27" t="inlineStr">
        <is>
          <t>2-①_의결권및정보제공</t>
        </is>
      </c>
      <c r="D47" s="40" t="inlineStr">
        <is>
          <t>210</t>
        </is>
      </c>
      <c r="E47" s="28" t="inlineStr">
        <is>
          <t>불성실공시법인 지정 여부·건수</t>
        </is>
      </c>
      <c r="F47" s="40" t="inlineStr">
        <is>
          <t>OX/숫자</t>
        </is>
      </c>
      <c r="G47" s="28" t="inlineStr">
        <is>
          <t>사업보고서(DART)</t>
        </is>
      </c>
      <c r="H47" s="27" t="inlineStr">
        <is>
          <t>G-3(주주권리 보강)</t>
        </is>
      </c>
      <c r="I47" s="28" t="n"/>
      <c r="J47" s="39" t="n"/>
    </row>
    <row r="48" ht="29.25" customHeight="1">
      <c r="A48" s="20" t="n">
        <v>47</v>
      </c>
      <c r="B48" s="18" t="inlineStr">
        <is>
          <t>핵심원칙2_주주의공평한대우</t>
        </is>
      </c>
      <c r="C48" s="17" t="inlineStr">
        <is>
          <t>2-②_내부거래통제</t>
        </is>
      </c>
      <c r="D48" s="38" t="inlineStr">
        <is>
          <t>211</t>
        </is>
      </c>
      <c r="E48" s="18" t="inlineStr">
        <is>
          <t>내부거래·자기거래 통제 정책(포괄적 이사회 의결 등) 시행여부</t>
        </is>
      </c>
      <c r="F48" s="38" t="inlineStr">
        <is>
          <t>OX</t>
        </is>
      </c>
      <c r="G48" s="18" t="inlineStr">
        <is>
          <t>기업지배구조보고서</t>
        </is>
      </c>
      <c r="H48" s="17" t="inlineStr">
        <is>
          <t>G-3(주주권리 보강)</t>
        </is>
      </c>
      <c r="I48" s="18" t="n"/>
      <c r="J48" s="39" t="n"/>
    </row>
    <row r="49" ht="29.25" customHeight="1">
      <c r="A49" s="29" t="n">
        <v>48</v>
      </c>
      <c r="B49" s="28" t="inlineStr">
        <is>
          <t>핵심원칙2_주주의공평한대우</t>
        </is>
      </c>
      <c r="C49" s="27" t="inlineStr">
        <is>
          <t>2-③_소유구조변동시주주보호</t>
        </is>
      </c>
      <c r="D49" s="40" t="inlineStr">
        <is>
          <t>212</t>
        </is>
      </c>
      <c r="E49" s="28" t="inlineStr">
        <is>
          <t>합병·영업양수도·분할 등 소액주주 보호 정책마련 여부</t>
        </is>
      </c>
      <c r="F49" s="40" t="inlineStr">
        <is>
          <t>OX</t>
        </is>
      </c>
      <c r="G49" s="28" t="inlineStr">
        <is>
          <t>기업지배구조보고서</t>
        </is>
      </c>
      <c r="H49" s="27" t="inlineStr">
        <is>
          <t>G-3(주주권리 보강)</t>
        </is>
      </c>
      <c r="I49" s="28" t="n"/>
      <c r="J49" s="39" t="n"/>
    </row>
    <row r="50" ht="29.25" customHeight="1">
      <c r="A50" s="20" t="n">
        <v>49</v>
      </c>
      <c r="B50" s="18" t="inlineStr">
        <is>
          <t>핵심원칙2_주주의공평한대우</t>
        </is>
      </c>
      <c r="C50" s="17" t="inlineStr">
        <is>
          <t>2-③_소유구조변동시주주보호</t>
        </is>
      </c>
      <c r="D50" s="38" t="inlineStr">
        <is>
          <t>213</t>
        </is>
      </c>
      <c r="E50" s="18" t="inlineStr">
        <is>
          <t>공시대상기간 중 합병 등 계획·시행 여부</t>
        </is>
      </c>
      <c r="F50" s="38" t="inlineStr">
        <is>
          <t>OX</t>
        </is>
      </c>
      <c r="G50" s="18" t="inlineStr">
        <is>
          <t>기업지배구조보고서</t>
        </is>
      </c>
      <c r="H50" s="17" t="inlineStr">
        <is>
          <t>G-3(주주권리 보강)</t>
        </is>
      </c>
      <c r="I50" s="18" t="n"/>
      <c r="J50" s="39" t="n"/>
    </row>
    <row r="51" ht="29.25" customHeight="1">
      <c r="A51" s="29" t="n">
        <v>50</v>
      </c>
      <c r="B51" s="28" t="inlineStr">
        <is>
          <t>핵심원칙2_주주의공평한대우</t>
        </is>
      </c>
      <c r="C51" s="27" t="inlineStr">
        <is>
          <t>2-③_소유구조변동시주주보호</t>
        </is>
      </c>
      <c r="D51" s="40" t="inlineStr">
        <is>
          <t>214</t>
        </is>
      </c>
      <c r="E51" s="28" t="inlineStr">
        <is>
          <t>주식전환 가능 자본조달(CB/BW/EB 등) 발행 여부</t>
        </is>
      </c>
      <c r="F51" s="40" t="inlineStr">
        <is>
          <t>OX</t>
        </is>
      </c>
      <c r="G51" s="28" t="inlineStr">
        <is>
          <t>사업보고서(DART)</t>
        </is>
      </c>
      <c r="H51" s="27" t="inlineStr">
        <is>
          <t>G-3(주주권리 보강)</t>
        </is>
      </c>
      <c r="I51" s="28" t="n"/>
      <c r="J51" s="39" t="n"/>
    </row>
    <row r="52" ht="29.25" customHeight="1">
      <c r="A52" s="20" t="n">
        <v>51</v>
      </c>
      <c r="B52" s="18" t="inlineStr">
        <is>
          <t>핵심원칙3_이사회기능</t>
        </is>
      </c>
      <c r="C52" s="17" t="inlineStr">
        <is>
          <t>3-①_경영의사결정및감독</t>
        </is>
      </c>
      <c r="D52" s="38" t="inlineStr">
        <is>
          <t>301</t>
        </is>
      </c>
      <c r="E52" s="18" t="inlineStr">
        <is>
          <t>이사회 심의·의결사항 및 법정 외 강화기준 존재여부</t>
        </is>
      </c>
      <c r="F52" s="38" t="inlineStr">
        <is>
          <t>OX/텍스트</t>
        </is>
      </c>
      <c r="G52" s="18" t="inlineStr">
        <is>
          <t>기업지배구조보고서</t>
        </is>
      </c>
      <c r="H52" s="17" t="inlineStr">
        <is>
          <t>G-1-1(이사회 기능 보강)</t>
        </is>
      </c>
      <c r="I52" s="18" t="n"/>
      <c r="J52" s="39" t="n"/>
    </row>
    <row r="53" ht="15" customHeight="1">
      <c r="A53" s="29" t="n">
        <v>52</v>
      </c>
      <c r="B53" s="28" t="inlineStr">
        <is>
          <t>핵심원칙3_이사회기능</t>
        </is>
      </c>
      <c r="C53" s="27" t="inlineStr">
        <is>
          <t>3-②_CEO승계정책</t>
        </is>
      </c>
      <c r="D53" s="40" t="inlineStr">
        <is>
          <t>302</t>
        </is>
      </c>
      <c r="E53" s="28" t="inlineStr">
        <is>
          <t>최고경영자 승계정책 수립 여부</t>
        </is>
      </c>
      <c r="F53" s="40" t="inlineStr">
        <is>
          <t>OX</t>
        </is>
      </c>
      <c r="G53" s="28" t="inlineStr">
        <is>
          <t>기업지배구조보고서</t>
        </is>
      </c>
      <c r="H53" s="27" t="inlineStr">
        <is>
          <t>G-경영진-추가1</t>
        </is>
      </c>
      <c r="I53" s="28" t="inlineStr">
        <is>
          <t>핵심지표 H06과 연계</t>
        </is>
      </c>
      <c r="J53" s="39" t="n"/>
    </row>
    <row r="54" ht="15" customHeight="1">
      <c r="A54" s="20" t="n">
        <v>53</v>
      </c>
      <c r="B54" s="18" t="inlineStr">
        <is>
          <t>핵심원칙3_이사회기능</t>
        </is>
      </c>
      <c r="C54" s="17" t="inlineStr">
        <is>
          <t>3-②_CEO승계정책</t>
        </is>
      </c>
      <c r="D54" s="38" t="inlineStr">
        <is>
          <t>303</t>
        </is>
      </c>
      <c r="E54" s="18" t="inlineStr">
        <is>
          <t>승계정책 내 후보(집단) 선정 절차 존재여부</t>
        </is>
      </c>
      <c r="F54" s="38" t="inlineStr">
        <is>
          <t>OX</t>
        </is>
      </c>
      <c r="G54" s="18" t="inlineStr">
        <is>
          <t>기업지배구조보고서</t>
        </is>
      </c>
      <c r="H54" s="17" t="inlineStr">
        <is>
          <t>G-경영진-추가1</t>
        </is>
      </c>
      <c r="I54" s="18" t="n"/>
      <c r="J54" s="39" t="n"/>
    </row>
    <row r="55" ht="15" customHeight="1">
      <c r="A55" s="29" t="n">
        <v>54</v>
      </c>
      <c r="B55" s="28" t="inlineStr">
        <is>
          <t>핵심원칙3_이사회기능</t>
        </is>
      </c>
      <c r="C55" s="27" t="inlineStr">
        <is>
          <t>3-②_CEO승계정책</t>
        </is>
      </c>
      <c r="D55" s="40" t="inlineStr">
        <is>
          <t>304</t>
        </is>
      </c>
      <c r="E55" s="28" t="inlineStr">
        <is>
          <t>후보군 교육 실시 여부</t>
        </is>
      </c>
      <c r="F55" s="40" t="inlineStr">
        <is>
          <t>OX</t>
        </is>
      </c>
      <c r="G55" s="28" t="inlineStr">
        <is>
          <t>기업지배구조보고서</t>
        </is>
      </c>
      <c r="H55" s="27" t="inlineStr">
        <is>
          <t>G-경영진-추가1</t>
        </is>
      </c>
      <c r="I55" s="28" t="n"/>
      <c r="J55" s="39" t="n"/>
    </row>
    <row r="56" ht="15" customHeight="1">
      <c r="A56" s="20" t="n">
        <v>55</v>
      </c>
      <c r="B56" s="18" t="inlineStr">
        <is>
          <t>핵심원칙3_이사회기능</t>
        </is>
      </c>
      <c r="C56" s="17" t="inlineStr">
        <is>
          <t>3-③_내부통제정책</t>
        </is>
      </c>
      <c r="D56" s="38" t="inlineStr">
        <is>
          <t>305</t>
        </is>
      </c>
      <c r="E56" s="18" t="inlineStr">
        <is>
          <t>전사 리스크관리 정책 마련 여부</t>
        </is>
      </c>
      <c r="F56" s="38" t="inlineStr">
        <is>
          <t>OX</t>
        </is>
      </c>
      <c r="G56" s="18" t="inlineStr">
        <is>
          <t>기업지배구조보고서</t>
        </is>
      </c>
      <c r="H56" s="17" t="inlineStr">
        <is>
          <t>G-4-1, G-5-1</t>
        </is>
      </c>
      <c r="I56" s="18" t="inlineStr">
        <is>
          <t>핵심지표 H07 구성요소</t>
        </is>
      </c>
      <c r="J56" s="39" t="n"/>
    </row>
    <row r="57" ht="29.25" customHeight="1">
      <c r="A57" s="29" t="n">
        <v>56</v>
      </c>
      <c r="B57" s="28" t="inlineStr">
        <is>
          <t>핵심원칙3_이사회기능</t>
        </is>
      </c>
      <c r="C57" s="27" t="inlineStr">
        <is>
          <t>3-③_내부통제정책</t>
        </is>
      </c>
      <c r="D57" s="40" t="inlineStr">
        <is>
          <t>306</t>
        </is>
      </c>
      <c r="E57" s="28" t="inlineStr">
        <is>
          <t>준법경영(윤리경영/행동강령) 정책 마련 여부</t>
        </is>
      </c>
      <c r="F57" s="40" t="inlineStr">
        <is>
          <t>OX</t>
        </is>
      </c>
      <c r="G57" s="28" t="inlineStr">
        <is>
          <t>기업지배구조보고서/지속가능경영보고서</t>
        </is>
      </c>
      <c r="H57" s="27" t="inlineStr">
        <is>
          <t>G-4-1, G-5-1</t>
        </is>
      </c>
      <c r="I57" s="28" t="n"/>
      <c r="J57" s="39" t="n"/>
    </row>
    <row r="58" ht="15" customHeight="1">
      <c r="A58" s="20" t="n">
        <v>57</v>
      </c>
      <c r="B58" s="18" t="inlineStr">
        <is>
          <t>핵심원칙3_이사회기능</t>
        </is>
      </c>
      <c r="C58" s="17" t="inlineStr">
        <is>
          <t>3-③_내부통제정책</t>
        </is>
      </c>
      <c r="D58" s="38" t="inlineStr">
        <is>
          <t>307</t>
        </is>
      </c>
      <c r="E58" s="18" t="inlineStr">
        <is>
          <t>내부회계관리 정책 마련 여부</t>
        </is>
      </c>
      <c r="F58" s="38" t="inlineStr">
        <is>
          <t>OX</t>
        </is>
      </c>
      <c r="G58" s="18" t="inlineStr">
        <is>
          <t>기업지배구조보고서</t>
        </is>
      </c>
      <c r="H58" s="17" t="inlineStr">
        <is>
          <t>G-4-1, G-5-1</t>
        </is>
      </c>
      <c r="I58" s="18" t="n"/>
      <c r="J58" s="39" t="n"/>
    </row>
    <row r="59" ht="15" customHeight="1">
      <c r="A59" s="29" t="n">
        <v>58</v>
      </c>
      <c r="B59" s="28" t="inlineStr">
        <is>
          <t>핵심원칙3_이사회기능</t>
        </is>
      </c>
      <c r="C59" s="27" t="inlineStr">
        <is>
          <t>3-③_내부통제정책</t>
        </is>
      </c>
      <c r="D59" s="40" t="inlineStr">
        <is>
          <t>308</t>
        </is>
      </c>
      <c r="E59" s="28" t="inlineStr">
        <is>
          <t>공시정보관리 정책 마련 여부</t>
        </is>
      </c>
      <c r="F59" s="40" t="inlineStr">
        <is>
          <t>OX</t>
        </is>
      </c>
      <c r="G59" s="28" t="inlineStr">
        <is>
          <t>기업지배구조보고서</t>
        </is>
      </c>
      <c r="H59" s="27" t="inlineStr">
        <is>
          <t>G-4-1, G-5-1</t>
        </is>
      </c>
      <c r="I59" s="28" t="n"/>
      <c r="J59" s="39" t="n"/>
    </row>
    <row r="60" ht="29.25" customHeight="1">
      <c r="A60" s="20" t="n">
        <v>59</v>
      </c>
      <c r="B60" s="18" t="inlineStr">
        <is>
          <t>핵심원칙4_이사회구성</t>
        </is>
      </c>
      <c r="C60" s="17" t="inlineStr">
        <is>
          <t>4-①_이사회구성및독립성</t>
        </is>
      </c>
      <c r="D60" s="38" t="inlineStr">
        <is>
          <t>401</t>
        </is>
      </c>
      <c r="E60" s="18" t="inlineStr">
        <is>
          <t>이사 총원(사내/사외/기타비상무 인원수)</t>
        </is>
      </c>
      <c r="F60" s="20" t="inlineStr">
        <is>
          <t>숫자</t>
        </is>
      </c>
      <c r="G60" s="18" t="inlineStr">
        <is>
          <t>기업지배구조보고서/지속가능경영보고서</t>
        </is>
      </c>
      <c r="H60" s="17" t="inlineStr">
        <is>
          <t>G-1-2, G-1-3</t>
        </is>
      </c>
      <c r="I60" s="18" t="inlineStr">
        <is>
          <t>표 4-1-2</t>
        </is>
      </c>
      <c r="J60" s="39" t="n"/>
    </row>
    <row r="61" ht="29.25" customHeight="1">
      <c r="A61" s="29" t="n">
        <v>60</v>
      </c>
      <c r="B61" s="28" t="inlineStr">
        <is>
          <t>핵심원칙4_이사회구성</t>
        </is>
      </c>
      <c r="C61" s="27" t="inlineStr">
        <is>
          <t>4-①_이사회구성및독립성</t>
        </is>
      </c>
      <c r="D61" s="40" t="inlineStr">
        <is>
          <t>402</t>
        </is>
      </c>
      <c r="E61" s="28" t="inlineStr">
        <is>
          <t>사외이사 비율(%)</t>
        </is>
      </c>
      <c r="F61" s="29" t="inlineStr">
        <is>
          <t>숫자</t>
        </is>
      </c>
      <c r="G61" s="28" t="inlineStr">
        <is>
          <t>기업지배구조보고서/지속가능경영보고서</t>
        </is>
      </c>
      <c r="H61" s="27" t="inlineStr">
        <is>
          <t>G-1-2, G-1-3</t>
        </is>
      </c>
      <c r="I61" s="28" t="n"/>
      <c r="J61" s="39" t="n"/>
    </row>
    <row r="62" ht="15" customHeight="1">
      <c r="A62" s="20" t="n">
        <v>61</v>
      </c>
      <c r="B62" s="18" t="inlineStr">
        <is>
          <t>핵심원칙4_이사회구성</t>
        </is>
      </c>
      <c r="C62" s="17" t="inlineStr">
        <is>
          <t>4-①_이사회구성및독립성</t>
        </is>
      </c>
      <c r="D62" s="38" t="inlineStr">
        <is>
          <t>403</t>
        </is>
      </c>
      <c r="E62" s="18" t="inlineStr">
        <is>
          <t>이사회 내 위원회 목록 및 위원 구성</t>
        </is>
      </c>
      <c r="F62" s="20" t="inlineStr">
        <is>
          <t>텍스트</t>
        </is>
      </c>
      <c r="G62" s="18" t="inlineStr">
        <is>
          <t>기업지배구조보고서</t>
        </is>
      </c>
      <c r="H62" s="17" t="inlineStr">
        <is>
          <t>G-1-2, G-1-3</t>
        </is>
      </c>
      <c r="I62" s="18" t="inlineStr">
        <is>
          <t>표 4-1-3-1/2</t>
        </is>
      </c>
      <c r="J62" s="39" t="n"/>
    </row>
    <row r="63" ht="29.25" customHeight="1">
      <c r="A63" s="29" t="n">
        <v>62</v>
      </c>
      <c r="B63" s="28" t="inlineStr">
        <is>
          <t>핵심원칙4_이사회구성</t>
        </is>
      </c>
      <c r="C63" s="27" t="inlineStr">
        <is>
          <t>4-①_이사회구성및독립성</t>
        </is>
      </c>
      <c r="D63" s="40" t="inlineStr">
        <is>
          <t>404</t>
        </is>
      </c>
      <c r="E63" s="27" t="inlineStr">
        <is>
          <t>ESG(지속가능경영)위원회 설치 여부</t>
        </is>
      </c>
      <c r="F63" s="40" t="inlineStr">
        <is>
          <t>OX</t>
        </is>
      </c>
      <c r="G63" s="28" t="inlineStr">
        <is>
          <t>기업지배구조보고서/지속가능경영보고서</t>
        </is>
      </c>
      <c r="H63" s="27" t="inlineStr">
        <is>
          <t>G-1-2, G-1-3</t>
        </is>
      </c>
      <c r="I63" s="28" t="n"/>
      <c r="J63" s="39" t="n"/>
    </row>
    <row r="64" ht="15" customHeight="1">
      <c r="A64" s="20" t="n">
        <v>63</v>
      </c>
      <c r="B64" s="18" t="inlineStr">
        <is>
          <t>핵심원칙4_이사회구성</t>
        </is>
      </c>
      <c r="C64" s="17" t="inlineStr">
        <is>
          <t>4-①_이사회구성및독립성</t>
        </is>
      </c>
      <c r="D64" s="38" t="inlineStr">
        <is>
          <t>405</t>
        </is>
      </c>
      <c r="E64" s="18" t="inlineStr">
        <is>
          <t>이사회 의장이 사외이사인지 여부</t>
        </is>
      </c>
      <c r="F64" s="38" t="inlineStr">
        <is>
          <t>OX</t>
        </is>
      </c>
      <c r="G64" s="18" t="inlineStr">
        <is>
          <t>기업지배구조보고서</t>
        </is>
      </c>
      <c r="H64" s="17" t="inlineStr">
        <is>
          <t>G-1-2, G-1-3</t>
        </is>
      </c>
      <c r="I64" s="18" t="inlineStr">
        <is>
          <t>핵심지표 H08</t>
        </is>
      </c>
      <c r="J64" s="39" t="n"/>
    </row>
    <row r="65" ht="15" customHeight="1">
      <c r="A65" s="29" t="n">
        <v>64</v>
      </c>
      <c r="B65" s="28" t="inlineStr">
        <is>
          <t>핵심원칙4_이사회구성</t>
        </is>
      </c>
      <c r="C65" s="27" t="inlineStr">
        <is>
          <t>4-①_이사회구성및독립성</t>
        </is>
      </c>
      <c r="D65" s="40" t="inlineStr">
        <is>
          <t>406</t>
        </is>
      </c>
      <c r="E65" s="28" t="inlineStr">
        <is>
          <t>선임사외이사 제도 시행 여부</t>
        </is>
      </c>
      <c r="F65" s="40" t="inlineStr">
        <is>
          <t>OX</t>
        </is>
      </c>
      <c r="G65" s="28" t="inlineStr">
        <is>
          <t>기업지배구조보고서</t>
        </is>
      </c>
      <c r="H65" s="27" t="inlineStr">
        <is>
          <t>G-1-2, G-1-3</t>
        </is>
      </c>
      <c r="I65" s="28" t="n"/>
      <c r="J65" s="39" t="n"/>
    </row>
    <row r="66" ht="15" customHeight="1">
      <c r="A66" s="20" t="n">
        <v>65</v>
      </c>
      <c r="B66" s="18" t="inlineStr">
        <is>
          <t>핵심원칙4_이사회구성</t>
        </is>
      </c>
      <c r="C66" s="17" t="inlineStr">
        <is>
          <t>4-①_이사회구성및독립성</t>
        </is>
      </c>
      <c r="D66" s="38" t="inlineStr">
        <is>
          <t>407</t>
        </is>
      </c>
      <c r="E66" s="18" t="inlineStr">
        <is>
          <t>집행임원 제도 시행 여부</t>
        </is>
      </c>
      <c r="F66" s="38" t="inlineStr">
        <is>
          <t>OX</t>
        </is>
      </c>
      <c r="G66" s="18" t="inlineStr">
        <is>
          <t>기업지배구조보고서</t>
        </is>
      </c>
      <c r="H66" s="17" t="inlineStr">
        <is>
          <t>G-1-2, G-1-3</t>
        </is>
      </c>
      <c r="I66" s="18" t="n"/>
      <c r="J66" s="39" t="n"/>
    </row>
    <row r="67" ht="15" customHeight="1">
      <c r="A67" s="29" t="n">
        <v>66</v>
      </c>
      <c r="B67" s="28" t="inlineStr">
        <is>
          <t>핵심원칙4_이사회구성</t>
        </is>
      </c>
      <c r="C67" s="27" t="inlineStr">
        <is>
          <t>4-②_전문성과다양성</t>
        </is>
      </c>
      <c r="D67" s="40" t="inlineStr">
        <is>
          <t>408</t>
        </is>
      </c>
      <c r="E67" s="28" t="inlineStr">
        <is>
          <t>이사회 성별구성 특례 적용대상 기업 여부</t>
        </is>
      </c>
      <c r="F67" s="40" t="inlineStr">
        <is>
          <t>OX</t>
        </is>
      </c>
      <c r="G67" s="28" t="inlineStr">
        <is>
          <t>기업지배구조보고서</t>
        </is>
      </c>
      <c r="H67" s="27" t="inlineStr">
        <is>
          <t>G-1-4</t>
        </is>
      </c>
      <c r="I67" s="28" t="inlineStr">
        <is>
          <t>자본시장법 §165의20</t>
        </is>
      </c>
      <c r="J67" s="39" t="n"/>
    </row>
    <row r="68" ht="29.25" customHeight="1">
      <c r="A68" s="20" t="n">
        <v>67</v>
      </c>
      <c r="B68" s="18" t="inlineStr">
        <is>
          <t>핵심원칙4_이사회구성</t>
        </is>
      </c>
      <c r="C68" s="17" t="inlineStr">
        <is>
          <t>4-②_전문성과다양성</t>
        </is>
      </c>
      <c r="D68" s="38" t="inlineStr">
        <is>
          <t>409</t>
        </is>
      </c>
      <c r="E68" s="18" t="inlineStr">
        <is>
          <t>이사회 구성원 성별 다양성 확보 여부(동성 아님)</t>
        </is>
      </c>
      <c r="F68" s="38" t="inlineStr">
        <is>
          <t>OX</t>
        </is>
      </c>
      <c r="G68" s="18" t="inlineStr">
        <is>
          <t>기업지배구조보고서</t>
        </is>
      </c>
      <c r="H68" s="17" t="inlineStr">
        <is>
          <t>G-1-4</t>
        </is>
      </c>
      <c r="I68" s="18" t="inlineStr">
        <is>
          <t>핵심지표 H11</t>
        </is>
      </c>
      <c r="J68" s="39" t="n"/>
    </row>
    <row r="69" ht="29.25" customHeight="1">
      <c r="A69" s="29" t="n">
        <v>68</v>
      </c>
      <c r="B69" s="28" t="inlineStr">
        <is>
          <t>핵심원칙4_이사회구성</t>
        </is>
      </c>
      <c r="C69" s="27" t="inlineStr">
        <is>
          <t>4-③_이사후보추천</t>
        </is>
      </c>
      <c r="D69" s="40" t="inlineStr">
        <is>
          <t>410</t>
        </is>
      </c>
      <c r="E69" s="28" t="inlineStr">
        <is>
          <t>이사후보추천위원회(등) 설치 여부</t>
        </is>
      </c>
      <c r="F69" s="40" t="inlineStr">
        <is>
          <t>OX</t>
        </is>
      </c>
      <c r="G69" s="28" t="inlineStr">
        <is>
          <t>기업지배구조보고서/지속가능경영보고서</t>
        </is>
      </c>
      <c r="H69" s="27" t="inlineStr">
        <is>
          <t>G-1-2, G-3-3</t>
        </is>
      </c>
      <c r="I69" s="28" t="n"/>
      <c r="J69" s="39" t="n"/>
    </row>
    <row r="70" ht="15" customHeight="1">
      <c r="A70" s="20" t="n">
        <v>69</v>
      </c>
      <c r="B70" s="18" t="inlineStr">
        <is>
          <t>핵심원칙4_이사회구성</t>
        </is>
      </c>
      <c r="C70" s="17" t="inlineStr">
        <is>
          <t>4-③_이사후보추천</t>
        </is>
      </c>
      <c r="D70" s="38" t="inlineStr">
        <is>
          <t>411</t>
        </is>
      </c>
      <c r="E70" s="18" t="inlineStr">
        <is>
          <t>이사후보추천위원회 내 사외이사 비율(%)</t>
        </is>
      </c>
      <c r="F70" s="20" t="inlineStr">
        <is>
          <t>숫자</t>
        </is>
      </c>
      <c r="G70" s="18" t="inlineStr">
        <is>
          <t>기업지배구조보고서</t>
        </is>
      </c>
      <c r="H70" s="17" t="inlineStr">
        <is>
          <t>G-1-2, G-3-3</t>
        </is>
      </c>
      <c r="I70" s="18" t="n"/>
      <c r="J70" s="39" t="n"/>
    </row>
    <row r="71" ht="15" customHeight="1">
      <c r="A71" s="29" t="n">
        <v>70</v>
      </c>
      <c r="B71" s="28" t="inlineStr">
        <is>
          <t>핵심원칙4_이사회구성</t>
        </is>
      </c>
      <c r="C71" s="27" t="inlineStr">
        <is>
          <t>4-③_이사후보추천</t>
        </is>
      </c>
      <c r="D71" s="40" t="inlineStr">
        <is>
          <t>412</t>
        </is>
      </c>
      <c r="E71" s="28" t="inlineStr">
        <is>
          <t>재선임 이사 과거 이사회 활동내역 공개 여부</t>
        </is>
      </c>
      <c r="F71" s="40" t="inlineStr">
        <is>
          <t>OX</t>
        </is>
      </c>
      <c r="G71" s="28" t="inlineStr">
        <is>
          <t>기업지배구조보고서</t>
        </is>
      </c>
      <c r="H71" s="27" t="inlineStr">
        <is>
          <t>G-1-2, G-3-3</t>
        </is>
      </c>
      <c r="I71" s="28" t="n"/>
      <c r="J71" s="39" t="n"/>
    </row>
    <row r="72" ht="15" customHeight="1">
      <c r="A72" s="20" t="n">
        <v>71</v>
      </c>
      <c r="B72" s="18" t="inlineStr">
        <is>
          <t>핵심원칙4_이사회구성</t>
        </is>
      </c>
      <c r="C72" s="17" t="inlineStr">
        <is>
          <t>4-③_이사후보추천</t>
        </is>
      </c>
      <c r="D72" s="38" t="inlineStr">
        <is>
          <t>413</t>
        </is>
      </c>
      <c r="E72" s="18" t="inlineStr">
        <is>
          <t>집중투표제 채택 여부</t>
        </is>
      </c>
      <c r="F72" s="38" t="inlineStr">
        <is>
          <t>OX</t>
        </is>
      </c>
      <c r="G72" s="18" t="inlineStr">
        <is>
          <t>기업지배구조보고서</t>
        </is>
      </c>
      <c r="H72" s="17" t="inlineStr">
        <is>
          <t>G-1-2, G-3-3</t>
        </is>
      </c>
      <c r="I72" s="18" t="inlineStr">
        <is>
          <t>핵심지표 H09</t>
        </is>
      </c>
      <c r="J72" s="39" t="n"/>
    </row>
    <row r="73" ht="29.25" customHeight="1">
      <c r="A73" s="29" t="n">
        <v>72</v>
      </c>
      <c r="B73" s="28" t="inlineStr">
        <is>
          <t>핵심원칙4_이사회구성</t>
        </is>
      </c>
      <c r="C73" s="27" t="inlineStr">
        <is>
          <t>4-④_부적격자임원선임방지</t>
        </is>
      </c>
      <c r="D73" s="40" t="inlineStr">
        <is>
          <t>414</t>
        </is>
      </c>
      <c r="E73" s="28" t="inlineStr">
        <is>
          <t>기업가치훼손·주주권익침해 책임자 임원선임 방지 정책 시행여부</t>
        </is>
      </c>
      <c r="F73" s="40" t="inlineStr">
        <is>
          <t>OX</t>
        </is>
      </c>
      <c r="G73" s="28" t="inlineStr">
        <is>
          <t>기업지배구조보고서</t>
        </is>
      </c>
      <c r="H73" s="27" t="inlineStr">
        <is>
          <t>G-4-1</t>
        </is>
      </c>
      <c r="I73" s="28" t="inlineStr">
        <is>
          <t>핵심지표 H10</t>
        </is>
      </c>
      <c r="J73" s="39" t="n"/>
    </row>
    <row r="74" ht="29.25" customHeight="1">
      <c r="A74" s="20" t="n">
        <v>73</v>
      </c>
      <c r="B74" s="18" t="inlineStr">
        <is>
          <t>핵심원칙4_이사회구성</t>
        </is>
      </c>
      <c r="C74" s="17" t="inlineStr">
        <is>
          <t>4-④_부적격자임원선임방지</t>
        </is>
      </c>
      <c r="D74" s="38" t="inlineStr">
        <is>
          <t>415</t>
        </is>
      </c>
      <c r="E74" s="18" t="inlineStr">
        <is>
          <t>횡령·배임·불공정거래 등 기소·확정판결 이력자 임원재직 여부</t>
        </is>
      </c>
      <c r="F74" s="38" t="inlineStr">
        <is>
          <t>OX</t>
        </is>
      </c>
      <c r="G74" s="18" t="inlineStr">
        <is>
          <t>사업보고서(DART)</t>
        </is>
      </c>
      <c r="H74" s="17" t="inlineStr">
        <is>
          <t>G-4-1</t>
        </is>
      </c>
      <c r="I74" s="18" t="n"/>
      <c r="J74" s="39" t="n"/>
    </row>
    <row r="75" ht="29.25" customHeight="1">
      <c r="A75" s="29" t="n">
        <v>74</v>
      </c>
      <c r="B75" s="28" t="inlineStr">
        <is>
          <t>핵심원칙5_사외이사책임</t>
        </is>
      </c>
      <c r="C75" s="27" t="inlineStr">
        <is>
          <t>5-①_이해관계없는사외이사</t>
        </is>
      </c>
      <c r="D75" s="40" t="inlineStr">
        <is>
          <t>501</t>
        </is>
      </c>
      <c r="E75" s="28" t="inlineStr">
        <is>
          <t>사외이사 선임단계 이해관계 확인절차 시행 여부</t>
        </is>
      </c>
      <c r="F75" s="40" t="inlineStr">
        <is>
          <t>OX</t>
        </is>
      </c>
      <c r="G75" s="28" t="inlineStr">
        <is>
          <t>기업지배구조보고서</t>
        </is>
      </c>
      <c r="H75" s="27" t="inlineStr">
        <is>
          <t>G-1-5</t>
        </is>
      </c>
      <c r="I75" s="28" t="n"/>
      <c r="J75" s="39" t="n"/>
    </row>
    <row r="76" ht="26.25" customHeight="1">
      <c r="A76" s="20" t="n">
        <v>75</v>
      </c>
      <c r="B76" s="18" t="inlineStr">
        <is>
          <t>핵심원칙5_사외이사책임</t>
        </is>
      </c>
      <c r="C76" s="17" t="inlineStr">
        <is>
          <t>5-①_이해관계없는사외이사</t>
        </is>
      </c>
      <c r="D76" s="38" t="inlineStr">
        <is>
          <t>502</t>
        </is>
      </c>
      <c r="E76" s="18" t="inlineStr">
        <is>
          <t>사외이사(계열회사 포함) 재직기간(개인별, 월)</t>
        </is>
      </c>
      <c r="F76" s="20" t="inlineStr">
        <is>
          <t>숫자</t>
        </is>
      </c>
      <c r="G76" s="18" t="inlineStr">
        <is>
          <t>기업지배구조보고서</t>
        </is>
      </c>
      <c r="H76" s="17" t="inlineStr">
        <is>
          <t>G-1-5</t>
        </is>
      </c>
      <c r="I76" s="18" t="n"/>
      <c r="J76" s="39" t="n"/>
    </row>
    <row r="77" ht="15" customHeight="1">
      <c r="A77" s="29" t="n">
        <v>76</v>
      </c>
      <c r="B77" s="28" t="inlineStr">
        <is>
          <t>핵심원칙5_사외이사책임</t>
        </is>
      </c>
      <c r="C77" s="27" t="inlineStr">
        <is>
          <t>5-②_충분한시간과노력</t>
        </is>
      </c>
      <c r="D77" s="40" t="inlineStr">
        <is>
          <t>503</t>
        </is>
      </c>
      <c r="E77" s="28" t="inlineStr">
        <is>
          <t>사외이사 타기업 겸직 현황(겸직기관수 등)</t>
        </is>
      </c>
      <c r="F77" s="29" t="inlineStr">
        <is>
          <t>숫자/텍스트</t>
        </is>
      </c>
      <c r="G77" s="28" t="inlineStr">
        <is>
          <t>기업지배구조보고서</t>
        </is>
      </c>
      <c r="H77" s="27" t="inlineStr">
        <is>
          <t>G-1-5</t>
        </is>
      </c>
      <c r="I77" s="28" t="n"/>
      <c r="J77" s="39" t="n"/>
    </row>
    <row r="78" ht="15" customHeight="1">
      <c r="A78" s="20" t="n">
        <v>77</v>
      </c>
      <c r="B78" s="18" t="inlineStr">
        <is>
          <t>핵심원칙5_사외이사책임</t>
        </is>
      </c>
      <c r="C78" s="17" t="inlineStr">
        <is>
          <t>5-③_정보자원제공</t>
        </is>
      </c>
      <c r="D78" s="38" t="inlineStr">
        <is>
          <t>504</t>
        </is>
      </c>
      <c r="E78" s="18" t="inlineStr">
        <is>
          <t>사외이사 지원 전담인력 배치 여부</t>
        </is>
      </c>
      <c r="F78" s="38" t="inlineStr">
        <is>
          <t>OX</t>
        </is>
      </c>
      <c r="G78" s="18" t="inlineStr">
        <is>
          <t>기업지배구조보고서</t>
        </is>
      </c>
      <c r="H78" s="17" t="inlineStr">
        <is>
          <t>G-1-5</t>
        </is>
      </c>
      <c r="I78" s="18" t="n"/>
      <c r="J78" s="39" t="n"/>
    </row>
    <row r="79" ht="29.25" customHeight="1">
      <c r="A79" s="29" t="n">
        <v>78</v>
      </c>
      <c r="B79" s="28" t="inlineStr">
        <is>
          <t>핵심원칙5_사외이사책임</t>
        </is>
      </c>
      <c r="C79" s="27" t="inlineStr">
        <is>
          <t>5-③_정보자원제공</t>
        </is>
      </c>
      <c r="D79" s="40" t="inlineStr">
        <is>
          <t>505</t>
        </is>
      </c>
      <c r="E79" s="28" t="inlineStr">
        <is>
          <t>사외이사 대상 교육(대면/화상) 실시 여부</t>
        </is>
      </c>
      <c r="F79" s="40" t="inlineStr">
        <is>
          <t>OX</t>
        </is>
      </c>
      <c r="G79" s="28" t="inlineStr">
        <is>
          <t>기업지배구조보고서/지속가능경영보고서</t>
        </is>
      </c>
      <c r="H79" s="27" t="inlineStr">
        <is>
          <t>G-1-5</t>
        </is>
      </c>
      <c r="I79" s="28" t="n"/>
      <c r="J79" s="39" t="n"/>
    </row>
    <row r="80" ht="29.25" customHeight="1">
      <c r="A80" s="20" t="n">
        <v>79</v>
      </c>
      <c r="B80" s="18" t="inlineStr">
        <is>
          <t>핵심원칙5_사외이사책임</t>
        </is>
      </c>
      <c r="C80" s="17" t="inlineStr">
        <is>
          <t>5-③_정보자원제공</t>
        </is>
      </c>
      <c r="D80" s="38" t="inlineStr">
        <is>
          <t>506</t>
        </is>
      </c>
      <c r="E80" s="18" t="inlineStr">
        <is>
          <t>사외이사만 참여하는 별도회의 개최 여부·횟수</t>
        </is>
      </c>
      <c r="F80" s="38" t="inlineStr">
        <is>
          <t>OX/숫자</t>
        </is>
      </c>
      <c r="G80" s="18" t="inlineStr">
        <is>
          <t>기업지배구조보고서</t>
        </is>
      </c>
      <c r="H80" s="17" t="inlineStr">
        <is>
          <t>G-1-5</t>
        </is>
      </c>
      <c r="I80" s="18" t="n"/>
      <c r="J80" s="39" t="n"/>
    </row>
    <row r="81" ht="29.25" customHeight="1">
      <c r="A81" s="29" t="n">
        <v>80</v>
      </c>
      <c r="B81" s="28" t="inlineStr">
        <is>
          <t>핵심원칙6_사외이사평가</t>
        </is>
      </c>
      <c r="C81" s="27" t="inlineStr">
        <is>
          <t>6-①_개별평가와재선임반영</t>
        </is>
      </c>
      <c r="D81" s="40" t="inlineStr">
        <is>
          <t>601</t>
        </is>
      </c>
      <c r="E81" s="28" t="inlineStr">
        <is>
          <t>사외이사 개별평가 실시 여부(자기/상호/외부평가)</t>
        </is>
      </c>
      <c r="F81" s="40" t="inlineStr">
        <is>
          <t>OX</t>
        </is>
      </c>
      <c r="G81" s="28" t="inlineStr">
        <is>
          <t>기업지배구조보고서</t>
        </is>
      </c>
      <c r="H81" s="27" t="inlineStr">
        <is>
          <t>G-1-5(평가 보강)</t>
        </is>
      </c>
      <c r="I81" s="28" t="n"/>
      <c r="J81" s="39" t="n"/>
    </row>
    <row r="82" ht="26.25" customHeight="1">
      <c r="A82" s="20" t="n">
        <v>81</v>
      </c>
      <c r="B82" s="18" t="inlineStr">
        <is>
          <t>핵심원칙6_사외이사평가</t>
        </is>
      </c>
      <c r="C82" s="17" t="inlineStr">
        <is>
          <t>6-①_개별평가와재선임반영</t>
        </is>
      </c>
      <c r="D82" s="38" t="inlineStr">
        <is>
          <t>602</t>
        </is>
      </c>
      <c r="E82" s="18" t="inlineStr">
        <is>
          <t>사외이사 평가결과 재선임 반영 여부</t>
        </is>
      </c>
      <c r="F82" s="38" t="inlineStr">
        <is>
          <t>OX</t>
        </is>
      </c>
      <c r="G82" s="18" t="inlineStr">
        <is>
          <t>기업지배구조보고서</t>
        </is>
      </c>
      <c r="H82" s="17" t="inlineStr">
        <is>
          <t>G-1-5(평가 보강)</t>
        </is>
      </c>
      <c r="I82" s="18" t="n"/>
      <c r="J82" s="39" t="n"/>
    </row>
    <row r="83" ht="15" customHeight="1">
      <c r="A83" s="29" t="n">
        <v>82</v>
      </c>
      <c r="B83" s="28" t="inlineStr">
        <is>
          <t>핵심원칙6_사외이사평가</t>
        </is>
      </c>
      <c r="C83" s="27" t="inlineStr">
        <is>
          <t>6-②_보수의적정성</t>
        </is>
      </c>
      <c r="D83" s="40" t="inlineStr">
        <is>
          <t>603</t>
        </is>
      </c>
      <c r="E83" s="28" t="inlineStr">
        <is>
          <t>사외이사 보수 정책 수립 여부</t>
        </is>
      </c>
      <c r="F83" s="40" t="inlineStr">
        <is>
          <t>OX</t>
        </is>
      </c>
      <c r="G83" s="28" t="inlineStr">
        <is>
          <t>기업지배구조보고서</t>
        </is>
      </c>
      <c r="H83" s="27" t="inlineStr">
        <is>
          <t>G-1-5(평가 보강)</t>
        </is>
      </c>
      <c r="I83" s="28" t="n"/>
      <c r="J83" s="39" t="n"/>
    </row>
    <row r="84" ht="15" customHeight="1">
      <c r="A84" s="20" t="n">
        <v>83</v>
      </c>
      <c r="B84" s="18" t="inlineStr">
        <is>
          <t>핵심원칙6_사외이사평가</t>
        </is>
      </c>
      <c r="C84" s="17" t="inlineStr">
        <is>
          <t>6-②_보수의적정성</t>
        </is>
      </c>
      <c r="D84" s="38" t="inlineStr">
        <is>
          <t>604</t>
        </is>
      </c>
      <c r="E84" s="18" t="inlineStr">
        <is>
          <t>사외이사 스톡옵션 부여 여부</t>
        </is>
      </c>
      <c r="F84" s="38" t="inlineStr">
        <is>
          <t>OX</t>
        </is>
      </c>
      <c r="G84" s="18" t="inlineStr">
        <is>
          <t>기업지배구조보고서</t>
        </is>
      </c>
      <c r="H84" s="17" t="inlineStr">
        <is>
          <t>G-1-5(평가 보강)</t>
        </is>
      </c>
      <c r="I84" s="18" t="n"/>
      <c r="J84" s="39" t="n"/>
    </row>
    <row r="85" ht="15" customHeight="1">
      <c r="A85" s="29" t="n">
        <v>84</v>
      </c>
      <c r="B85" s="28" t="inlineStr">
        <is>
          <t>핵심원칙6_사외이사평가</t>
        </is>
      </c>
      <c r="C85" s="27" t="inlineStr">
        <is>
          <t>6-②_보수의적정성</t>
        </is>
      </c>
      <c r="D85" s="40" t="inlineStr">
        <is>
          <t>605</t>
        </is>
      </c>
      <c r="E85" s="28" t="inlineStr">
        <is>
          <t>스톡옵션 행사조건 성과 연동 여부</t>
        </is>
      </c>
      <c r="F85" s="40" t="inlineStr">
        <is>
          <t>OX</t>
        </is>
      </c>
      <c r="G85" s="28" t="inlineStr">
        <is>
          <t>기업지배구조보고서</t>
        </is>
      </c>
      <c r="H85" s="27" t="inlineStr">
        <is>
          <t>G-1-5(평가 보강)</t>
        </is>
      </c>
      <c r="I85" s="28" t="n"/>
      <c r="J85" s="39" t="n"/>
    </row>
    <row r="86" ht="15" customHeight="1">
      <c r="A86" s="20" t="n">
        <v>85</v>
      </c>
      <c r="B86" s="18" t="inlineStr">
        <is>
          <t>핵심원칙7_이사회운영</t>
        </is>
      </c>
      <c r="C86" s="17" t="inlineStr">
        <is>
          <t>7-①_정기개최와운영규정</t>
        </is>
      </c>
      <c r="D86" s="38" t="inlineStr">
        <is>
          <t>701</t>
        </is>
      </c>
      <c r="E86" s="18" t="inlineStr">
        <is>
          <t>정기이사회 개최 여부</t>
        </is>
      </c>
      <c r="F86" s="38" t="inlineStr">
        <is>
          <t>OX</t>
        </is>
      </c>
      <c r="G86" s="18" t="inlineStr">
        <is>
          <t>기업지배구조보고서</t>
        </is>
      </c>
      <c r="H86" s="17" t="inlineStr">
        <is>
          <t>G-2-1, G-2-2</t>
        </is>
      </c>
      <c r="I86" s="18" t="n"/>
      <c r="J86" s="39" t="n"/>
    </row>
    <row r="87" ht="15" customHeight="1">
      <c r="A87" s="29" t="n">
        <v>86</v>
      </c>
      <c r="B87" s="28" t="inlineStr">
        <is>
          <t>핵심원칙7_이사회운영</t>
        </is>
      </c>
      <c r="C87" s="27" t="inlineStr">
        <is>
          <t>7-①_정기개최와운영규정</t>
        </is>
      </c>
      <c r="D87" s="40" t="inlineStr">
        <is>
          <t>702</t>
        </is>
      </c>
      <c r="E87" s="28" t="inlineStr">
        <is>
          <t>이사회 운영규정 존재 여부</t>
        </is>
      </c>
      <c r="F87" s="40" t="inlineStr">
        <is>
          <t>OX</t>
        </is>
      </c>
      <c r="G87" s="28" t="inlineStr">
        <is>
          <t>기업지배구조보고서</t>
        </is>
      </c>
      <c r="H87" s="27" t="inlineStr">
        <is>
          <t>G-2-1, G-2-2</t>
        </is>
      </c>
      <c r="I87" s="28" t="n"/>
      <c r="J87" s="39" t="n"/>
    </row>
    <row r="88" ht="29.25" customHeight="1">
      <c r="A88" s="20" t="n">
        <v>87</v>
      </c>
      <c r="B88" s="18" t="inlineStr">
        <is>
          <t>핵심원칙7_이사회운영</t>
        </is>
      </c>
      <c r="C88" s="17" t="inlineStr">
        <is>
          <t>7-①_정기개최와운영규정</t>
        </is>
      </c>
      <c r="D88" s="38" t="inlineStr">
        <is>
          <t>703</t>
        </is>
      </c>
      <c r="E88" s="18" t="inlineStr">
        <is>
          <t>이사회 개최횟수(정기/임시)</t>
        </is>
      </c>
      <c r="F88" s="20" t="inlineStr">
        <is>
          <t>숫자</t>
        </is>
      </c>
      <c r="G88" s="18" t="inlineStr">
        <is>
          <t>기업지배구조보고서/지속가능경영보고서</t>
        </is>
      </c>
      <c r="H88" s="17" t="inlineStr">
        <is>
          <t>G-2-1, G-2-2</t>
        </is>
      </c>
      <c r="I88" s="18" t="inlineStr">
        <is>
          <t>표 7-1-1</t>
        </is>
      </c>
      <c r="J88" s="39" t="n"/>
    </row>
    <row r="89" ht="15" customHeight="1">
      <c r="A89" s="29" t="n">
        <v>88</v>
      </c>
      <c r="B89" s="28" t="inlineStr">
        <is>
          <t>핵심원칙7_이사회운영</t>
        </is>
      </c>
      <c r="C89" s="27" t="inlineStr">
        <is>
          <t>7-①_정기개최와운영규정</t>
        </is>
      </c>
      <c r="D89" s="40" t="inlineStr">
        <is>
          <t>704</t>
        </is>
      </c>
      <c r="E89" s="28" t="inlineStr">
        <is>
          <t>안건통지-개최일 평균 간격(일)</t>
        </is>
      </c>
      <c r="F89" s="29" t="inlineStr">
        <is>
          <t>숫자</t>
        </is>
      </c>
      <c r="G89" s="28" t="inlineStr">
        <is>
          <t>기업지배구조보고서</t>
        </is>
      </c>
      <c r="H89" s="27" t="inlineStr">
        <is>
          <t>G-2-1, G-2-2</t>
        </is>
      </c>
      <c r="I89" s="28" t="n"/>
      <c r="J89" s="39" t="n"/>
    </row>
    <row r="90" ht="29.25" customHeight="1">
      <c r="A90" s="20" t="n">
        <v>89</v>
      </c>
      <c r="B90" s="18" t="inlineStr">
        <is>
          <t>핵심원칙7_이사회운영</t>
        </is>
      </c>
      <c r="C90" s="17" t="inlineStr">
        <is>
          <t>7-①_정기개최와운영규정</t>
        </is>
      </c>
      <c r="D90" s="38" t="inlineStr">
        <is>
          <t>705</t>
        </is>
      </c>
      <c r="E90" s="18" t="inlineStr">
        <is>
          <t>이사 평균 출석률(%)</t>
        </is>
      </c>
      <c r="F90" s="20" t="inlineStr">
        <is>
          <t>숫자</t>
        </is>
      </c>
      <c r="G90" s="18" t="inlineStr">
        <is>
          <t>기업지배구조보고서/지속가능경영보고서</t>
        </is>
      </c>
      <c r="H90" s="17" t="inlineStr">
        <is>
          <t>G-2-1, G-2-2</t>
        </is>
      </c>
      <c r="I90" s="18" t="n"/>
      <c r="J90" s="39" t="n"/>
    </row>
    <row r="91" ht="15" customHeight="1">
      <c r="A91" s="29" t="n">
        <v>90</v>
      </c>
      <c r="B91" s="28" t="inlineStr">
        <is>
          <t>핵심원칙7_이사회운영</t>
        </is>
      </c>
      <c r="C91" s="27" t="inlineStr">
        <is>
          <t>7-①_정기개최와운영규정</t>
        </is>
      </c>
      <c r="D91" s="40" t="inlineStr">
        <is>
          <t>706</t>
        </is>
      </c>
      <c r="E91" s="28" t="inlineStr">
        <is>
          <t>임원보수 정책 수립 여부</t>
        </is>
      </c>
      <c r="F91" s="40" t="inlineStr">
        <is>
          <t>OX</t>
        </is>
      </c>
      <c r="G91" s="28" t="inlineStr">
        <is>
          <t>기업지배구조보고서</t>
        </is>
      </c>
      <c r="H91" s="27" t="inlineStr">
        <is>
          <t>G-2-1, G-2-2</t>
        </is>
      </c>
      <c r="I91" s="28" t="n"/>
      <c r="J91" s="39" t="n"/>
    </row>
    <row r="92" ht="15" customHeight="1">
      <c r="A92" s="20" t="n">
        <v>91</v>
      </c>
      <c r="B92" s="18" t="inlineStr">
        <is>
          <t>핵심원칙7_이사회운영</t>
        </is>
      </c>
      <c r="C92" s="17" t="inlineStr">
        <is>
          <t>7-①_정기개최와운영규정</t>
        </is>
      </c>
      <c r="D92" s="38" t="inlineStr">
        <is>
          <t>707</t>
        </is>
      </c>
      <c r="E92" s="18" t="inlineStr">
        <is>
          <t>임원보수 정책 공개 여부</t>
        </is>
      </c>
      <c r="F92" s="38" t="inlineStr">
        <is>
          <t>OX</t>
        </is>
      </c>
      <c r="G92" s="18" t="inlineStr">
        <is>
          <t>기업지배구조보고서</t>
        </is>
      </c>
      <c r="H92" s="17" t="inlineStr">
        <is>
          <t>G-2-1, G-2-2</t>
        </is>
      </c>
      <c r="I92" s="18" t="n"/>
      <c r="J92" s="39" t="n"/>
    </row>
    <row r="93" ht="29.25" customHeight="1">
      <c r="A93" s="29" t="n">
        <v>92</v>
      </c>
      <c r="B93" s="28" t="inlineStr">
        <is>
          <t>핵심원칙7_이사회운영</t>
        </is>
      </c>
      <c r="C93" s="27" t="inlineStr">
        <is>
          <t>7-①_정기개최와운영규정</t>
        </is>
      </c>
      <c r="D93" s="40" t="inlineStr">
        <is>
          <t>708</t>
        </is>
      </c>
      <c r="E93" s="28" t="inlineStr">
        <is>
          <t>임원배상책임보험(D&amp;O) 가입 여부</t>
        </is>
      </c>
      <c r="F93" s="40" t="inlineStr">
        <is>
          <t>OX</t>
        </is>
      </c>
      <c r="G93" s="28" t="inlineStr">
        <is>
          <t>기업지배구조보고서/지속가능경영보고서</t>
        </is>
      </c>
      <c r="H93" s="27" t="inlineStr">
        <is>
          <t>G-2-1, G-2-2</t>
        </is>
      </c>
      <c r="I93" s="28" t="n"/>
      <c r="J93" s="39" t="n"/>
    </row>
    <row r="94" ht="15" customHeight="1">
      <c r="A94" s="20" t="n">
        <v>93</v>
      </c>
      <c r="B94" s="18" t="inlineStr">
        <is>
          <t>핵심원칙7_이사회운영</t>
        </is>
      </c>
      <c r="C94" s="17" t="inlineStr">
        <is>
          <t>7-①_정기개최와운영규정</t>
        </is>
      </c>
      <c r="D94" s="38" t="inlineStr">
        <is>
          <t>709</t>
        </is>
      </c>
      <c r="E94" s="18" t="inlineStr">
        <is>
          <t>이해관계자 이익 고려 여부</t>
        </is>
      </c>
      <c r="F94" s="38" t="inlineStr">
        <is>
          <t>OX</t>
        </is>
      </c>
      <c r="G94" s="18" t="inlineStr">
        <is>
          <t>기업지배구조보고서</t>
        </is>
      </c>
      <c r="H94" s="17" t="inlineStr">
        <is>
          <t>G-2-1, G-2-2</t>
        </is>
      </c>
      <c r="I94" s="18" t="n"/>
      <c r="J94" s="39" t="n"/>
    </row>
    <row r="95" ht="15" customHeight="1">
      <c r="A95" s="29" t="n">
        <v>94</v>
      </c>
      <c r="B95" s="28" t="inlineStr">
        <is>
          <t>핵심원칙7_이사회운영</t>
        </is>
      </c>
      <c r="C95" s="27" t="inlineStr">
        <is>
          <t>7-②_의사록과활동공개</t>
        </is>
      </c>
      <c r="D95" s="40" t="inlineStr">
        <is>
          <t>710</t>
        </is>
      </c>
      <c r="E95" s="28" t="inlineStr">
        <is>
          <t>이사회 의사록·녹취록 작성·보존 규정 여부</t>
        </is>
      </c>
      <c r="F95" s="40" t="inlineStr">
        <is>
          <t>OX</t>
        </is>
      </c>
      <c r="G95" s="28" t="inlineStr">
        <is>
          <t>기업지배구조보고서</t>
        </is>
      </c>
      <c r="H95" s="27" t="inlineStr">
        <is>
          <t>G-2-4</t>
        </is>
      </c>
      <c r="I95" s="28" t="n"/>
      <c r="J95" s="39" t="n"/>
    </row>
    <row r="96" ht="15" customHeight="1">
      <c r="A96" s="20" t="n">
        <v>95</v>
      </c>
      <c r="B96" s="18" t="inlineStr">
        <is>
          <t>핵심원칙7_이사회운영</t>
        </is>
      </c>
      <c r="C96" s="17" t="inlineStr">
        <is>
          <t>7-②_의사록과활동공개</t>
        </is>
      </c>
      <c r="D96" s="38" t="inlineStr">
        <is>
          <t>711</t>
        </is>
      </c>
      <c r="E96" s="18" t="inlineStr">
        <is>
          <t>개별이사 출석률·안건 찬성률(최근3개년)</t>
        </is>
      </c>
      <c r="F96" s="20" t="inlineStr">
        <is>
          <t>숫자</t>
        </is>
      </c>
      <c r="G96" s="18" t="inlineStr">
        <is>
          <t>기업지배구조보고서</t>
        </is>
      </c>
      <c r="H96" s="17" t="inlineStr">
        <is>
          <t>G-2-4</t>
        </is>
      </c>
      <c r="I96" s="18" t="inlineStr">
        <is>
          <t>표 7-2-1</t>
        </is>
      </c>
      <c r="J96" s="39" t="n"/>
    </row>
    <row r="97" ht="15" customHeight="1">
      <c r="A97" s="29" t="n">
        <v>96</v>
      </c>
      <c r="B97" s="28" t="inlineStr">
        <is>
          <t>핵심원칙7_이사회운영</t>
        </is>
      </c>
      <c r="C97" s="27" t="inlineStr">
        <is>
          <t>7-②_의사록과활동공개</t>
        </is>
      </c>
      <c r="D97" s="40" t="inlineStr">
        <is>
          <t>712</t>
        </is>
      </c>
      <c r="E97" s="28" t="inlineStr">
        <is>
          <t>정기공시 외 개별이사 활동내용 공개 여부</t>
        </is>
      </c>
      <c r="F97" s="40" t="inlineStr">
        <is>
          <t>OX</t>
        </is>
      </c>
      <c r="G97" s="28" t="inlineStr">
        <is>
          <t>기업지배구조보고서</t>
        </is>
      </c>
      <c r="H97" s="27" t="inlineStr">
        <is>
          <t>G-2-4</t>
        </is>
      </c>
      <c r="I97" s="28" t="n"/>
      <c r="J97" s="39" t="n"/>
    </row>
    <row r="98" ht="15" customHeight="1">
      <c r="A98" s="20" t="n">
        <v>97</v>
      </c>
      <c r="B98" s="18" t="inlineStr">
        <is>
          <t>핵심원칙8_이사회내위원회</t>
        </is>
      </c>
      <c r="C98" s="17" t="inlineStr">
        <is>
          <t>8-①_위원구성</t>
        </is>
      </c>
      <c r="D98" s="38" t="inlineStr">
        <is>
          <t>801</t>
        </is>
      </c>
      <c r="E98" s="18" t="inlineStr">
        <is>
          <t>각 위원회 사외이사 과반수 선임 여부</t>
        </is>
      </c>
      <c r="F98" s="38" t="inlineStr">
        <is>
          <t>OX</t>
        </is>
      </c>
      <c r="G98" s="18" t="inlineStr">
        <is>
          <t>기업지배구조보고서</t>
        </is>
      </c>
      <c r="H98" s="17" t="inlineStr">
        <is>
          <t>G-2-3</t>
        </is>
      </c>
      <c r="I98" s="18" t="n"/>
      <c r="J98" s="39" t="n"/>
    </row>
    <row r="99" ht="29.25" customHeight="1">
      <c r="A99" s="29" t="n">
        <v>98</v>
      </c>
      <c r="B99" s="28" t="inlineStr">
        <is>
          <t>핵심원칙8_이사회내위원회</t>
        </is>
      </c>
      <c r="C99" s="27" t="inlineStr">
        <is>
          <t>8-①_위원구성</t>
        </is>
      </c>
      <c r="D99" s="40" t="inlineStr">
        <is>
          <t>802</t>
        </is>
      </c>
      <c r="E99" s="28" t="inlineStr">
        <is>
          <t>감사위원회·보수(보상)위원회 전원 사외이사 구성 여부</t>
        </is>
      </c>
      <c r="F99" s="40" t="inlineStr">
        <is>
          <t>OX</t>
        </is>
      </c>
      <c r="G99" s="28" t="inlineStr">
        <is>
          <t>기업지배구조보고서</t>
        </is>
      </c>
      <c r="H99" s="27" t="inlineStr">
        <is>
          <t>G-2-3</t>
        </is>
      </c>
      <c r="I99" s="28" t="n"/>
      <c r="J99" s="39" t="n"/>
    </row>
    <row r="100" ht="15" customHeight="1">
      <c r="A100" s="20" t="n">
        <v>99</v>
      </c>
      <c r="B100" s="18" t="inlineStr">
        <is>
          <t>핵심원칙8_이사회내위원회</t>
        </is>
      </c>
      <c r="C100" s="17" t="inlineStr">
        <is>
          <t>8-②_위원회운영과보고</t>
        </is>
      </c>
      <c r="D100" s="38" t="inlineStr">
        <is>
          <t>803</t>
        </is>
      </c>
      <c r="E100" s="18" t="inlineStr">
        <is>
          <t>이사회내 위원회 명문규정 존재 여부</t>
        </is>
      </c>
      <c r="F100" s="38" t="inlineStr">
        <is>
          <t>OX</t>
        </is>
      </c>
      <c r="G100" s="18" t="inlineStr">
        <is>
          <t>기업지배구조보고서</t>
        </is>
      </c>
      <c r="H100" s="17" t="inlineStr">
        <is>
          <t>G-2-3</t>
        </is>
      </c>
      <c r="I100" s="18" t="n"/>
      <c r="J100" s="39" t="n"/>
    </row>
    <row r="101" ht="15" customHeight="1">
      <c r="A101" s="29" t="n">
        <v>100</v>
      </c>
      <c r="B101" s="28" t="inlineStr">
        <is>
          <t>핵심원칙8_이사회내위원회</t>
        </is>
      </c>
      <c r="C101" s="27" t="inlineStr">
        <is>
          <t>8-②_위원회운영과보고</t>
        </is>
      </c>
      <c r="D101" s="40" t="inlineStr">
        <is>
          <t>804</t>
        </is>
      </c>
      <c r="E101" s="28" t="inlineStr">
        <is>
          <t>위원회 결의사항 이사회 보고 여부</t>
        </is>
      </c>
      <c r="F101" s="40" t="inlineStr">
        <is>
          <t>OX</t>
        </is>
      </c>
      <c r="G101" s="28" t="inlineStr">
        <is>
          <t>기업지배구조보고서</t>
        </is>
      </c>
      <c r="H101" s="27" t="inlineStr">
        <is>
          <t>G-2-3</t>
        </is>
      </c>
      <c r="I101" s="28" t="n"/>
      <c r="J101" s="39" t="n"/>
    </row>
    <row r="102" ht="15" customHeight="1">
      <c r="A102" s="20" t="n">
        <v>101</v>
      </c>
      <c r="B102" s="18" t="inlineStr">
        <is>
          <t>핵심원칙8_이사회내위원회</t>
        </is>
      </c>
      <c r="C102" s="17" t="inlineStr">
        <is>
          <t>8-②_위원회운영과보고</t>
        </is>
      </c>
      <c r="D102" s="38" t="inlineStr">
        <is>
          <t>805</t>
        </is>
      </c>
      <c r="E102" s="18" t="inlineStr">
        <is>
          <t>위원회별 개최횟수·안건·가결여부</t>
        </is>
      </c>
      <c r="F102" s="20" t="inlineStr">
        <is>
          <t>숫자/텍스트</t>
        </is>
      </c>
      <c r="G102" s="18" t="inlineStr">
        <is>
          <t>기업지배구조보고서</t>
        </is>
      </c>
      <c r="H102" s="17" t="inlineStr">
        <is>
          <t>G-2-3</t>
        </is>
      </c>
      <c r="I102" s="18" t="inlineStr">
        <is>
          <t>표 8-2-1~3</t>
        </is>
      </c>
      <c r="J102" s="39" t="n"/>
    </row>
    <row r="103" ht="15" customHeight="1">
      <c r="A103" s="29" t="n">
        <v>102</v>
      </c>
      <c r="B103" s="28" t="inlineStr">
        <is>
          <t>핵심원칙9_내부감사기구</t>
        </is>
      </c>
      <c r="C103" s="27" t="inlineStr">
        <is>
          <t>9-①_독립성과전문성</t>
        </is>
      </c>
      <c r="D103" s="40" t="inlineStr">
        <is>
          <t>901</t>
        </is>
      </c>
      <c r="E103" s="28" t="inlineStr">
        <is>
          <t>감사위원회 설치 여부</t>
        </is>
      </c>
      <c r="F103" s="40" t="inlineStr">
        <is>
          <t>OX</t>
        </is>
      </c>
      <c r="G103" s="28" t="inlineStr">
        <is>
          <t>기업지배구조보고서</t>
        </is>
      </c>
      <c r="H103" s="27" t="inlineStr">
        <is>
          <t>G-5-1, G-5-2</t>
        </is>
      </c>
      <c r="I103" s="28" t="inlineStr">
        <is>
          <t>핵심지표 H12 연계</t>
        </is>
      </c>
      <c r="J103" s="39" t="n"/>
    </row>
    <row r="104" ht="15" customHeight="1">
      <c r="A104" s="20" t="n">
        <v>103</v>
      </c>
      <c r="B104" s="18" t="inlineStr">
        <is>
          <t>핵심원칙9_내부감사기구</t>
        </is>
      </c>
      <c r="C104" s="17" t="inlineStr">
        <is>
          <t>9-①_독립성과전문성</t>
        </is>
      </c>
      <c r="D104" s="38" t="inlineStr">
        <is>
          <t>902</t>
        </is>
      </c>
      <c r="E104" s="18" t="inlineStr">
        <is>
          <t>회계 또는 재무전문가 존재 여부</t>
        </is>
      </c>
      <c r="F104" s="38" t="inlineStr">
        <is>
          <t>OX</t>
        </is>
      </c>
      <c r="G104" s="18" t="inlineStr">
        <is>
          <t>기업지배구조보고서</t>
        </is>
      </c>
      <c r="H104" s="17" t="inlineStr">
        <is>
          <t>G-5-1, G-5-2</t>
        </is>
      </c>
      <c r="I104" s="18" t="inlineStr">
        <is>
          <t>핵심지표 H13</t>
        </is>
      </c>
      <c r="J104" s="39" t="n"/>
    </row>
    <row r="105" ht="15" customHeight="1">
      <c r="A105" s="29" t="n">
        <v>104</v>
      </c>
      <c r="B105" s="28" t="inlineStr">
        <is>
          <t>핵심원칙9_내부감사기구</t>
        </is>
      </c>
      <c r="C105" s="27" t="inlineStr">
        <is>
          <t>9-①_독립성과전문성</t>
        </is>
      </c>
      <c r="D105" s="40" t="inlineStr">
        <is>
          <t>903</t>
        </is>
      </c>
      <c r="E105" s="28" t="inlineStr">
        <is>
          <t>내부감사기구 운영규정 존재 여부</t>
        </is>
      </c>
      <c r="F105" s="40" t="inlineStr">
        <is>
          <t>OX</t>
        </is>
      </c>
      <c r="G105" s="28" t="inlineStr">
        <is>
          <t>기업지배구조보고서</t>
        </is>
      </c>
      <c r="H105" s="27" t="inlineStr">
        <is>
          <t>G-5-1, G-5-2</t>
        </is>
      </c>
      <c r="I105" s="28" t="n"/>
      <c r="J105" s="39" t="n"/>
    </row>
    <row r="106" ht="15" customHeight="1">
      <c r="A106" s="20" t="n">
        <v>105</v>
      </c>
      <c r="B106" s="18" t="inlineStr">
        <is>
          <t>핵심원칙9_내부감사기구</t>
        </is>
      </c>
      <c r="C106" s="17" t="inlineStr">
        <is>
          <t>9-①_독립성과전문성</t>
        </is>
      </c>
      <c r="D106" s="38" t="inlineStr">
        <is>
          <t>904</t>
        </is>
      </c>
      <c r="E106" s="18" t="inlineStr">
        <is>
          <t>감사기구 대상 교육 제공 여부</t>
        </is>
      </c>
      <c r="F106" s="38" t="inlineStr">
        <is>
          <t>OX</t>
        </is>
      </c>
      <c r="G106" s="18" t="inlineStr">
        <is>
          <t>기업지배구조보고서</t>
        </is>
      </c>
      <c r="H106" s="17" t="inlineStr">
        <is>
          <t>G-5-1, G-5-2</t>
        </is>
      </c>
      <c r="I106" s="18" t="n"/>
      <c r="J106" s="39" t="n"/>
    </row>
    <row r="107" ht="15" customHeight="1">
      <c r="A107" s="29" t="n">
        <v>106</v>
      </c>
      <c r="B107" s="28" t="inlineStr">
        <is>
          <t>핵심원칙9_내부감사기구</t>
        </is>
      </c>
      <c r="C107" s="27" t="inlineStr">
        <is>
          <t>9-①_독립성과전문성</t>
        </is>
      </c>
      <c r="D107" s="40" t="inlineStr">
        <is>
          <t>905</t>
        </is>
      </c>
      <c r="E107" s="28" t="inlineStr">
        <is>
          <t>외부 전문가 자문 지원 시행 여부</t>
        </is>
      </c>
      <c r="F107" s="40" t="inlineStr">
        <is>
          <t>OX</t>
        </is>
      </c>
      <c r="G107" s="28" t="inlineStr">
        <is>
          <t>기업지배구조보고서</t>
        </is>
      </c>
      <c r="H107" s="27" t="inlineStr">
        <is>
          <t>G-5-1, G-5-2</t>
        </is>
      </c>
      <c r="I107" s="28" t="n"/>
      <c r="J107" s="39" t="n"/>
    </row>
    <row r="108" ht="15" customHeight="1">
      <c r="A108" s="20" t="n">
        <v>107</v>
      </c>
      <c r="B108" s="18" t="inlineStr">
        <is>
          <t>핵심원칙9_내부감사기구</t>
        </is>
      </c>
      <c r="C108" s="17" t="inlineStr">
        <is>
          <t>9-①_독립성과전문성</t>
        </is>
      </c>
      <c r="D108" s="38" t="inlineStr">
        <is>
          <t>906</t>
        </is>
      </c>
      <c r="E108" s="18" t="inlineStr">
        <is>
          <t>경영진 부정행위 조사절차 규정 마련 여부</t>
        </is>
      </c>
      <c r="F108" s="38" t="inlineStr">
        <is>
          <t>OX</t>
        </is>
      </c>
      <c r="G108" s="18" t="inlineStr">
        <is>
          <t>기업지배구조보고서</t>
        </is>
      </c>
      <c r="H108" s="17" t="inlineStr">
        <is>
          <t>G-5-1, G-5-2</t>
        </is>
      </c>
      <c r="I108" s="18" t="n"/>
      <c r="J108" s="39" t="n"/>
    </row>
    <row r="109" ht="15" customHeight="1">
      <c r="A109" s="29" t="n">
        <v>108</v>
      </c>
      <c r="B109" s="28" t="inlineStr">
        <is>
          <t>핵심원칙9_내부감사기구</t>
        </is>
      </c>
      <c r="C109" s="27" t="inlineStr">
        <is>
          <t>9-①_독립성과전문성</t>
        </is>
      </c>
      <c r="D109" s="40" t="inlineStr">
        <is>
          <t>907</t>
        </is>
      </c>
      <c r="E109" s="28" t="inlineStr">
        <is>
          <t>내부감사기구 중요정보 접근절차 보유 여부</t>
        </is>
      </c>
      <c r="F109" s="40" t="inlineStr">
        <is>
          <t>OX</t>
        </is>
      </c>
      <c r="G109" s="28" t="inlineStr">
        <is>
          <t>기업지배구조보고서</t>
        </is>
      </c>
      <c r="H109" s="27" t="inlineStr">
        <is>
          <t>G-5-1, G-5-2</t>
        </is>
      </c>
      <c r="I109" s="28" t="inlineStr">
        <is>
          <t>핵심지표 H15</t>
        </is>
      </c>
      <c r="J109" s="39" t="n"/>
    </row>
    <row r="110" ht="15" customHeight="1">
      <c r="A110" s="20" t="n">
        <v>109</v>
      </c>
      <c r="B110" s="18" t="inlineStr">
        <is>
          <t>핵심원칙9_내부감사기구</t>
        </is>
      </c>
      <c r="C110" s="17" t="inlineStr">
        <is>
          <t>9-①_독립성과전문성</t>
        </is>
      </c>
      <c r="D110" s="38" t="inlineStr">
        <is>
          <t>908</t>
        </is>
      </c>
      <c r="E110" s="18" t="inlineStr">
        <is>
          <t>내부감사업무 지원조직 설치 여부</t>
        </is>
      </c>
      <c r="F110" s="38" t="inlineStr">
        <is>
          <t>OX</t>
        </is>
      </c>
      <c r="G110" s="18" t="inlineStr">
        <is>
          <t>기업지배구조보고서</t>
        </is>
      </c>
      <c r="H110" s="17" t="inlineStr">
        <is>
          <t>G-5-1, G-5-2</t>
        </is>
      </c>
      <c r="I110" s="18" t="inlineStr">
        <is>
          <t>핵심지표 H12</t>
        </is>
      </c>
      <c r="J110" s="39" t="n"/>
    </row>
    <row r="111" ht="15" customHeight="1">
      <c r="A111" s="29" t="n">
        <v>110</v>
      </c>
      <c r="B111" s="28" t="inlineStr">
        <is>
          <t>핵심원칙9_내부감사기구</t>
        </is>
      </c>
      <c r="C111" s="27" t="inlineStr">
        <is>
          <t>9-①_독립성과전문성</t>
        </is>
      </c>
      <c r="D111" s="40" t="inlineStr">
        <is>
          <t>909</t>
        </is>
      </c>
      <c r="E111" s="28" t="inlineStr">
        <is>
          <t>지원조직 독립성 확보(인사권/동의권) 여부</t>
        </is>
      </c>
      <c r="F111" s="40" t="inlineStr">
        <is>
          <t>OX</t>
        </is>
      </c>
      <c r="G111" s="28" t="inlineStr">
        <is>
          <t>기업지배구조보고서</t>
        </is>
      </c>
      <c r="H111" s="27" t="inlineStr">
        <is>
          <t>G-5-1, G-5-2</t>
        </is>
      </c>
      <c r="I111" s="28" t="n"/>
      <c r="J111" s="39" t="n"/>
    </row>
    <row r="112" ht="15" customHeight="1">
      <c r="A112" s="20" t="n">
        <v>111</v>
      </c>
      <c r="B112" s="18" t="inlineStr">
        <is>
          <t>핵심원칙9_내부감사기구</t>
        </is>
      </c>
      <c r="C112" s="17" t="inlineStr">
        <is>
          <t>9-①_독립성과전문성</t>
        </is>
      </c>
      <c r="D112" s="38" t="inlineStr">
        <is>
          <t>910</t>
        </is>
      </c>
      <c r="E112" s="18" t="inlineStr">
        <is>
          <t>감사(위원) 독립적 보수정책 수립 여부</t>
        </is>
      </c>
      <c r="F112" s="38" t="inlineStr">
        <is>
          <t>OX</t>
        </is>
      </c>
      <c r="G112" s="18" t="inlineStr">
        <is>
          <t>기업지배구조보고서</t>
        </is>
      </c>
      <c r="H112" s="17" t="inlineStr">
        <is>
          <t>G-5-1, G-5-2</t>
        </is>
      </c>
      <c r="I112" s="18" t="n"/>
      <c r="J112" s="39" t="n"/>
    </row>
    <row r="113" ht="15" customHeight="1">
      <c r="A113" s="29" t="n">
        <v>112</v>
      </c>
      <c r="B113" s="28" t="inlineStr">
        <is>
          <t>핵심원칙9_내부감사기구</t>
        </is>
      </c>
      <c r="C113" s="27" t="inlineStr">
        <is>
          <t>9-①_독립성과전문성</t>
        </is>
      </c>
      <c r="D113" s="40" t="inlineStr">
        <is>
          <t>911</t>
        </is>
      </c>
      <c r="E113" s="28" t="inlineStr">
        <is>
          <t>감사(위원) 대비 사외이사 보수 비율</t>
        </is>
      </c>
      <c r="F113" s="29" t="inlineStr">
        <is>
          <t>숫자</t>
        </is>
      </c>
      <c r="G113" s="28" t="inlineStr">
        <is>
          <t>기업지배구조보고서</t>
        </is>
      </c>
      <c r="H113" s="27" t="inlineStr">
        <is>
          <t>G-5-1, G-5-2</t>
        </is>
      </c>
      <c r="I113" s="28" t="n"/>
      <c r="J113" s="39" t="n"/>
    </row>
    <row r="114" ht="15" customHeight="1">
      <c r="A114" s="20" t="n">
        <v>113</v>
      </c>
      <c r="B114" s="18" t="inlineStr">
        <is>
          <t>핵심원칙9_내부감사기구</t>
        </is>
      </c>
      <c r="C114" s="17" t="inlineStr">
        <is>
          <t>9-②_활동내역과공개</t>
        </is>
      </c>
      <c r="D114" s="38" t="inlineStr">
        <is>
          <t>912</t>
        </is>
      </c>
      <c r="E114" s="18" t="inlineStr">
        <is>
          <t>내부감사기구 정기회의 개최 여부</t>
        </is>
      </c>
      <c r="F114" s="38" t="inlineStr">
        <is>
          <t>OX</t>
        </is>
      </c>
      <c r="G114" s="18" t="inlineStr">
        <is>
          <t>기업지배구조보고서</t>
        </is>
      </c>
      <c r="H114" s="17" t="inlineStr">
        <is>
          <t>G-5-1, G-5-2</t>
        </is>
      </c>
      <c r="I114" s="18" t="n"/>
      <c r="J114" s="39" t="n"/>
    </row>
    <row r="115" ht="15" customHeight="1">
      <c r="A115" s="29" t="n">
        <v>114</v>
      </c>
      <c r="B115" s="28" t="inlineStr">
        <is>
          <t>핵심원칙9_내부감사기구</t>
        </is>
      </c>
      <c r="C115" s="27" t="inlineStr">
        <is>
          <t>9-②_활동내역과공개</t>
        </is>
      </c>
      <c r="D115" s="40" t="inlineStr">
        <is>
          <t>913</t>
        </is>
      </c>
      <c r="E115" s="28" t="inlineStr">
        <is>
          <t>감사회의록 작성·보존 규정 여부</t>
        </is>
      </c>
      <c r="F115" s="40" t="inlineStr">
        <is>
          <t>OX</t>
        </is>
      </c>
      <c r="G115" s="28" t="inlineStr">
        <is>
          <t>기업지배구조보고서</t>
        </is>
      </c>
      <c r="H115" s="27" t="inlineStr">
        <is>
          <t>G-5-1, G-5-2</t>
        </is>
      </c>
      <c r="I115" s="28" t="n"/>
      <c r="J115" s="39" t="n"/>
    </row>
    <row r="116" ht="15" customHeight="1">
      <c r="A116" s="20" t="n">
        <v>115</v>
      </c>
      <c r="B116" s="18" t="inlineStr">
        <is>
          <t>핵심원칙9_내부감사기구</t>
        </is>
      </c>
      <c r="C116" s="17" t="inlineStr">
        <is>
          <t>9-②_활동내역과공개</t>
        </is>
      </c>
      <c r="D116" s="38" t="inlineStr">
        <is>
          <t>914</t>
        </is>
      </c>
      <c r="E116" s="18" t="inlineStr">
        <is>
          <t>감사위원회 개별이사 출석률(최근3개년,%)</t>
        </is>
      </c>
      <c r="F116" s="20" t="inlineStr">
        <is>
          <t>숫자</t>
        </is>
      </c>
      <c r="G116" s="18" t="inlineStr">
        <is>
          <t>기업지배구조보고서</t>
        </is>
      </c>
      <c r="H116" s="17" t="inlineStr">
        <is>
          <t>G-5-1, G-5-2</t>
        </is>
      </c>
      <c r="I116" s="18" t="inlineStr">
        <is>
          <t>표 9-2-1</t>
        </is>
      </c>
      <c r="J116" s="39" t="n"/>
    </row>
    <row r="117" ht="26.25" customHeight="1">
      <c r="A117" s="29" t="n">
        <v>116</v>
      </c>
      <c r="B117" s="28" t="inlineStr">
        <is>
          <t>핵심원칙10_외부감사인</t>
        </is>
      </c>
      <c r="C117" s="27" t="inlineStr">
        <is>
          <t>10-①_선임시독립성전문성</t>
        </is>
      </c>
      <c r="D117" s="40" t="inlineStr">
        <is>
          <t>1001</t>
        </is>
      </c>
      <c r="E117" s="28" t="inlineStr">
        <is>
          <t>외부감사인 선임 관련 정책 마련 여부</t>
        </is>
      </c>
      <c r="F117" s="40" t="inlineStr">
        <is>
          <t>OX</t>
        </is>
      </c>
      <c r="G117" s="28" t="inlineStr">
        <is>
          <t>기업지배구조보고서</t>
        </is>
      </c>
      <c r="H117" s="27" t="inlineStr">
        <is>
          <t>G-5-1(외부감사 보강)</t>
        </is>
      </c>
      <c r="I117" s="28" t="n"/>
      <c r="J117" s="39" t="n"/>
    </row>
    <row r="118" ht="26.25" customHeight="1">
      <c r="A118" s="20" t="n">
        <v>117</v>
      </c>
      <c r="B118" s="18" t="inlineStr">
        <is>
          <t>핵심원칙10_외부감사인</t>
        </is>
      </c>
      <c r="C118" s="17" t="inlineStr">
        <is>
          <t>10-①_선임시독립성전문성</t>
        </is>
      </c>
      <c r="D118" s="38" t="inlineStr">
        <is>
          <t>1002</t>
        </is>
      </c>
      <c r="E118" s="18" t="inlineStr">
        <is>
          <t>외부감사인 독립성 훼손우려 상황 유무</t>
        </is>
      </c>
      <c r="F118" s="38" t="inlineStr">
        <is>
          <t>OX</t>
        </is>
      </c>
      <c r="G118" s="18" t="inlineStr">
        <is>
          <t>기업지배구조보고서</t>
        </is>
      </c>
      <c r="H118" s="17" t="inlineStr">
        <is>
          <t>G-5-1(외부감사 보강)</t>
        </is>
      </c>
      <c r="I118" s="18" t="inlineStr">
        <is>
          <t>비감사용역 사전승인 등 4가지 기준</t>
        </is>
      </c>
      <c r="J118" s="39" t="n"/>
    </row>
    <row r="119" ht="29.25" customHeight="1">
      <c r="A119" s="29" t="n">
        <v>118</v>
      </c>
      <c r="B119" s="28" t="inlineStr">
        <is>
          <t>핵심원칙10_외부감사인</t>
        </is>
      </c>
      <c r="C119" s="27" t="inlineStr">
        <is>
          <t>10-②_주기적의사소통</t>
        </is>
      </c>
      <c r="D119" s="40" t="inlineStr">
        <is>
          <t>1003</t>
        </is>
      </c>
      <c r="E119" s="28" t="inlineStr">
        <is>
          <t>내부감사기구-외부감사인 분기1회 이상 경영진 없이 소통 시행여부</t>
        </is>
      </c>
      <c r="F119" s="40" t="inlineStr">
        <is>
          <t>OX</t>
        </is>
      </c>
      <c r="G119" s="28" t="inlineStr">
        <is>
          <t>기업지배구조보고서</t>
        </is>
      </c>
      <c r="H119" s="27" t="inlineStr">
        <is>
          <t>G-5-1(외부감사 보강)</t>
        </is>
      </c>
      <c r="I119" s="28" t="inlineStr">
        <is>
          <t>핵심지표 H14</t>
        </is>
      </c>
      <c r="J119" s="39" t="n"/>
    </row>
    <row r="120" ht="15" customHeight="1">
      <c r="A120" s="20" t="n">
        <v>119</v>
      </c>
      <c r="B120" s="18" t="inlineStr">
        <is>
          <t>핵심원칙10_외부감사인</t>
        </is>
      </c>
      <c r="C120" s="17" t="inlineStr">
        <is>
          <t>10-②_주기적의사소통</t>
        </is>
      </c>
      <c r="D120" s="38" t="inlineStr">
        <is>
          <t>1004</t>
        </is>
      </c>
      <c r="E120" s="18" t="inlineStr">
        <is>
          <t>재무제표 정기주총 6주 전 제공 여부</t>
        </is>
      </c>
      <c r="F120" s="38" t="inlineStr">
        <is>
          <t>OX</t>
        </is>
      </c>
      <c r="G120" s="18" t="inlineStr">
        <is>
          <t>기업지배구조보고서</t>
        </is>
      </c>
      <c r="H120" s="17" t="inlineStr">
        <is>
          <t>G-5-1(외부감사 보강)</t>
        </is>
      </c>
      <c r="I120" s="18" t="n"/>
      <c r="J120" s="39" t="n"/>
    </row>
    <row r="121" ht="15" customHeight="1">
      <c r="A121" s="29" t="n">
        <v>120</v>
      </c>
      <c r="B121" s="28" t="inlineStr">
        <is>
          <t>핵심원칙10_외부감사인</t>
        </is>
      </c>
      <c r="C121" s="27" t="inlineStr">
        <is>
          <t>10-②_주기적의사소통</t>
        </is>
      </c>
      <c r="D121" s="40" t="inlineStr">
        <is>
          <t>1005</t>
        </is>
      </c>
      <c r="E121" s="28" t="inlineStr">
        <is>
          <t>연결재무제표 정기주총 4주 전 제공 여부</t>
        </is>
      </c>
      <c r="F121" s="40" t="inlineStr">
        <is>
          <t>OX</t>
        </is>
      </c>
      <c r="G121" s="28" t="inlineStr">
        <is>
          <t>기업지배구조보고서</t>
        </is>
      </c>
      <c r="H121" s="27" t="inlineStr">
        <is>
          <t>G-5-1(외부감사 보강)</t>
        </is>
      </c>
      <c r="I121" s="28" t="n"/>
      <c r="J121" s="39" t="n"/>
    </row>
    <row r="122" ht="29.25" customHeight="1">
      <c r="A122" s="20" t="n">
        <v>121</v>
      </c>
      <c r="B122" s="18" t="inlineStr">
        <is>
          <t>기타_기업가치제고계획</t>
        </is>
      </c>
      <c r="C122" s="17" t="inlineStr">
        <is>
          <t>11_기업가치제고계획</t>
        </is>
      </c>
      <c r="D122" s="38" t="inlineStr">
        <is>
          <t>1101</t>
        </is>
      </c>
      <c r="E122" s="18" t="inlineStr">
        <is>
          <t>기업가치 제고 계획 자율공시 여부</t>
        </is>
      </c>
      <c r="F122" s="38" t="inlineStr">
        <is>
          <t>OX</t>
        </is>
      </c>
      <c r="G122" s="18" t="inlineStr">
        <is>
          <t>사업보고서(DART)</t>
        </is>
      </c>
      <c r="H122" s="41" t="inlineStr">
        <is>
          <t>GAP(밸류업 프로그램-K-ESG 미대응)</t>
        </is>
      </c>
      <c r="I122" s="18" t="inlineStr">
        <is>
          <t>밸류업 프로그램</t>
        </is>
      </c>
      <c r="J122" s="39" t="n"/>
    </row>
    <row r="123" ht="29.25" customHeight="1">
      <c r="A123" s="29" t="n">
        <v>122</v>
      </c>
      <c r="B123" s="28" t="inlineStr">
        <is>
          <t>기타_기업가치제고계획</t>
        </is>
      </c>
      <c r="C123" s="27" t="inlineStr">
        <is>
          <t>11_기업가치제고계획</t>
        </is>
      </c>
      <c r="D123" s="40" t="inlineStr">
        <is>
          <t>1102</t>
        </is>
      </c>
      <c r="E123" s="28" t="inlineStr">
        <is>
          <t>기업가치 제고 계획 수립·공시 과정 이사회 참여 여부</t>
        </is>
      </c>
      <c r="F123" s="40" t="inlineStr">
        <is>
          <t>OX</t>
        </is>
      </c>
      <c r="G123" s="28" t="inlineStr">
        <is>
          <t>사업보고서(DART)</t>
        </is>
      </c>
      <c r="H123" s="41" t="inlineStr">
        <is>
          <t>GAP(밸류업 프로그램-K-ESG 미대응)</t>
        </is>
      </c>
      <c r="I123" s="28" t="n"/>
      <c r="J123" s="39" t="n"/>
    </row>
    <row r="124" ht="29.25" customHeight="1">
      <c r="A124" s="20" t="n">
        <v>123</v>
      </c>
      <c r="B124" s="18" t="inlineStr">
        <is>
          <t>기타_기업가치제고계획</t>
        </is>
      </c>
      <c r="C124" s="17" t="inlineStr">
        <is>
          <t>11_기업가치제고계획</t>
        </is>
      </c>
      <c r="D124" s="38" t="inlineStr">
        <is>
          <t>1103</t>
        </is>
      </c>
      <c r="E124" s="18" t="inlineStr">
        <is>
          <t>기업가치 제고 계획 주주·시장 소통 실적 여부</t>
        </is>
      </c>
      <c r="F124" s="38" t="inlineStr">
        <is>
          <t>OX</t>
        </is>
      </c>
      <c r="G124" s="18" t="inlineStr">
        <is>
          <t>사업보고서(DART)</t>
        </is>
      </c>
      <c r="H124" s="41" t="inlineStr">
        <is>
          <t>GAP(밸류업 프로그램-K-ESG 미대응)</t>
        </is>
      </c>
      <c r="I124" s="18" t="n"/>
      <c r="J124" s="39" t="n"/>
    </row>
    <row r="125" ht="29.25" customHeight="1">
      <c r="A125" s="29" t="n">
        <v>124</v>
      </c>
      <c r="B125" s="28" t="inlineStr">
        <is>
          <t>지속가능경영보고서_공시일반</t>
        </is>
      </c>
      <c r="C125" s="28" t="inlineStr">
        <is>
          <t>보고서발간여부</t>
        </is>
      </c>
      <c r="D125" s="40" t="inlineStr">
        <is>
          <t>S01</t>
        </is>
      </c>
      <c r="E125" s="28" t="inlineStr">
        <is>
          <t>당해연도 지속가능경영보고서 발간 여부</t>
        </is>
      </c>
      <c r="F125" s="40" t="inlineStr">
        <is>
          <t>OX</t>
        </is>
      </c>
      <c r="G125" s="28" t="inlineStr">
        <is>
          <t>지속가능경영보고서</t>
        </is>
      </c>
      <c r="H125" s="27" t="inlineStr">
        <is>
          <t>P-1-1</t>
        </is>
      </c>
      <c r="I125" s="28" t="inlineStr">
        <is>
          <t>핵심 종속변수(도표5 등에 사용)</t>
        </is>
      </c>
      <c r="J125" s="39" t="n"/>
    </row>
    <row r="126" ht="29.25" customHeight="1">
      <c r="A126" s="20" t="n">
        <v>125</v>
      </c>
      <c r="B126" s="18" t="inlineStr">
        <is>
          <t>지속가능경영보고서_공시일반</t>
        </is>
      </c>
      <c r="C126" s="18" t="inlineStr">
        <is>
          <t>보고서발간여부</t>
        </is>
      </c>
      <c r="D126" s="38" t="inlineStr">
        <is>
          <t>S02</t>
        </is>
      </c>
      <c r="E126" s="18" t="inlineStr">
        <is>
          <t>발간 채널(자사 홈페이지 게시 / 거래소(KIND) 공시)</t>
        </is>
      </c>
      <c r="F126" s="20" t="inlineStr">
        <is>
          <t>범주</t>
        </is>
      </c>
      <c r="G126" s="18" t="inlineStr">
        <is>
          <t>지속가능경영보고서</t>
        </is>
      </c>
      <c r="H126" s="17" t="inlineStr">
        <is>
          <t>P-1-1</t>
        </is>
      </c>
      <c r="I126" s="17" t="inlineStr">
        <is>
          <t>Report vs ReportKRX 구분</t>
        </is>
      </c>
      <c r="J126" s="39" t="n"/>
    </row>
    <row r="127" ht="29.25" customHeight="1">
      <c r="A127" s="29" t="n">
        <v>126</v>
      </c>
      <c r="B127" s="28" t="inlineStr">
        <is>
          <t>지속가능경영보고서_공시일반</t>
        </is>
      </c>
      <c r="C127" s="28" t="inlineStr">
        <is>
          <t>보고서발간여부</t>
        </is>
      </c>
      <c r="D127" s="40" t="inlineStr">
        <is>
          <t>S03</t>
        </is>
      </c>
      <c r="E127" s="28" t="inlineStr">
        <is>
          <t>보고서 분량(단어수/페이지수)</t>
        </is>
      </c>
      <c r="F127" s="29" t="inlineStr">
        <is>
          <t>숫자</t>
        </is>
      </c>
      <c r="G127" s="28" t="inlineStr">
        <is>
          <t>지속가능경영보고서</t>
        </is>
      </c>
      <c r="H127" s="27" t="inlineStr">
        <is>
          <t>P-1-1</t>
        </is>
      </c>
      <c r="I127" s="28" t="inlineStr">
        <is>
          <t>정보량 대리변수</t>
        </is>
      </c>
      <c r="J127" s="39" t="n"/>
    </row>
    <row r="128" ht="29.25" customHeight="1">
      <c r="A128" s="20" t="n">
        <v>127</v>
      </c>
      <c r="B128" s="18" t="inlineStr">
        <is>
          <t>지속가능경영보고서_공시일반</t>
        </is>
      </c>
      <c r="C128" s="18" t="inlineStr">
        <is>
          <t>보고서발간여부</t>
        </is>
      </c>
      <c r="D128" s="38" t="inlineStr">
        <is>
          <t>S04</t>
        </is>
      </c>
      <c r="E128" s="17" t="inlineStr">
        <is>
          <t>GRI Standards Index 수록 여부</t>
        </is>
      </c>
      <c r="F128" s="38" t="inlineStr">
        <is>
          <t>OX</t>
        </is>
      </c>
      <c r="G128" s="18" t="inlineStr">
        <is>
          <t>지속가능경영보고서</t>
        </is>
      </c>
      <c r="H128" s="17" t="inlineStr">
        <is>
          <t>P-2-1</t>
        </is>
      </c>
      <c r="I128" s="18" t="n"/>
      <c r="J128" s="39" t="n"/>
    </row>
    <row r="129" ht="29.25" customHeight="1">
      <c r="A129" s="29" t="n">
        <v>128</v>
      </c>
      <c r="B129" s="28" t="inlineStr">
        <is>
          <t>지속가능경영보고서_공시일반</t>
        </is>
      </c>
      <c r="C129" s="28" t="inlineStr">
        <is>
          <t>보고서발간여부</t>
        </is>
      </c>
      <c r="D129" s="40" t="inlineStr">
        <is>
          <t>S05</t>
        </is>
      </c>
      <c r="E129" s="28" t="inlineStr">
        <is>
          <t>제3자 검증(외부 검증) 여부</t>
        </is>
      </c>
      <c r="F129" s="40" t="inlineStr">
        <is>
          <t>OX</t>
        </is>
      </c>
      <c r="G129" s="28" t="inlineStr">
        <is>
          <t>지속가능경영보고서</t>
        </is>
      </c>
      <c r="H129" s="27" t="inlineStr">
        <is>
          <t>P-3-1</t>
        </is>
      </c>
      <c r="I129" s="28" t="n"/>
      <c r="J129" s="39" t="n"/>
    </row>
    <row r="130" ht="29.25" customHeight="1">
      <c r="A130" s="20" t="n">
        <v>129</v>
      </c>
      <c r="B130" s="18" t="inlineStr">
        <is>
          <t>지속가능경영보고서_공시일반</t>
        </is>
      </c>
      <c r="C130" s="18" t="inlineStr">
        <is>
          <t>보고서발간여부</t>
        </is>
      </c>
      <c r="D130" s="38" t="inlineStr">
        <is>
          <t>S06</t>
        </is>
      </c>
      <c r="E130" s="17" t="inlineStr">
        <is>
          <t>ESG위원회/거버넌스 조직도 수록 여부</t>
        </is>
      </c>
      <c r="F130" s="38" t="inlineStr">
        <is>
          <t>OX</t>
        </is>
      </c>
      <c r="G130" s="18" t="inlineStr">
        <is>
          <t>지속가능경영보고서</t>
        </is>
      </c>
      <c r="H130" s="17" t="inlineStr">
        <is>
          <t>G-1-1</t>
        </is>
      </c>
      <c r="I130" s="18" t="n"/>
      <c r="J130" s="39" t="n"/>
    </row>
    <row r="132" ht="15" customHeight="1">
      <c r="A132" s="12" t="inlineStr">
        <is>
          <t>출처: 3_ESG_지배구조_크롤링_체크리스트.xlsx (한국거래소 「기업지배구조보고서 가이드라인」 2025년 개정판 기준)</t>
        </is>
      </c>
    </row>
    <row r="133" ht="15" customHeight="1">
      <c r="A133" s="42" t="inlineStr">
        <is>
          <t>"연계 K-ESG 분류코드"가 GAP으로 표시된 항목은 K-ESG v2.0에 대응 항목이 없는 지표입니다 (예: 기업가치제고계획/밸류업 프로그램).</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B2:G26"/>
  <sheetViews>
    <sheetView showGridLines="0" topLeftCell="A24" zoomScaleNormal="100" workbookViewId="0">
      <selection activeCell="C7" sqref="C7"/>
    </sheetView>
  </sheetViews>
  <sheetFormatPr baseColWidth="8" defaultColWidth="8.6640625" defaultRowHeight="14.4"/>
  <cols>
    <col width="3" customWidth="1" min="1" max="1"/>
    <col width="6" customWidth="1" min="2" max="2"/>
    <col width="26" customWidth="1" min="3" max="3"/>
    <col width="32" customWidth="1" min="4" max="4"/>
    <col width="12" customWidth="1" min="5" max="5"/>
    <col width="46" customWidth="1" min="6" max="6"/>
    <col width="42" customWidth="1" min="7" max="7"/>
  </cols>
  <sheetData>
    <row r="2" ht="23.25" customHeight="1">
      <c r="B2" s="43" t="inlineStr">
        <is>
          <t>KSSB 대비 GAP 분석</t>
        </is>
      </c>
    </row>
    <row r="3" ht="16.5" customHeight="1">
      <c r="B3" s="2" t="inlineStr">
        <is>
          <t>KSSB(한국지속가능성기준위원회) 지속가능성 공시기준서 제1호(일반요구사항)·제2호(기후) 대비 K-ESG 가이드라인 v2.0의 대응 현황</t>
        </is>
      </c>
    </row>
    <row r="4">
      <c r="B4" s="44" t="inlineStr">
        <is>
          <t>※ 본 GAP 분석의 KSSB 조문번호는 2024.4 공개초안 기준이며, 2026.2.26 최종 제정본 대비 재검증이 필요합니다.</t>
        </is>
      </c>
    </row>
    <row r="5" ht="18.75" customHeight="1">
      <c r="B5" s="3" t="inlineStr">
        <is>
          <t>1. K-ESG v2.0(91개 항목 기준) 영역별 KSSB 대응 현황</t>
        </is>
      </c>
    </row>
    <row r="6" ht="19.5" customHeight="1">
      <c r="B6" s="45" t="inlineStr">
        <is>
          <t>영역</t>
        </is>
      </c>
      <c r="C6" s="45" t="inlineStr">
        <is>
          <t>완전대응</t>
        </is>
      </c>
      <c r="D6" s="45" t="inlineStr">
        <is>
          <t>부분대응</t>
        </is>
      </c>
      <c r="E6" s="46" t="inlineStr">
        <is>
          <t>GAP(대응지표 없음)</t>
        </is>
      </c>
      <c r="F6" s="45" t="inlineStr">
        <is>
          <t>항목수 합계</t>
        </is>
      </c>
      <c r="G6" s="45" t="inlineStr">
        <is>
          <t>완전대응율</t>
        </is>
      </c>
    </row>
    <row r="7" ht="15" customHeight="1">
      <c r="B7" s="47" t="inlineStr">
        <is>
          <t>정보공시</t>
        </is>
      </c>
      <c r="C7" s="26" t="n">
        <v>1</v>
      </c>
      <c r="D7" s="26" t="n">
        <v>4</v>
      </c>
      <c r="E7" s="26" t="n">
        <v>0</v>
      </c>
      <c r="F7" s="26">
        <f>C7+D7+E7</f>
        <v/>
      </c>
      <c r="G7" s="48">
        <f>IFERROR(C7/F7,0)</f>
        <v/>
      </c>
    </row>
    <row r="8" ht="15" customHeight="1">
      <c r="B8" s="49" t="inlineStr">
        <is>
          <t>환경</t>
        </is>
      </c>
      <c r="C8" s="26" t="n">
        <v>5</v>
      </c>
      <c r="D8" s="26" t="n">
        <v>12</v>
      </c>
      <c r="E8" s="26" t="n">
        <v>15</v>
      </c>
      <c r="F8" s="26">
        <f>C8+D8+E8</f>
        <v/>
      </c>
      <c r="G8" s="48">
        <f>IFERROR(C8/F8,0)</f>
        <v/>
      </c>
    </row>
    <row r="9" ht="15" customHeight="1">
      <c r="B9" s="50" t="inlineStr">
        <is>
          <t>사회</t>
        </is>
      </c>
      <c r="C9" s="26" t="n">
        <v>0</v>
      </c>
      <c r="D9" s="26" t="n">
        <v>5</v>
      </c>
      <c r="E9" s="26" t="n">
        <v>29</v>
      </c>
      <c r="F9" s="26">
        <f>C9+D9+E9</f>
        <v/>
      </c>
      <c r="G9" s="48">
        <f>IFERROR(C9/F9,0)</f>
        <v/>
      </c>
    </row>
    <row r="10" ht="15" customHeight="1">
      <c r="B10" s="51" t="inlineStr">
        <is>
          <t>지배구조</t>
        </is>
      </c>
      <c r="C10" s="26" t="n">
        <v>2</v>
      </c>
      <c r="D10" s="26" t="n">
        <v>10</v>
      </c>
      <c r="E10" s="26" t="n">
        <v>8</v>
      </c>
      <c r="F10" s="26">
        <f>C10+D10+E10</f>
        <v/>
      </c>
      <c r="G10" s="48">
        <f>IFERROR(C10/F10,0)</f>
        <v/>
      </c>
    </row>
    <row r="11" ht="15" customHeight="1">
      <c r="B11" s="52" t="inlineStr">
        <is>
          <t>전체</t>
        </is>
      </c>
      <c r="C11" s="52">
        <f>SUM(C7:C10)</f>
        <v/>
      </c>
      <c r="D11" s="52">
        <f>SUM(D7:D10)</f>
        <v/>
      </c>
      <c r="E11" s="52">
        <f>SUM(E7:E10)</f>
        <v/>
      </c>
      <c r="F11" s="52">
        <f>SUM(F7:F10)</f>
        <v/>
      </c>
      <c r="G11" s="53">
        <f>IFERROR(C11/F11,0)</f>
        <v/>
      </c>
    </row>
    <row r="14" ht="18.75" customHeight="1">
      <c r="B14" s="3" t="inlineStr">
        <is>
          <t>2. KSSB 및 주요 ESG 공시·평가기준 대비 추가 관리 필요사항 (9건)</t>
        </is>
      </c>
    </row>
    <row r="15" ht="15" customHeight="1">
      <c r="B15" s="12" t="inlineStr">
        <is>
          <t>아래 항목은 91개 진단항목 어디에도 대응 지표가 없는 사항입니다. KSSB 요구사항뿐 아니라 GRI·TNFD·한국거래소 등 관련 기준도 포함되어 있어(근거 열 참조), 공시·평가 대응 시 신규 관리체계 구축이 필요합니다.</t>
        </is>
      </c>
    </row>
    <row r="17" ht="21.75" customHeight="1">
      <c r="B17" s="13" t="inlineStr">
        <is>
          <t>No</t>
        </is>
      </c>
      <c r="C17" s="13" t="inlineStr">
        <is>
          <t>KSSB 요구 주제</t>
        </is>
      </c>
      <c r="D17" s="13" t="inlineStr">
        <is>
          <t>KSSB/기타 근거</t>
        </is>
      </c>
      <c r="E17" s="14" t="inlineStr">
        <is>
          <t>관련 영역</t>
        </is>
      </c>
      <c r="F17" s="13" t="inlineStr">
        <is>
          <t>GAP 설명</t>
        </is>
      </c>
      <c r="G17" s="14" t="inlineStr">
        <is>
          <t>개선 권고</t>
        </is>
      </c>
    </row>
    <row r="18" ht="43.5" customHeight="1">
      <c r="B18" s="33" t="n">
        <v>1</v>
      </c>
      <c r="C18" s="28" t="inlineStr">
        <is>
          <t>내부탄소가격(Internal Carbon Price)</t>
        </is>
      </c>
      <c r="D18" s="27" t="inlineStr">
        <is>
          <t>KSSB 제2호 문단 29(6)</t>
        </is>
      </c>
      <c r="E18" s="29" t="inlineStr">
        <is>
          <t>환경(E)</t>
        </is>
      </c>
      <c r="F18" s="28" t="inlineStr">
        <is>
          <t>투자의사결정·자본배치·시나리오분석에 적용하는 내부 탄소가격(Shadow Price) 정책 수립 여부를 공시하는 항목이 K-ESG v2.0 69개 기본/16개 추가 진단항목에 존재하지 않음.</t>
        </is>
      </c>
      <c r="G18" s="28" t="inlineStr">
        <is>
          <t>내부탄소가격 운영지침을 수립하고 투자의사결정 문서에 반영, 매년 공시</t>
        </is>
      </c>
    </row>
    <row r="19" ht="43.5" customHeight="1">
      <c r="B19" s="33" t="n">
        <v>2</v>
      </c>
      <c r="C19" s="18" t="inlineStr">
        <is>
          <t>이중중대성평가(Double Materiality)</t>
        </is>
      </c>
      <c r="D19" s="17" t="inlineStr">
        <is>
          <t>KSSB 제1호 문단 17~19</t>
        </is>
      </c>
      <c r="E19" s="20" t="inlineStr">
        <is>
          <t>정보공시(P)</t>
        </is>
      </c>
      <c r="F19" s="18" t="inlineStr">
        <is>
          <t>재무적 중대성과 이해관계자 관점의 영향 중대성을 모두 평가하는 이중중대성 평가 절차가 P-2-1(핵심이슈 및 KPI)에 명시적으로 요구되지 않음.</t>
        </is>
      </c>
      <c r="G19" s="18" t="inlineStr">
        <is>
          <t>이중중대성 평가 프로세스를 문서화하고 중대 이슈 목록·평가방법론을 별도 공시</t>
        </is>
      </c>
    </row>
    <row r="20" ht="43.5" customHeight="1">
      <c r="B20" s="33" t="n">
        <v>3</v>
      </c>
      <c r="C20" s="28" t="inlineStr">
        <is>
          <t>조세 투명성(CbCR)</t>
        </is>
      </c>
      <c r="D20" s="27" t="inlineStr">
        <is>
          <t>GRI 207-1~4 (KSSB 미규정이나 글로벌 공시관행)</t>
        </is>
      </c>
      <c r="E20" s="29" t="inlineStr">
        <is>
          <t>지배구조(G)</t>
        </is>
      </c>
      <c r="F20" s="28" t="inlineStr">
        <is>
          <t>국가별 납세현황(Country-by-Country Reporting) 공시 항목이 K-ESG v2.0에 없음.</t>
        </is>
      </c>
      <c r="G20" s="28" t="inlineStr">
        <is>
          <t>조세방침 문서화 및 국가별 세전이익·법인세납부액 요약 공시</t>
        </is>
      </c>
    </row>
    <row r="21" ht="43.5" customHeight="1">
      <c r="B21" s="33" t="n">
        <v>4</v>
      </c>
      <c r="C21" s="18" t="inlineStr">
        <is>
          <t>경영진 ESG-KPI 연계 보상 비율</t>
        </is>
      </c>
      <c r="D21" s="17" t="inlineStr">
        <is>
          <t>KSSB 제2호 문단 29(7)</t>
        </is>
      </c>
      <c r="E21" s="20" t="inlineStr">
        <is>
          <t>지배구조(G)</t>
        </is>
      </c>
      <c r="F21" s="17" t="inlineStr">
        <is>
          <t>G-경영진-추가1(성과평가 및 보상)이 일반 성과평가는 다루나, ESG/기후 성과지표의 보수 연계 비율을 정량 공시하는 항목은 부분적으로만 대응.</t>
        </is>
      </c>
      <c r="G21" s="18" t="inlineStr">
        <is>
          <t>대표이사·경영진 성과급 산정기준 내 ESG/기후 KPI 반영비율을 정량 공시</t>
        </is>
      </c>
    </row>
    <row r="22" ht="43.5" customHeight="1">
      <c r="B22" s="33" t="n">
        <v>5</v>
      </c>
      <c r="C22" s="27" t="inlineStr">
        <is>
          <t>Scope 3 15개 카테고리별 세분화 공시</t>
        </is>
      </c>
      <c r="D22" s="27" t="inlineStr">
        <is>
          <t>KSSB 제2호 문단 29(1)(사)</t>
        </is>
      </c>
      <c r="E22" s="29" t="inlineStr">
        <is>
          <t>환경(E)</t>
        </is>
      </c>
      <c r="F22" s="27" t="inlineStr">
        <is>
          <t>E-3-2는 '범주인식-산정-검증' 3단계로 단순화되어 있어 GHG Protocol 15개 카테고리별 개별 공시 수준까지는 요구하지 않음.</t>
        </is>
      </c>
      <c r="G22" s="27" t="inlineStr">
        <is>
          <t>Scope3 15개 카테고리 전체를 스크리닝하고 중요 카테고리는 개별 정량 산정치 공시</t>
        </is>
      </c>
    </row>
    <row r="23" ht="43.5" customHeight="1">
      <c r="B23" s="33" t="n">
        <v>6</v>
      </c>
      <c r="C23" s="18" t="inlineStr">
        <is>
          <t>기후 시나리오 정량 재무영향(1.5℃/4℃ 등)</t>
        </is>
      </c>
      <c r="D23" s="17" t="inlineStr">
        <is>
          <t>KSSB 제2호 문단 22, B1~B18</t>
        </is>
      </c>
      <c r="E23" s="20" t="inlineStr">
        <is>
          <t>환경(E)</t>
        </is>
      </c>
      <c r="F23" s="17" t="inlineStr">
        <is>
          <t>E-10-3/E-10-4가 물리·전환 리스크 식별은 요구하나 특정 시나리오(NGFS/IPCC) 기반 정량 재무영향 산정까지는 요구 수준이 낮음.</t>
        </is>
      </c>
      <c r="G23" s="17" t="inlineStr">
        <is>
          <t>NGFS·IPCC 시나리오 기반 정량 재무영향(매출·비용·자산가치 영향)을 산정하여 공시</t>
        </is>
      </c>
    </row>
    <row r="24" ht="43.5" customHeight="1">
      <c r="B24" s="33" t="n">
        <v>7</v>
      </c>
      <c r="C24" s="28" t="inlineStr">
        <is>
          <t>생물다양성 정량 목표(No Net Loss 등)</t>
        </is>
      </c>
      <c r="D24" s="27" t="inlineStr">
        <is>
          <t>TNFD 권고안 (KSSB 별도 기준서 미제정)</t>
        </is>
      </c>
      <c r="E24" s="29" t="inlineStr">
        <is>
          <t>환경(E)</t>
        </is>
      </c>
      <c r="F24" s="27" t="inlineStr">
        <is>
          <t>E-11 시리즈는 자연자본 식별·전략 수립 여부까지만 다루며 TNFD의 정량적 손실제로(No Net Loss) 목표설정까지는 요구하지 않음.</t>
        </is>
      </c>
      <c r="G24" s="27" t="inlineStr">
        <is>
          <t>TNFD LEAP 접근법에 따른 자연자본 영향 평가 및 정량 목표(No Net Loss/Net Positive) 수립</t>
        </is>
      </c>
    </row>
    <row r="25" ht="43.5" customHeight="1">
      <c r="B25" s="33" t="n">
        <v>8</v>
      </c>
      <c r="C25" s="18" t="inlineStr">
        <is>
          <t>금융배출량(Financed Emissions, PCAF)</t>
        </is>
      </c>
      <c r="D25" s="17" t="inlineStr">
        <is>
          <t>KSSB 제2호 문단 29A, B58~B63A</t>
        </is>
      </c>
      <c r="E25" s="20" t="inlineStr">
        <is>
          <t>해당없음</t>
        </is>
      </c>
      <c r="F25" s="18" t="inlineStr">
        <is>
          <t>제조업 등 비금융업에는 해당하지 않으나, 금융계열사를 보유한 기업집단은 KSSB상 별도 공시의무 발생 가능.</t>
        </is>
      </c>
      <c r="G25" s="18" t="inlineStr">
        <is>
          <t>금융업 영위 계열사가 있는 경우 PCAF 기준 자산군별 금융배출량 산정·공시 검토</t>
        </is>
      </c>
    </row>
    <row r="26" ht="43.5" customHeight="1">
      <c r="B26" s="33" t="n">
        <v>9</v>
      </c>
      <c r="C26" s="28" t="inlineStr">
        <is>
          <t>기업가치제고계획(밸류업 프로그램) 공시</t>
        </is>
      </c>
      <c r="D26" s="28" t="inlineStr">
        <is>
          <t>한국거래소·금융위 자율공시 기준(KSSB 직접 규정 없음)</t>
        </is>
      </c>
      <c r="E26" s="29" t="inlineStr">
        <is>
          <t>지배구조(G)</t>
        </is>
      </c>
      <c r="F26" s="28" t="inlineStr">
        <is>
          <t>기업가치 제고 계획의 자율공시, 이사회 참여, 주주 소통 실적 등 밸류업 프로그램 관련 항목이 K-ESG v2.0에 없음.</t>
        </is>
      </c>
      <c r="G26" s="28" t="inlineStr">
        <is>
          <t>기업가치 제고 계획을 수립해 이사회 승인 후 자율공시하고, 연 1회 이상 주주·시장과 소통 실적을 공시</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548235"/>
    <outlinePr summaryBelow="1" summaryRight="1"/>
    <pageSetUpPr/>
  </sheetPr>
  <dimension ref="B2:G28"/>
  <sheetViews>
    <sheetView showGridLines="0" topLeftCell="A6" zoomScaleNormal="100" workbookViewId="0">
      <selection activeCell="H18" sqref="H18"/>
    </sheetView>
  </sheetViews>
  <sheetFormatPr baseColWidth="8" defaultColWidth="8.6640625" defaultRowHeight="14.4"/>
  <cols>
    <col width="3" customWidth="1" min="1" max="1"/>
    <col width="26" customWidth="1" min="2" max="2"/>
    <col width="16" customWidth="1" min="3" max="7"/>
    <col width="30" customWidth="1" min="8" max="8"/>
  </cols>
  <sheetData>
    <row r="2" ht="23.25" customHeight="1">
      <c r="B2" s="43" t="inlineStr">
        <is>
          <t>ESG 통합진단 요약 대시보드</t>
        </is>
      </c>
    </row>
    <row r="3" ht="16.5" customHeight="1">
      <c r="B3" s="2" t="inlineStr">
        <is>
          <t>01_ESG통합진단마스터 시트의 입력값을 기준으로 자동 집계됩니다 (수식 연동)</t>
        </is>
      </c>
    </row>
    <row r="5" ht="18.75" customHeight="1">
      <c r="B5" s="3" t="inlineStr">
        <is>
          <t>1. 진단 완료 현황</t>
        </is>
      </c>
    </row>
    <row r="6" ht="15" customHeight="1">
      <c r="B6" s="10" t="inlineStr">
        <is>
          <t>전체 진단항목 수</t>
        </is>
      </c>
      <c r="C6" s="54" t="n">
        <v>91</v>
      </c>
    </row>
    <row r="7" ht="15" customHeight="1">
      <c r="B7" s="10" t="inlineStr">
        <is>
          <t>점수 입력 완료 항목 수</t>
        </is>
      </c>
      <c r="C7" s="54">
        <f>COUNT('01_ESG통합진단마스터'!X2:X92)</f>
        <v/>
      </c>
    </row>
    <row r="8" ht="15" customHeight="1">
      <c r="B8" s="10" t="inlineStr">
        <is>
          <t>입력 완료율</t>
        </is>
      </c>
      <c r="C8" s="55">
        <f>C7/C6</f>
        <v/>
      </c>
    </row>
    <row r="10" ht="18.75" customHeight="1">
      <c r="B10" s="3" t="inlineStr">
        <is>
          <t>2. 영역별(E/S/G/P) 평균 점수 (동일가중 단순평균 — 각 진단항목 100점 기준)</t>
        </is>
      </c>
    </row>
    <row r="11" ht="25.5" customHeight="1">
      <c r="B11" s="14" t="inlineStr">
        <is>
          <t>영역</t>
        </is>
      </c>
      <c r="C11" s="14" t="inlineStr">
        <is>
          <t>항목 수</t>
        </is>
      </c>
      <c r="D11" s="14" t="inlineStr">
        <is>
          <t>점수입력 완료수</t>
        </is>
      </c>
      <c r="E11" s="14" t="inlineStr">
        <is>
          <t>평균점수(100점 환산)</t>
        </is>
      </c>
      <c r="F11" s="14" t="inlineStr">
        <is>
          <t>완전대응(KSSB)</t>
        </is>
      </c>
      <c r="G11" s="13" t="inlineStr">
        <is>
          <t>GAP(KSSB)</t>
        </is>
      </c>
    </row>
    <row r="12" ht="15" customHeight="1">
      <c r="B12" s="47" t="inlineStr">
        <is>
          <t>정보공시</t>
        </is>
      </c>
      <c r="C12" s="26">
        <f>COUNTIF('01_ESG통합진단마스터'!$D$2:$D$92,B12)</f>
        <v/>
      </c>
      <c r="D12" s="26">
        <f>SUMPRODUCT(('01_ESG통합진단마스터'!$D$2:$D$92=B12)*ISNUMBER('01_ESG통합진단마스터'!$X$2:$X$92))</f>
        <v/>
      </c>
      <c r="E12" s="60">
        <f>IFERROR(AVERAGEIFS('01_ESG통합진단마스터'!$X$2:$X$92,'01_ESG통합진단마스터'!$D$2:$D$92,B12),"미입력")</f>
        <v/>
      </c>
      <c r="F12" s="26">
        <f>COUNTIFS('01_ESG통합진단마스터'!$D$2:$D$92,B12,'01_ESG통합진단마스터'!$P$2:$P$92,"완전대응")</f>
        <v/>
      </c>
      <c r="G12" s="26">
        <f>COUNTIFS('01_ESG통합진단마스터'!$D$2:$D$92,B12,'01_ESG통합진단마스터'!$P$2:$P$92,"GAP(대응지표 없음)")</f>
        <v/>
      </c>
    </row>
    <row r="13" ht="15" customHeight="1">
      <c r="B13" s="49" t="inlineStr">
        <is>
          <t>환경</t>
        </is>
      </c>
      <c r="C13" s="26">
        <f>COUNTIF('01_ESG통합진단마스터'!$D$2:$D$92,B13)</f>
        <v/>
      </c>
      <c r="D13" s="26">
        <f>SUMPRODUCT(('01_ESG통합진단마스터'!$D$2:$D$92=B13)*ISNUMBER('01_ESG통합진단마스터'!$X$2:$X$92))</f>
        <v/>
      </c>
      <c r="E13" s="60">
        <f>IFERROR(AVERAGEIFS('01_ESG통합진단마스터'!$X$2:$X$92,'01_ESG통합진단마스터'!$D$2:$D$92,B13),"미입력")</f>
        <v/>
      </c>
      <c r="F13" s="26">
        <f>COUNTIFS('01_ESG통합진단마스터'!$D$2:$D$92,B13,'01_ESG통합진단마스터'!$P$2:$P$92,"완전대응")</f>
        <v/>
      </c>
      <c r="G13" s="26">
        <f>COUNTIFS('01_ESG통합진단마스터'!$D$2:$D$92,B13,'01_ESG통합진단마스터'!$P$2:$P$92,"GAP(대응지표 없음)")</f>
        <v/>
      </c>
    </row>
    <row r="14" ht="15" customHeight="1">
      <c r="B14" s="50" t="inlineStr">
        <is>
          <t>사회</t>
        </is>
      </c>
      <c r="C14" s="26">
        <f>COUNTIF('01_ESG통합진단마스터'!$D$2:$D$92,B14)</f>
        <v/>
      </c>
      <c r="D14" s="26">
        <f>SUMPRODUCT(('01_ESG통합진단마스터'!$D$2:$D$92=B14)*ISNUMBER('01_ESG통합진단마스터'!$X$2:$X$92))</f>
        <v/>
      </c>
      <c r="E14" s="60">
        <f>IFERROR(AVERAGEIFS('01_ESG통합진단마스터'!$X$2:$X$92,'01_ESG통합진단마스터'!$D$2:$D$92,B14),"미입력")</f>
        <v/>
      </c>
      <c r="F14" s="26">
        <f>COUNTIFS('01_ESG통합진단마스터'!$D$2:$D$92,B14,'01_ESG통합진단마스터'!$P$2:$P$92,"완전대응")</f>
        <v/>
      </c>
      <c r="G14" s="26">
        <f>COUNTIFS('01_ESG통합진단마스터'!$D$2:$D$92,B14,'01_ESG통합진단마스터'!$P$2:$P$92,"GAP(대응지표 없음)")</f>
        <v/>
      </c>
    </row>
    <row r="15" ht="15" customHeight="1">
      <c r="B15" s="51" t="inlineStr">
        <is>
          <t>지배구조</t>
        </is>
      </c>
      <c r="C15" s="26">
        <f>COUNTIF('01_ESG통합진단마스터'!$D$2:$D$92,B15)</f>
        <v/>
      </c>
      <c r="D15" s="26">
        <f>SUMPRODUCT(('01_ESG통합진단마스터'!$D$2:$D$92=B15)*ISNUMBER('01_ESG통합진단마스터'!$X$2:$X$92))</f>
        <v/>
      </c>
      <c r="E15" s="60">
        <f>IFERROR(AVERAGEIFS('01_ESG통합진단마스터'!$X$2:$X$92,'01_ESG통합진단마스터'!$D$2:$D$92,B15),"미입력")</f>
        <v/>
      </c>
      <c r="F15" s="26">
        <f>COUNTIFS('01_ESG통합진단마스터'!$D$2:$D$92,B15,'01_ESG통합진단마스터'!$P$2:$P$92,"완전대응")</f>
        <v/>
      </c>
      <c r="G15" s="26">
        <f>COUNTIFS('01_ESG통합진단마스터'!$D$2:$D$92,B15,'01_ESG통합진단마스터'!$P$2:$P$92,"GAP(대응지표 없음)")</f>
        <v/>
      </c>
    </row>
    <row r="16" ht="15" customHeight="1">
      <c r="B16" s="52" t="inlineStr">
        <is>
          <t>전체(종합)</t>
        </is>
      </c>
      <c r="C16" s="52">
        <f>SUM(C12:C15)</f>
        <v/>
      </c>
      <c r="D16" s="52">
        <f>SUM(D12:D15)</f>
        <v/>
      </c>
      <c r="E16" s="61">
        <f>IFERROR(AVERAGE('01_ESG통합진단마스터'!$X$2:$X$92),"미입력")</f>
        <v/>
      </c>
      <c r="F16" s="52">
        <f>SUM(F12:F15)</f>
        <v/>
      </c>
      <c r="G16" s="52">
        <f>SUM(G12:G15)</f>
        <v/>
      </c>
    </row>
    <row r="19" ht="18.75" customHeight="1">
      <c r="B19" s="3" t="inlineStr">
        <is>
          <t>3. 적용구분별 항목 수 (기본/추가/업종특화)</t>
        </is>
      </c>
    </row>
    <row r="20" ht="15" customHeight="1">
      <c r="B20" s="14" t="inlineStr">
        <is>
          <t>적용구분</t>
        </is>
      </c>
      <c r="C20" s="14" t="inlineStr">
        <is>
          <t>항목 수</t>
        </is>
      </c>
      <c r="D20" s="14" t="inlineStr">
        <is>
          <t>점수입력 완료수</t>
        </is>
      </c>
      <c r="E20" s="14" t="inlineStr">
        <is>
          <t>평균점수</t>
        </is>
      </c>
    </row>
    <row r="21" ht="15" customHeight="1">
      <c r="B21" s="58" t="inlineStr">
        <is>
          <t>기본진단항목(v2.0)</t>
        </is>
      </c>
      <c r="C21" s="58">
        <f>COUNTIF('01_ESG통합진단마스터'!$C$2:$C$92,B21)</f>
        <v/>
      </c>
      <c r="D21" s="58">
        <f>SUMPRODUCT(('01_ESG통합진단마스터'!$C$2:$C$92=B21)*ISNUMBER('01_ESG통합진단마스터'!$X$2:$X$92))</f>
        <v/>
      </c>
      <c r="E21" s="60">
        <f>IFERROR(AVERAGEIFS('01_ESG통합진단마스터'!$X$2:$X$92,'01_ESG통합진단마스터'!$C$2:$C$92,B21),"미입력")</f>
        <v/>
      </c>
    </row>
    <row r="22" ht="15" customHeight="1">
      <c r="B22" s="58" t="inlineStr">
        <is>
          <t>추가진단항목(v2.0)</t>
        </is>
      </c>
      <c r="C22" s="58">
        <f>COUNTIF('01_ESG통합진단마스터'!$C$2:$C$92,B22)</f>
        <v/>
      </c>
      <c r="D22" s="58">
        <f>SUMPRODUCT(('01_ESG통합진단마스터'!$C$2:$C$92=B22)*ISNUMBER('01_ESG통합진단마스터'!$X$2:$X$92))</f>
        <v/>
      </c>
      <c r="E22" s="60">
        <f>IFERROR(AVERAGEIFS('01_ESG통합진단마스터'!$X$2:$X$92,'01_ESG통합진단마스터'!$C$2:$C$92,B22),"미입력")</f>
        <v/>
      </c>
    </row>
    <row r="23" ht="15" customHeight="1">
      <c r="B23" s="58" t="inlineStr">
        <is>
          <t>업종특화(반도체 v1.0)</t>
        </is>
      </c>
      <c r="C23" s="58">
        <f>COUNTIF('01_ESG통합진단마스터'!$C$2:$C$92,B23)</f>
        <v/>
      </c>
      <c r="D23" s="58">
        <f>SUMPRODUCT(('01_ESG통합진단마스터'!$C$2:$C$92=B23)*ISNUMBER('01_ESG통합진단마스터'!$X$2:$X$92))</f>
        <v/>
      </c>
      <c r="E23" s="60">
        <f>IFERROR(AVERAGEIFS('01_ESG통합진단마스터'!$X$2:$X$92,'01_ESG통합진단마스터'!$C$2:$C$92,B23),"미입력")</f>
        <v/>
      </c>
    </row>
    <row r="26" ht="18.75" customHeight="1">
      <c r="B26" s="3" t="inlineStr">
        <is>
          <t>4. 참고</t>
        </is>
      </c>
    </row>
    <row r="27" ht="15" customHeight="1">
      <c r="B27" s="12" t="inlineStr">
        <is>
          <t>평균점수는 각 영역 내 모든 항목에 동일 가중치(1/N)를 부여한 단순평균이며, 복합가중형 항목은 수동입력된 값만 반영됩니다.</t>
        </is>
      </c>
    </row>
    <row r="28" ht="15" customHeight="1">
      <c r="B28" s="12" t="inlineStr">
        <is>
          <t>조직의 ESG 전략에 따라 항목별 가중치를 달리 적용하려면 K-ESG v2.0 원문(38p "가중치 결정" 절) 방식을 참고해 별도 가중평균표를 구성하세요.</t>
        </is>
      </c>
    </row>
    <row r="30" ht="18.75" customHeight="1"/>
    <row r="31" ht="27.75" customHeight="1"/>
    <row r="33" ht="29.25" customHeight="1"/>
    <row r="34" ht="15" customHeight="1"/>
    <row r="35" ht="15" customHeight="1"/>
    <row r="36" ht="15" customHeight="1"/>
    <row r="37" ht="15" customHeight="1"/>
    <row r="39" ht="18.75" customHeight="1"/>
    <row r="40" ht="27.75" customHeight="1"/>
    <row r="42" ht="15" customHeight="1"/>
    <row r="43" ht="15" customHeight="1"/>
    <row r="44" ht="15" customHeight="1"/>
    <row r="45" ht="1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2026-08-27T07:35:46Z</dcterms:created>
  <dcterms:modified xsi:type="dcterms:W3CDTF">2026-09-03T08:01:56Z</dcterms:modified>
  <cp:lastModifiedBy>진혜원</cp:lastModifiedBy>
  <cp:revision>0</cp:revision>
</cp:coreProperties>
</file>