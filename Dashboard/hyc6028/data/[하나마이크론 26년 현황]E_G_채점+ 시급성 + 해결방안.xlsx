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사용안내" sheetId="1" r:id="rId4"/>
    <sheet state="visible" name="01_ESG통합진단마스터" sheetId="2" r:id="rId5"/>
    <sheet state="visible" name="02_점수산정참고표" sheetId="3" r:id="rId6"/>
    <sheet state="visible" name="03_지배구조세부점검(KRX)" sheetId="4" r:id="rId7"/>
    <sheet state="visible" name="04_KSSB갭분석" sheetId="5" r:id="rId8"/>
    <sheet state="visible" name="05_요약대시보드" sheetId="6" r:id="rId9"/>
    <sheet state="visible" name="요약대시보드_반도체 제외" sheetId="7" r:id="rId10"/>
  </sheets>
  <definedNames/>
  <calcPr/>
  <extLst>
    <ext uri="GoogleSheetsCustomDataVersion2">
      <go:sheetsCustomData xmlns:go="http://customooxmlschemas.google.com/" r:id="rId11" roundtripDataChecksum="r7DMSXwayEGv09AxeisDMngt968Dy9yNgqLEIAGCC5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9">
      <text>
        <t xml:space="preserve">======
ID#AAACCqZZllM
Unknown Author    (2026-09-07 06:05:48)
복합가중형 항목: 점검기준 상세를 참고해 0~100 사이 점수를 직접 입력하세요.</t>
      </text>
    </comment>
    <comment authorId="0" ref="X18">
      <text>
        <t xml:space="preserve">======
ID#AAACCqZZllQ
Unknown Author    (2026-09-07 06:05:48)
복합가중형 항목: 점검기준 상세를 참고해 0~100 사이 점수를 직접 입력하세요.</t>
      </text>
    </comment>
    <comment authorId="0" ref="X30">
      <text>
        <t xml:space="preserve">======
ID#AAACCqZZlk8
Unknown Author    (2026-09-07 06:05:48)
복합가중형 항목: 점검기준 상세를 참고해 0~100 사이 점수를 직접 입력하세요.</t>
      </text>
    </comment>
  </commentList>
  <extLst>
    <ext uri="GoogleSheetsCustomDataVersion2">
      <go:sheetsCustomData xmlns:go="http://customooxmlschemas.google.com/" r:id="rId1" roundtripDataSignature="AMtx7mhVwKPYPj9Xu4Cd2QbyxFaJNWYKqg=="/>
    </ext>
  </extLst>
</comments>
</file>

<file path=xl/sharedStrings.xml><?xml version="1.0" encoding="utf-8"?>
<sst xmlns="http://schemas.openxmlformats.org/spreadsheetml/2006/main" count="3403" uniqueCount="1456">
  <si>
    <t>분류코드</t>
  </si>
  <si>
    <t>ESG 핵심지표 채점 기준표</t>
  </si>
  <si>
    <t>순번</t>
  </si>
  <si>
    <t>핵심원칙(대분류)</t>
  </si>
  <si>
    <t>세부원칙</t>
  </si>
  <si>
    <t>지표코드</t>
  </si>
  <si>
    <t>적용구분</t>
  </si>
  <si>
    <t>영역</t>
  </si>
  <si>
    <t>지표명</t>
  </si>
  <si>
    <t>범주</t>
  </si>
  <si>
    <t>데이터유형</t>
  </si>
  <si>
    <t>진단항목명</t>
  </si>
  <si>
    <t>크롤링소스(정량 수집처)</t>
  </si>
  <si>
    <t>항목설명</t>
  </si>
  <si>
    <t>데이터원천(수집처)</t>
  </si>
  <si>
    <t>연계 K-ESG 분류코드</t>
  </si>
  <si>
    <t>데이터기간</t>
  </si>
  <si>
    <t>단계번호</t>
  </si>
  <si>
    <t>데이터범위</t>
  </si>
  <si>
    <t>단계라벨</t>
  </si>
  <si>
    <t>데이터산식(정량화공식)</t>
  </si>
  <si>
    <t>배점</t>
  </si>
  <si>
    <t>비고/근거</t>
  </si>
  <si>
    <t>채점유형</t>
  </si>
  <si>
    <t>단계별 판단기준(K-ESG v2.0 원문)</t>
  </si>
  <si>
    <t>최대단계수</t>
  </si>
  <si>
    <t>[입력]자사 현황값</t>
  </si>
  <si>
    <t>배점구조 요약</t>
  </si>
  <si>
    <t>점검기준 상세(K-ESG v2.0 원문)</t>
  </si>
  <si>
    <t>P-1-1</t>
  </si>
  <si>
    <t>KSSB 대응현황</t>
  </si>
  <si>
    <t>KSSB 참고근거</t>
  </si>
  <si>
    <t>K-ESG 가이드라인 v2.0 기반 통합 채점 도구</t>
  </si>
  <si>
    <t>기타 참고기준(GRI/SASB/TCFD/KCGS 등)</t>
  </si>
  <si>
    <t>원본 출처파일</t>
  </si>
  <si>
    <t>[입력]충족단계/요건수</t>
  </si>
  <si>
    <t>ESG 정보공시 방식</t>
  </si>
  <si>
    <t>[입력]위반유형1</t>
  </si>
  <si>
    <t>[입력]위반유형2</t>
  </si>
  <si>
    <t>[입력]위반유형3</t>
  </si>
  <si>
    <t>지배구조 핵심지표(15개)</t>
  </si>
  <si>
    <t>1단계</t>
  </si>
  <si>
    <t>자사취득점수(0~100)</t>
  </si>
  <si>
    <t>조직이 어떠한 방식으로든 ESG 정보를 공시하지 않는 경우</t>
  </si>
  <si>
    <t>-</t>
  </si>
  <si>
    <t>H01</t>
  </si>
  <si>
    <t>1. 목적</t>
  </si>
  <si>
    <t>개선 가이드</t>
  </si>
  <si>
    <t>비고-채점모델-25</t>
  </si>
  <si>
    <t>주주총회 4주 전 소집공고 실시</t>
  </si>
  <si>
    <t>OX</t>
  </si>
  <si>
    <t>비고-손채점+AI채점-26</t>
  </si>
  <si>
    <t>기업지배구조보고서</t>
  </si>
  <si>
    <t>G-3-1</t>
  </si>
  <si>
    <t>2단계</t>
  </si>
  <si>
    <t>준수율 산정 15개 항목 중 하나</t>
  </si>
  <si>
    <t>기업의 ESG 현황을 공식 가이드라인 기준으로 정량 진단·채점하고, KSSB 공시기준 대비 GAP을 분석하는 컨설팅용 도구입니다.</t>
  </si>
  <si>
    <t>조직의 홈페이지, 지속가능경영보고서, 사업보고서, 기타 간행물 등에 ESG 정보를 분산하여 공시하고 있는 경우</t>
  </si>
  <si>
    <t>시급성</t>
  </si>
  <si>
    <t>해결방안</t>
  </si>
  <si>
    <t>실사 진단 질문</t>
  </si>
  <si>
    <t>2. 적용 기준 (공식 출처)</t>
  </si>
  <si>
    <t>3단계</t>
  </si>
  <si>
    <t>답변형식</t>
  </si>
  <si>
    <t>조직의 홈페이지, 지속가능경영보고서, 사업보고서, 기타 간행물 등에 ESG 정보를 통합하여 공시하고 있는 경우</t>
  </si>
  <si>
    <t>4단계</t>
  </si>
  <si>
    <t>· 기본 69 + 추가 16개(85개) 배점: K-ESG 가이드라인 v2.0 (산업통상자원부·한국생산성본부, 2024.12)</t>
  </si>
  <si>
    <t>ESG 정보를 통합한 조직의 홈페이지, 지속가능경영보고서, 사업보고서, 기타 간행물 등을 지정된 장소에 비치하거나, 특정 URL에 담고 있는 경우</t>
  </si>
  <si>
    <t>기본진단항목(v2.0)</t>
  </si>
  <si>
    <t>5단계</t>
  </si>
  <si>
    <t>ESG 정보를 통합한 조직의 홈페이지, 지속가능경영보고서, 사업보고서, 기타 간행물 등의 발행여부를 ‘전자공시시스템-자율공시’ 사항으로 알리는 경우</t>
  </si>
  <si>
    <t>정보공시</t>
  </si>
  <si>
    <t>· 반도체 특화 6개: 업종별 K-ESG 가이드라인(반도체, 2023.12) — v2.0 기본체계에 보완지표로 적용</t>
  </si>
  <si>
    <t>P-1-2</t>
  </si>
  <si>
    <t>ESG 정보공시 주기</t>
  </si>
  <si>
    <t>ESG 정보공시 주기를 특정할 수 없거나, 명시하고 있지 않는 경우</t>
  </si>
  <si>
    <t>· 지배구조 세부지표(129개, 03번 시트): 한국거래소 기업지배구조보고서 가이드라인(2025.2 개정본)</t>
  </si>
  <si>
    <t>정보공시 형식</t>
  </si>
  <si>
    <t>2년 단위로 보고서 발간 및 ESG 정보를 공시하는 경우</t>
  </si>
  <si>
    <t>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</si>
  <si>
    <t>· 공시 GAP 분석(04번 시트): KSSB(한국회계기준원 산하) 지속가능성 공시기준서 제1호·제2호(2026.2.26 최종 제정)</t>
  </si>
  <si>
    <t>홈페이지, 지속가능경영보고서, 사업보고서, 기타간행물, 전자공시시스템 上 ‘자율공시’</t>
  </si>
  <si>
    <t>직전 회계연도</t>
  </si>
  <si>
    <t>N/A</t>
  </si>
  <si>
    <t>1년 단위로 보고서 발간 및 ESG 정보를 공시하는 경우</t>
  </si>
  <si>
    <t>P-1-3</t>
  </si>
  <si>
    <t>단계형</t>
  </si>
  <si>
    <t>ESG 정보공시 범위</t>
  </si>
  <si>
    <t>3. 점수 체계</t>
  </si>
  <si>
    <t>ESG 정보공시 범위를 특정할 수 없거나, 명시하고 있지 않는 경우</t>
  </si>
  <si>
    <t>단계형: 1단계=0점 / 2단계=25점 / 3단계=50점 / 4단계=75점 / 5단계=100점</t>
  </si>
  <si>
    <t>· 채점 유형 구성: 단계형·선택형 74개 / 복합가중형 11개 / 감점형 6개 (총 91개)</t>
  </si>
  <si>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</si>
  <si>
    <t>· 단계형/선택형: 단계 수에 따라 0~100점 균등 배분 (원문 그대로)</t>
  </si>
  <si>
    <t>부분대응</t>
  </si>
  <si>
    <t>조직이 법적으로 직접 소유하고 있는 사업장(ex. 별도재무제표 기준)의 일부 또는 모든 ESG 정보를 공시하고 있는 경우</t>
  </si>
  <si>
    <t>· 감점형(6개): 기준 100점에서 위반유형별 차감(-50/-30/-10점, 중복 합산), 최저 0점</t>
  </si>
  <si>
    <t>KSSB 제1호 문단 64~70(보고시기·장소), 21~24(연계된 정보)</t>
  </si>
  <si>
    <t>H02</t>
  </si>
  <si>
    <t>GRI 2-3</t>
  </si>
  <si>
    <t>· 복합가중형(11개): 세부요소 균등가중평균 — X열에 자사취득점수 수동 입력</t>
  </si>
  <si>
    <t>1_2_0_업종별 K-ESG 가이드라인(v2.0) 진단항목</t>
  </si>
  <si>
    <t>조직의 영향력과 통제력 범위에 있는 곳(자회사, 종속법인, 연결실체 등)의 일부 ESG 정보를 공시하고 있는 경우</t>
  </si>
  <si>
    <t>전자투표 실시</t>
  </si>
  <si>
    <t>· 가중치: 항목당 동일가중(1/N) 적용 — K-ESG v2.0은 별도 기본 가중치를 규정하지 않으며, 동일가중은</t>
  </si>
  <si>
    <t>G-3-3</t>
  </si>
  <si>
    <t xml:space="preserve">   원문이 허용하는 채택 가능 방식 중 하나입니다.</t>
  </si>
  <si>
    <t>조직의 영향력과 통제력 범위에 있는 곳(자회사, 종속법인, 연결실체 등)의 일부 ESG 정보를 공시하고 있는 경우. 단, 조직의 영향력과 통제력 범위로 ESG 정보공시 범위를 확대한다는 계획을 제시하고 있는 경우</t>
  </si>
  <si>
    <t>조직의 영향력과 통제력 범위에 있는 곳(자회사, 종속법인, 연결실체 등)의 모든 ESG 정보를 공시하고 있는 경우</t>
  </si>
  <si>
    <t>H03</t>
  </si>
  <si>
    <t>주주총회 집중일 이외 개최</t>
  </si>
  <si>
    <t>P-2-1</t>
  </si>
  <si>
    <t>4. KSSB 대비 GAP 분석</t>
  </si>
  <si>
    <t>ESG 핵심이슈 및 KPI</t>
  </si>
  <si>
    <t>G-3-2</t>
  </si>
  <si>
    <t>K-ESG 항목과 KSSB 제1호·제2호 공시기준서를 대조해 완전대응/부분대응/GAP 여부를 항목별로 표기했습니다.</t>
  </si>
  <si>
    <t>중대성 평가 결과 또는 ESG 핵심이슈를 공시하고 있지 않은 경우</t>
  </si>
  <si>
    <t>대응 지표가 없는 9건은 04번 시트에 정리했으며, KSSB 외 GRI·TNFD·한국거래소 기준도 일부 포함됩니다.</t>
  </si>
  <si>
    <t>중대성 평가 결과와 핵심이슈를 명확히 정의하고 있는 경우</t>
  </si>
  <si>
    <t>H04</t>
  </si>
  <si>
    <t>5. 사용 방법</t>
  </si>
  <si>
    <t>2단계 + 핵심이슈에 대해 조직이 관리하고 있는 성과지표를 설명하고 있는 경우 (예를 들어, 기후변화가 핵심이슈일 경우, 온실가스 배출량 데이터 제시)</t>
  </si>
  <si>
    <t>① 01번 시트 파란 글씨(입력 셀)에 자사 현황 입력: T열(단계) · U~W열(위반유형) · X열(복합가중형 수동점수)</t>
  </si>
  <si>
    <t>② X열 점수가 자동 계산되며, AA열의 실사 진단 질문으로 현장 확인·자료요청을 진행하세요.</t>
  </si>
  <si>
    <t>3단계 + 핵심이슈가 사업적/사회적 관점에서 중요한 사유를 설명하고 있는 경우 (예를 들어, 사업적/사회적 관점의 기회 요인과 리스크 요인 등)</t>
  </si>
  <si>
    <t>현금배당 관련 예측가능성 제공</t>
  </si>
  <si>
    <t>③ 05번 시트에서 영역별(E/S/G/P) 평균 점수, KSSB 대응 현황, 입력 완료율을 확인하세요.</t>
  </si>
  <si>
    <t>G-3-4</t>
  </si>
  <si>
    <t>4단계 + 핵심이슈를 관리하기 위한 시스템 및 절차를 설명하고 있는 경우 (조직, 전략 및 계획, 고충처리체계, 활동 및 교육 등)</t>
  </si>
  <si>
    <t>배당액 확정일이 배당기준일보다 선행</t>
  </si>
  <si>
    <t>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ESG 정보란 중대성 평가(Materiality Test) 결과에 따른 핵심이슈, 또는 조직의 사업운영 과정에서 지속적 관리가 필요한 ESG 이슈별로 ‘전략’, ‘조직’,…</t>
  </si>
  <si>
    <t>④ 본 워크북은 컨설팅 참고용 자가진단 도구이며, 공식 K-ESG 인증·평가 결과를 대체하지 않습니다.</t>
  </si>
  <si>
    <t>P-3-1</t>
  </si>
  <si>
    <t>ESG 정보공시 검증</t>
  </si>
  <si>
    <t>요건1</t>
  </si>
  <si>
    <t>[자동채점] | 근거충분성: 충분 | 근거: [지속가능경영보고서] 76p. 재무정보 : 회사의 재무제표 및 금융감독원의 전자공시시스템 (dart.fss.or.kr)에 공시된 자료와 홈페이지에 게시된 자료 등(14번째 줄 부근) → 지속가능경영보고서 내에 전자공시시스템(DART)을 통한 재무정보 공시 사실을 명시하고 있으며, ESG 정보를 통합하여 보고서를 발간하고 홈페이지를 통해 접근성을 제공하고 있으므로 5단계 요건을 충족함. | 근거페이지: 사업보고서 336p / 지속가능경영보고서 2~3p, 5p, 9~10p, 15p, 45p, 47p, 75~76p</t>
  </si>
  <si>
    <t>H05</t>
  </si>
  <si>
    <t>배당정책·배당실시계획 연1회 이상 주주 통지</t>
  </si>
  <si>
    <t>검증의견서에 검증기관(또는 검증인)이 명시되어 있는 경우 (또는, 검증기관이 License Number를 보유하고 있는 경우)</t>
  </si>
  <si>
    <t>문서 구성: 00_사용안내 · 01_ESG통합진단마스터 · 02_점수산정참고표 · 03_지배구조세부점검(KRX) · 04_KSSB갭분석 · 05_요약대시보드</t>
  </si>
  <si>
    <t>지속가능경영보고서가 DART 보고서에 업로드되지 않음. 나머지는 기준 충족</t>
  </si>
  <si>
    <t>요건2</t>
  </si>
  <si>
    <t>검증의견서에 검증기관과의 독립성 성명이 포함되어 있는 경우 (즉, 검증기관과 검증받는 조직간 이해관계 상충이 없음을 선언한 경우)</t>
  </si>
  <si>
    <t>H06</t>
  </si>
  <si>
    <t>요건3</t>
  </si>
  <si>
    <t>즉시</t>
  </si>
  <si>
    <t>최고경영자 승계정책 마련 및 운영</t>
  </si>
  <si>
    <t>검증의견서에 검증표준(방법론)이 제시되어 있는 경우 (AA1000AS, ISAE3000, 또는 제3자 검증기관이 개발한 자체 검증표준 등)</t>
  </si>
  <si>
    <t>G-경영진-추가1</t>
  </si>
  <si>
    <t>요건4</t>
  </si>
  <si>
    <t>[26년 현황] 홈페이지·사업보고서·지속가능경영보고서 통합공시는 확인되나(4단계 요건), 지속가능경영보고서가 DART 전자공시로 업로드되지 않아 5단계(자율공시 고지) 미충족.
  [개선방향] 매년 지속가능경영보고서 발간 시 DART 자율공시로 발행 사실을 등록하는 절차를 표준화하면 즉시 5단계(100점) 달성 가능.
  [필요 근거] DART 자율공시 접수증, 발간·게시 이력.</t>
  </si>
  <si>
    <t>검증의견서에 ESG 정보 검증수준을 공개하고 있는 경우 (Type1/Type2, Moderate/High, 제한적/합리적 등)</t>
  </si>
  <si>
    <t>요건5</t>
  </si>
  <si>
    <t>검증의견서에 제3자 검증기관이 검증한 정보공시 지표가 적시되어 있는 경우 (즉, 조직의 모든 ESG 정보 중 어떠한 정보를 검증하였는지 명시하는 경우)</t>
  </si>
  <si>
    <t>H07</t>
  </si>
  <si>
    <t>홈페이지, 지속가능경영보고서, 사업보고서 등을 통해 ESG 정보를 통합하여 공시하고, 전자공시시스템(DART) 자율공시 등을 통해 정보 접근성을 확보하고 있습니까?</t>
  </si>
  <si>
    <t>E-1-1</t>
  </si>
  <si>
    <t>위험관리 등 내부통제정책 마련 및 운영</t>
  </si>
  <si>
    <t>환경경영 목표 수립</t>
  </si>
  <si>
    <t>G-4-1</t>
  </si>
  <si>
    <t>단계(1~5)</t>
  </si>
  <si>
    <t>단기/중장기 성과목표, 또는 조직의 환경경영 방향성을 나타내는 환경경영 미션/비전/지향점이 없는 경우</t>
  </si>
  <si>
    <t>리스크관리·준법경영·내부회계관리·공시정보관리 모두 충족해야 준수</t>
  </si>
  <si>
    <t>H08</t>
  </si>
  <si>
    <t>환경경영 미션/비전/지향점만 제시하고 있는 경우</t>
  </si>
  <si>
    <t>사외이사가 이사회 의장인지 여부</t>
  </si>
  <si>
    <t>G-1-3</t>
  </si>
  <si>
    <t>2단계 + 조직의 환경 분야 핵심이슈에 대한 단기 목표만 설정하고 있는 경우</t>
  </si>
  <si>
    <t>3단계 + 중장기 목표까지 수립하고 있는 경우</t>
  </si>
  <si>
    <t>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</si>
  <si>
    <t>ESG 정보공시 일자, 지속가능경영보고서 발간 주기</t>
  </si>
  <si>
    <t>최근 4개년 회계연도 * 3개년 이하 데이터 보유 시 해당 데이터로 추세 산정</t>
  </si>
  <si>
    <t>H09</t>
  </si>
  <si>
    <t>집중투표제 채택</t>
  </si>
  <si>
    <t>4단계 + 중장기 목표 달성을 위한 과제와, 이행점검 지표를 마련한 경우</t>
  </si>
  <si>
    <t>정관상 배제하지 않는 경우 해당</t>
  </si>
  <si>
    <t>E-1-2</t>
  </si>
  <si>
    <t>환경경영 추진체계</t>
  </si>
  <si>
    <t>환경경영 추진을 위한 전사 거버넌스 체계를 구축하고 있는 경우 (전담조직, 실무협의회, 경영회의 및 내부점검체계 등)</t>
  </si>
  <si>
    <t>H10</t>
  </si>
  <si>
    <t>기업가치 훼손·주주권익 침해 책임자 임원선임 방지 정책 수립</t>
  </si>
  <si>
    <t>단계형: 1단계=0점 / 2단계=50점 / 3단계=100점</t>
  </si>
  <si>
    <t>1단계 |  ESG 정보공시 주기를 특정할 수 없거나, 명시하고 있지 않는 경우 |  2단계 |  2년 단위로 보고서 발간 및 ESG 정보를 공시하는 경우 |  3단계 |  1년 단위로 보고서 발간 및 ESG 정보를 공시하는 경우</t>
  </si>
  <si>
    <t>환경경영 추진을 위한 전사 전담조직을 운영하고 있는 경우 (전사 환경경영 기획, 점검, 성과관리 등 실행업무 담당)</t>
  </si>
  <si>
    <t>KSSB 제1호 문단 60~63(보고빈도)</t>
  </si>
  <si>
    <t>환경경영 과제 실행에 필요한 자원을 투입하고 있는 경우 (환경투자 예산, 역량강화 교육, 내외부 전문인력 등)</t>
  </si>
  <si>
    <t>H11</t>
  </si>
  <si>
    <t>이사회 구성원 모두 단일 성별이 아님</t>
  </si>
  <si>
    <t>G-1-4</t>
  </si>
  <si>
    <t>환경경영 추진 현황을 점검/분석/평가하는 시스템이 있는 경우 (IT기반 모니터링 시스템, 과제점검 회의, 제3자 의견수렴 등)</t>
  </si>
  <si>
    <t>성별 다양성</t>
  </si>
  <si>
    <t>환경경영 과제 이행현황이 경영진 포함 관련 구성원의 성과평가지표(KPIs)에 반영되어 있는 경우 * 선택 항목의 합산값으로 평가</t>
  </si>
  <si>
    <t>H12</t>
  </si>
  <si>
    <t>E-2-1</t>
  </si>
  <si>
    <t>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</si>
  <si>
    <t>원부자재 사용량</t>
  </si>
  <si>
    <t>독립적인 내부감사부서(지원조직) 설치</t>
  </si>
  <si>
    <t>지난 4개년 원단위 원부자재 사용량 증가 추세</t>
  </si>
  <si>
    <t>[자동채점] | 근거충분성: 충분 | 근거: [지속가능경영보고서] 9p. 하나마이크론은 지속가능경영 추진 방향성과 활동 등 비재무 성과와 재무 성과를 통합적으로 보고하고, 이해관계자와 소통하기 위하여 2022년 이래 매년 지속가능경영보고서를 발간하고 있습니다.(2번째 줄) → 2022년부터 매년 지속가능경영보고서를 발간하고 있음을 명시하여 1년 단위의 공시 주기를 충족함. | 근거페이지: 사업보고서 236p, 336p / 지속가능경영보고서 2p, 5p, 9~10p, 12p, 46~47p, 71p, 76p</t>
  </si>
  <si>
    <t>G-5-1</t>
  </si>
  <si>
    <t>지난 4개년 원단위 원부자재 사용량 변동 없음</t>
  </si>
  <si>
    <t>3단계: 1년단위로 지속가능경영보고서 홈페이지에 게시</t>
  </si>
  <si>
    <t>H13</t>
  </si>
  <si>
    <t>내부감사기구에 회계·재무 전문가 존재</t>
  </si>
  <si>
    <t>장기</t>
  </si>
  <si>
    <t>지난 4개년 원단위 원부자재 사용량 감소 추세 * 원단위 원부자재 사용량을 관리하지 않는 경우 0점 적용 * 3개년 이하 데이터 보유 시 해당 데이터로 추세 산정 * '유지 추세'로 판단할 경우 2단계로 적용하여 평가</t>
  </si>
  <si>
    <t>G-5-2</t>
  </si>
  <si>
    <t>E-2-2</t>
  </si>
  <si>
    <t>재생 원부자재 비율</t>
  </si>
  <si>
    <t>[26년 현황] 1년 단위 정기 발간·게시 확인 → 이미 3단계(100점) 최고등급.
  [개선방향] 현행 유지. 매년 동일 시기 발간을 내규화해 향후에도 3단계를 안정적으로 방어.
  [필요 근거] 연간 발간 캘린더, 연도별 게시일 로그.</t>
  </si>
  <si>
    <t>지난 4개년 재생 원부자재 사용 비율 감소 추세</t>
  </si>
  <si>
    <t>지속가능경영보고서 발간 등을 포함한 ESG 정보공시 주기를 1년 단위로 설정하여 정기적으로 공시하고 있습니까?</t>
  </si>
  <si>
    <t>H14</t>
  </si>
  <si>
    <t>단계(1~3)</t>
  </si>
  <si>
    <t>내부감사기구-외부감사인 분기 1회 이상 경영진 없이 회의</t>
  </si>
  <si>
    <t>지난 4개년 재생 원부자재 사용 비율 변동 없음</t>
  </si>
  <si>
    <t>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</si>
  <si>
    <t>홈페이지, 지속가능경영보고서, 사업보고서, 전자공시시스템 上 ‘자율공시’</t>
  </si>
  <si>
    <t>H15</t>
  </si>
  <si>
    <t>사업적 영향력 및 통제력을 행사하는 사업장 및 기타 연결실체</t>
  </si>
  <si>
    <t>경영 중요정보에 내부감사기구 접근 가능한 절차 마련</t>
  </si>
  <si>
    <t>ESG 정보공시 범위 = ESG 정보공시에 포함된 사업장 등의 (매출액 등) / 전체 조직의 (매출액 등)</t>
  </si>
  <si>
    <t>핵심원칙1_주주의권리</t>
  </si>
  <si>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</si>
  <si>
    <t>1-①_주주총회정보제공</t>
  </si>
  <si>
    <t>E-3-1</t>
  </si>
  <si>
    <t>101</t>
  </si>
  <si>
    <t>온실가스 배출량 (Scope1 &amp; Scope2)</t>
  </si>
  <si>
    <t>소집공고일~주주총회일 간격(일)</t>
  </si>
  <si>
    <t>숫자</t>
  </si>
  <si>
    <t>지난 4개년 원단위 온실가스 배출량 증가 추세</t>
  </si>
  <si>
    <t>G-3-1, G-3-3</t>
  </si>
  <si>
    <t>4주 초과 여부 판단 근거</t>
  </si>
  <si>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</si>
  <si>
    <t>지난 4개년 원단위 온실가스 배출량 변동 없음</t>
  </si>
  <si>
    <t>KSSB 제1호 문단 21~24(연계된 정보)</t>
  </si>
  <si>
    <t>GRI 2-2</t>
  </si>
  <si>
    <t>102</t>
  </si>
  <si>
    <t>외국인 주주 이해가능 소집통지 실시여부</t>
  </si>
  <si>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</si>
  <si>
    <t>E-3-3</t>
  </si>
  <si>
    <t>온실가스 배출량 검증</t>
  </si>
  <si>
    <t>검증의견서에 검증기관(또는 검증인)이 명시되어 있는 경우 (또는, 검증기관이 License Number를 갖추고 있는 경우)</t>
  </si>
  <si>
    <t>1-②_의결권행사</t>
  </si>
  <si>
    <t>103</t>
  </si>
  <si>
    <t>정기주총 집중일 회피 여부</t>
  </si>
  <si>
    <t>검증의견서에 검증표준(방법론)이 제시되어 있는 경우 (온실가스 배출권거래제의 배출량 보고 및 인증에 관한 지침, GHG Protocol, ISO14064-1 등)</t>
  </si>
  <si>
    <t>최근 3개년</t>
  </si>
  <si>
    <t>검증의견서에 ESG 정보 검증수준을 공개하고 있는 경우 (전체/일부 데이터 검증, 제한적/합리적 보증 등)</t>
  </si>
  <si>
    <t>제3자 검증기관이 검증한 온실가스 배출량 검증 범위가 적시되어 있는 경우 (즉, 조직의 사업장 중 온실가스 배출량을 검증받은 사업장 및 지역 등)</t>
  </si>
  <si>
    <t>104</t>
  </si>
  <si>
    <t>서면투표 실시여부</t>
  </si>
  <si>
    <t>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</si>
  <si>
    <t>[자동채점] | 근거충분성: 충분 | 근거: [지속가능경영보고서] 76p. 본 보고서의 범위는 국내(HANA Micron, HANA WLS)와 베트남(HANA Micron Vietnam, HANA Micron Vina), 브라질(HT Micron, HANA Electronics)를 포함하고 있습니다.(2번째 줄) → 조직의 영향력과 통제력 범위에 있는 국내외 자회사 및 종속법인을 포함하여 ESG 정보를 공시하고 있으므로 3단계에 해당합니다. | 근거페이지: 사업보고서 91p, 164p, 236p / 지속가능경영보고서 2~3p, 12p, 55p, 57p, 73p, 75~76p</t>
  </si>
  <si>
    <t>조직의 온실가스 관리에 관한 제3자 검증기관 의견이 명시되어 있는 경우 (온실가스 관리 시스템 개선, 향후 검증값의 변동가능성 등)</t>
  </si>
  <si>
    <t>E-4-1</t>
  </si>
  <si>
    <t>3단계: 이피웍스, 하나마이크론태양광, HANA micron America, HANA latin America 등의 법인에 대한 ESG 정보는 공시되지 않았으며, 추후 개선할 것이라는 문구는 찾지 못했다.</t>
  </si>
  <si>
    <t>에너지 사용량</t>
  </si>
  <si>
    <t>지난 4개년 원단위 에너지 사용량이 증가 추세</t>
  </si>
  <si>
    <t>105</t>
  </si>
  <si>
    <t>전자투표 실시여부</t>
  </si>
  <si>
    <t>지난 4개년 원단위 에너지 사용량이 변동 없음</t>
  </si>
  <si>
    <t>[26년 현황] 연결 종속회사 중 HANA WLS·베트남 2개·브라질 2개 법인의 ESG 정보를 공시해 3단계(50점). 주요 종속회사인 하나머티리얼즈와 이피웍스·하나마이크론태양광·Hana Micron America·Hana Latin America·하나에스앤비인베스트먼트 등은 보고범위에 없고, 보고 경계를 넓히겠다는 계획 문구도 없음.
  [개선방향] ① 차기 SR에 '연결실체 기준 보고범위 확대' 로드맵(대상 법인·연도)을 명시하면 4단계(75점) ② 29년 의무공시(KSSB)는 재무제표와 연계된 보고기업 기준 공시를 요구하므로(Q열: KSSB 제1호 문단 21~24) 하나머티리얼즈부터 환경·사회 데이터 수집에 착수 → 전 연결실체 공시 시 5단계(100점).
  [필요 근거] 연결법인-ESG 공시범위 매핑표, 단계적 확대 로드맵, 하나머티리얼즈 ESG 데이터.</t>
  </si>
  <si>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</si>
  <si>
    <t>자회사 및 연결실체 등 조직의 영향력과 통제력이 미치는 사업장을 대상으로 ESG 정보공시 범위를 설정하고 이를 반영하여 공시하고 있습니까?</t>
  </si>
  <si>
    <t>E-4-2</t>
  </si>
  <si>
    <t>재생에너지 사용 비율</t>
  </si>
  <si>
    <t>지난 4개년 재생에너지 사용비율이 감소 추세</t>
  </si>
  <si>
    <t>106</t>
  </si>
  <si>
    <t>의결권 대리행사 권유 여부</t>
  </si>
  <si>
    <t>정보공시 내용</t>
  </si>
  <si>
    <t>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</si>
  <si>
    <t>지난 4개년 재생에너지 사용비율이 변동 없음</t>
  </si>
  <si>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</si>
  <si>
    <t>107</t>
  </si>
  <si>
    <t>안건별 찬성/반대(기권) 비율(%)</t>
  </si>
  <si>
    <t>E-5-1</t>
  </si>
  <si>
    <t>용수 사용량</t>
  </si>
  <si>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(예를 들어, 기후변화가 핵심이슈일 경우, 온실가스 배출량 데이터 제시) |  4단계 |  3단계 + 핵심이슈가 사업적/사회적 관점에서 중요한 사유를 설명하고 있는 경우 (예를 들어, 사업적/사회적 관점의 기회 요인과 리스크 요인 등) |  5단계 |  4단계 + 핵심이슈를 관리하기 위한 시스템 및 절차를 설명하고 있는 경우 (조직, 전략 및 계획, 고충처리체계, 활동 및 교육 등)</t>
  </si>
  <si>
    <t>지난 4개년 원단위 용수 사용량이 증가 추세</t>
  </si>
  <si>
    <t>KSSB 제1호 문단 17~19(중요성 판단, 이중중대성 개념 미흡)</t>
  </si>
  <si>
    <t>GRI 3(중대성평가)</t>
  </si>
  <si>
    <t>지난 4개년 원단위 용수 사용량이 변동 없음</t>
  </si>
  <si>
    <t>1-③_주주제안권</t>
  </si>
  <si>
    <t>108</t>
  </si>
  <si>
    <t>지난 4개년 원단위 용수 사용량이 감소 추세 * 원단위 용수 사용량을 관리하고 있지 않은 경우 0점 적용 * 3개년 이하 데이터 보유 시 해당 데이터로 추세 산정 * '유지 추세'로 판단할 경우 2단계로 적용하여 평가</t>
  </si>
  <si>
    <t>주주제안 절차 홈페이지 등 안내 시행여부</t>
  </si>
  <si>
    <t>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</si>
  <si>
    <t>E-5-2</t>
  </si>
  <si>
    <t>재사용 용수 비율</t>
  </si>
  <si>
    <t>G-3(주주권리 보강)</t>
  </si>
  <si>
    <t>[자동채점] | 근거충분성: 충분 | 근거: [지속가능경영보고서] 50p. 하나마이크론은 위기관리 총괄 책임자를 대표이사로 하고, 위기관리 주관 부서를 경영관리팀으로 하여 위기발생시 위기대응 심의위원회를 구성합니다. 심의위원회는 위기 상황을 검토 후 각 부문별 위기 대응 방향을 결정하고, 이에 따라 실행부서는 부서별 대응방안을 수립(24번째 줄 부근) → 이중 중대성 평가를 통해 핵심이슈를 정의하고, 각 이슈별 성과지표, 재무적/사회적 영향 및 리스크/기회 요인을 설명하였으며, 전사적 리스크 관리 시스템 및 위기대응 심의위원회 등 관리 체계를 갖추고 있어 5단계 요건을 충족함. | 근거페이지: 지속가능경영보고서 12~14p, 40p, 47p, 50p, 72p, 75~76p</t>
  </si>
  <si>
    <t>지난 4개년 재사용 용수 비율이 감소 추세</t>
  </si>
  <si>
    <t>(5단계) 중대성 평가, 핵심이슈 도출 
 조직이 관리하는 성과지표 각 페이지에 명시
 기회요인, 리스크요인 명시
 2단계의 '각 페이지'에 마련한 시스템 설명</t>
  </si>
  <si>
    <t>[26년 현황] 중대성평가·핵심이슈·성과지표·기회/리스크요인·관리시스템까지 모두 확인 → 이미 5단계(100점) 최고등급.
  [개선방향] 현행 유지. 매년 중대성평가를 갱신해 핵심이슈 변동을 반영.
  [필요 근거] 연도별 중대성평가 결과표.</t>
  </si>
  <si>
    <t>중대성 평가를 통해 ESG 핵심이슈를 정의하고, 해당 이슈에 대한 성과지표(KPI), 중요 사유(위험·기회), 관리 시스템 및 절차를 공시하고 있습니까?</t>
  </si>
  <si>
    <t>109</t>
  </si>
  <si>
    <t>지난 4개년 재사용 용수 비율이 변동 없음</t>
  </si>
  <si>
    <t>주주제안 처리절차·기준 규정 시행여부</t>
  </si>
  <si>
    <t>정보공시 검증</t>
  </si>
  <si>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</si>
  <si>
    <t>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</si>
  <si>
    <t>E-6-1</t>
  </si>
  <si>
    <t>ESG 정보 검증의견서, 지속가능경영보고서 검증의견서</t>
  </si>
  <si>
    <t>폐기물 배출량</t>
  </si>
  <si>
    <t>110</t>
  </si>
  <si>
    <t>지난 4개년 원단위 폐기물 배출량이 증가 추세</t>
  </si>
  <si>
    <t>공시대상기간 내 주주제안 건수 및 이행상황</t>
  </si>
  <si>
    <t>선택형</t>
  </si>
  <si>
    <t>숫자/텍스트</t>
  </si>
  <si>
    <t>선택형 (5가지 형식적 요건의 충족 개수에 따른 점수 부여) | 세부 배점 기준: 1개 이하 충족=0점 / 2개 충족 = 25점 / 3개 충족= 50점 / 4개 충족= 75점 / 5개 충족= 100점</t>
  </si>
  <si>
    <t>지난 4개년 원단위 폐기물 배출량이 변동 없음</t>
  </si>
  <si>
    <t>요건1 |  검증의견서에 검증기관(또는 검증인)이 명시되어 있는 경우 (또는, 검증기관이 License Number를 보유하고 있는 경우) |  요건2 |  검증의견서에 검증기관과의 독립성 성명이 포함되어 있는 경우 (즉, 검증기관과 검증받는 조직간 이해관계 상충이 없음을 선언한 경우) |  요건3 |  검증의견서에 검증표준(방법론)이 제시되어 있는 경우  (AA1000AS, ISAE3000, 또는 제3자 검증기관이 개발한 자체 검증표준 등) |  요건4 |  검증의견서에 ESG 정보 검증수준을 공개하고 있는 경우  (Type1/Type2, Moderate/High, 제한적/합리적 등) |  요건5 |  검증의견서에 제3자 검증기관이 검증한 정보공시 지표가 적시되어 있는 경우  (즉, 조직의 모든 ESG 정보 중 어떠한 정보를 검증하였는지 명시하는 경우)</t>
  </si>
  <si>
    <t>완전대응</t>
  </si>
  <si>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</si>
  <si>
    <t>KSSB 제1호 문단 50(3)(외부검증)</t>
  </si>
  <si>
    <t>GRI 2-5, AA1000AS, ISAE3000</t>
  </si>
  <si>
    <t>E-6-2</t>
  </si>
  <si>
    <t>111</t>
  </si>
  <si>
    <t>폐기물 재활용 비율</t>
  </si>
  <si>
    <t>공개서한 접수 여부 및 처리현황</t>
  </si>
  <si>
    <t>OX/텍스트</t>
  </si>
  <si>
    <t>지난 4개년 폐기물 재활용 비율이 감소 추세</t>
  </si>
  <si>
    <t>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ESG 정보 검증의 타당성과 신뢰성을 확인하기 위한 기준은 ‘검증기관의 적격성’, ‘검증기관과의 독립성’, ‘검증방법론의 합리성’, ‘검증수준의 명확성’, ‘검증지표의 구체성’으로 구분할 수 있다. 글로벌 시장에서 통용되는 ESG 검증표준에는 1) 지속가능경영 관련 국제표준 제정기관인…</t>
  </si>
  <si>
    <t>지난 4개년 폐기물 재활용 비율이 변동 없음</t>
  </si>
  <si>
    <t>1-④_주주환원정책</t>
  </si>
  <si>
    <t>[자동채점] | 근거충분성: 충분 | 근거: [지속가능경영보고서] 76p. 본 검증은 [AA1000AS (v3)], [AA1000AP (2018)] 및 [Type 1 – Moderate]를 기준으로 하였습니다. 품질재단은 제3자 검증서비스를 제공하는 업무 외에 회사의 사업 전반에 걸쳐 검증의 독립성 및 공평성을 저해할 수 있는 어떠한 이해관계도 없습니다. 검증 항목 (GRI Standards 2021 기준) 공통표준 2-1 to 2-5... 3-1 to 3-3 (Material Topics Disclosures)(13번째 줄 부근) → 검증기관(한국품질재단) 명시, 독립성 선언, 검증표준(AA1000AS 등), 검증수준(Type 1 Moderate), 검증 대상 지표(GRI Standards 2021) 등 5가지 요건을 모두 충족함. | 근거페이지: 사업보고서 376p / 지속가능경영보고서 2~3p, 51p, 53p, 71~72p, 76~78p</t>
  </si>
  <si>
    <t>112</t>
  </si>
  <si>
    <t>주주환원정책(배당 포함) 수립여부</t>
  </si>
  <si>
    <t>1) 한국품질재단이 검증
 2) '이해관계없음' 증명
 3) [AA1000AS (v3)], [AA1000AP (2018)] 및 [Type 1 – Moderate]를 기준
 4) [Type 1 – Moderate]
 5) GRI standards- 검증 대상 공통표준·특정주제표준 코드</t>
  </si>
  <si>
    <t>[26년 현황] 검증기관·독립성·검증표준·검증수준·검증대상 지표 5개 요건 모두 확인 → 이미 5단계(100점) 최고등급.
  [개선방향] 현행 유지. 매년 동일 수준의 제3자 검증의견서 확보를 계약조건화.
  [필요 근거] 연도별 검증의견서 원문.</t>
  </si>
  <si>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</si>
  <si>
    <t>대외 공시하는 ESG 정보에 대해 검증기관 정보, 독립성 선언, 검증표준, 검증수준 및 검증 대상 지표 등 주요 요건을 포함한 제3자 검증의견서를 갖추고 있습니까?</t>
  </si>
  <si>
    <t>E-7-1</t>
  </si>
  <si>
    <t>선택형(요건 충족 수)</t>
  </si>
  <si>
    <t>대기오염물질 배출량</t>
  </si>
  <si>
    <t>지난 4개년 대기오염물질 평균 배출농도가 증가 추세</t>
  </si>
  <si>
    <t>113</t>
  </si>
  <si>
    <t>환경</t>
  </si>
  <si>
    <t>주주환원정책 연1회 통지 여부</t>
  </si>
  <si>
    <t>지난 4개년 대기오염물질 평균 배출농도가 변동 없음</t>
  </si>
  <si>
    <t>환경경영 목표</t>
  </si>
  <si>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</si>
  <si>
    <t>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</si>
  <si>
    <t>환경 분야 목표 수립 현황</t>
  </si>
  <si>
    <t>114</t>
  </si>
  <si>
    <t>E-7-2</t>
  </si>
  <si>
    <t>주주환원정책 영문자료 제공 여부</t>
  </si>
  <si>
    <t>수질오염물질 배출량</t>
  </si>
  <si>
    <t>지난 4개년 수질오염물질 평균 배출농도가 증가 추세</t>
  </si>
  <si>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</si>
  <si>
    <t>115</t>
  </si>
  <si>
    <t>현금배당 관련 예측가능성 제공(배당기준일 이전 배당결정)</t>
  </si>
  <si>
    <t>KSSB 제2호 문단 33~36(목표) 준용 가능</t>
  </si>
  <si>
    <t>GRI 2-27</t>
  </si>
  <si>
    <t>표 1-4-1</t>
  </si>
  <si>
    <t>지난 4개년 수질오염물질 평균 배출농도가 변동 없음</t>
  </si>
  <si>
    <t>116</t>
  </si>
  <si>
    <t>상장회사협의회 표준정관 개정 반영 여부</t>
  </si>
  <si>
    <t>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</si>
  <si>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</si>
  <si>
    <t>E-9-1</t>
  </si>
  <si>
    <t>[자동채점] | 근거충분성: 충분 | 근거: [지속가능경영보고서] 20p. 4대 환경목표는 기후변화 문제를 해결하고 이에 대응하기 위한 하나마이크론의 의지를 나타내며, 중요한 순서대로 ‘온실가스’, ‘에너지’, ‘용수’, ‘폐기물’로 이루어져 있습니다. 온실가스 목표는 ‘2050년 온실가스 감축계획’과 연계되어 있으며, 2030년, 2040년, 2050년까지의 중장기적 온실가스 감축목표를 나타냅니다. ... 앞으로도 하나마이크론은 ESG 위원회와 전담조직을 통해 목표달성을 위한 구체적인 계획을 수립하고 추진경과를 점검 및 공개하여 기후위기 극복에 적극 동참하고자 합니다.(7번째 줄 부근) → 환경경영 비전/미션, 온실가스/에너지/용수/폐기물에 대한 구체적인 중장기 정량 목표, 이를 달성하기 위한 감축 아이템(과제) 및 이행점검 체계를 모두 갖추고 있어 5단계 요건을 충족합니다. | 근거페이지: 지속가능경영보고서 19~23p, 26p, 57p, 75p</t>
  </si>
  <si>
    <t>친환경 인증 제품 및 서비스 비율</t>
  </si>
  <si>
    <t>(5단계) '환경경영 전략방향' (16) 주요 전략, 실행방향 (17) 
 목표정의, 목표기간(단, 중장기), 과제(20)
 이행점검 지표 (%, 배출량 등을 지표로 간주)</t>
  </si>
  <si>
    <t>1-⑤_배당등주주권리</t>
  </si>
  <si>
    <t>친환경 인증을 획득한 제품 및 서비스, 또는 친환경 인증 원부자재 등이 포함된 제품군의 매출비율이 증가 추세</t>
  </si>
  <si>
    <t>117</t>
  </si>
  <si>
    <t>[26년 현황] 4대 환경목표(온실가스·에너지·용수·폐기물)의 중장기 정량목표, 감축과제, 연도별 목표-실적 점검까지 확인 → 5단계(100점) 유지.
  [개선방향] 점수는 최고등급이나 목표 적용범위가 본사·판교에 한정됨. 전사 온실가스의 72%(2025년 113,767/157,625 tCO2eq)를 차지하는 HANA Micron Vina 등 해외법인까지 목표를 확대하면 E-3-1·E-10-5 방어력도 함께 강화.
  [필요 근거] 해외법인 포함 전사 환경목표표, 연도별 목표 대비 실적.</t>
  </si>
  <si>
    <t>최근 3개년 주당 배당금</t>
  </si>
  <si>
    <t>구체적이고 단기/중장기 환경경영 정량 목표를 설정하고, 달성을 위한 과제 및 이행점검을 위한 지표를 정의하고 있습니까?</t>
  </si>
  <si>
    <t>기업지배구조보고서/지속가능경영보고서</t>
  </si>
  <si>
    <t>표 1-5-1-1</t>
  </si>
  <si>
    <t>친환경 인증을 획득한 제품 및 서비스, 또는 친환경 인증 원부자재 등이 포함된 제품군의 매출비율이 변동 없음</t>
  </si>
  <si>
    <t>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</si>
  <si>
    <t>118</t>
  </si>
  <si>
    <t>환경경영시스템, 환경경영 정책, 환경경영 가이던스</t>
  </si>
  <si>
    <t>최근 3개년 시가배당률(%)</t>
  </si>
  <si>
    <t>요건1 |  환경경영 추진을 위한 전사 거버넌스 체계를 구축하고 있는 경우 (전담조직, 실무협의회, 경영회의 및 내부점검체계 등) |  요건2 |  환경경영 추진을 위한 전사 전담조직을 운영하고 있는 경우 (전사 환경경영 기획, 점검, 성과관리 등 실행업무 담당) |  요건3 |  환경경영 과제 실행에 필요한 자원을 투입하고 있는 경우  (환경투자 예산, 역량강화 교육, 내외부 전문인력 등) |  요건4 |  환경경영 추진 현황을 점검/분석/평가하는 시스템이 있는 경우 (IT기반 모니터링 시스템, 과제점검 회의, 제3자 의견수렴 등) |  요건5 |  환경경영 과제 이행현황이 경영진 포함 관련 구성원의 성과평가지표(KPIs)에 반영되어 있는 경우 |  * 선택 항목의 합산값으로 평가</t>
  </si>
  <si>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</si>
  <si>
    <t>KSSB 대비 GAP 분석</t>
  </si>
  <si>
    <t>KSSB 제2호 문단 6(거버넌스) 준용 가능</t>
  </si>
  <si>
    <t>119</t>
  </si>
  <si>
    <t>E-10-1</t>
  </si>
  <si>
    <t>최근 3개년 현금배당성향(연결/개별, %)</t>
  </si>
  <si>
    <t>기후변화 거버넌스</t>
  </si>
  <si>
    <t>KSSB(한국지속가능성기준위원회) 지속가능성 공시기준서 제1호(일반요구사항)·제2호(기후) 대비 K-ESG 가이드라인 v2.0의 대응 현황</t>
  </si>
  <si>
    <t>표 1-5-1-2</t>
  </si>
  <si>
    <t>GRI 2-27, K-ESG</t>
  </si>
  <si>
    <t>기후변화 문제에 대응할 수 있는 담당자(혹은 기구)가 없음</t>
  </si>
  <si>
    <t>※ 본 GAP 분석의 KSSB 조문번호는 2024.4 공개초안 기준이며, 2026.2.26 최종 제정본 대비 재검증이 필요합니다.</t>
  </si>
  <si>
    <t>120</t>
  </si>
  <si>
    <t>차등배당·분기배당·중간배당 실시여부</t>
  </si>
  <si>
    <t>1. K-ESG v2.0(91개 항목 기준) 영역별 KSSB 대응 현황</t>
  </si>
  <si>
    <t>기후변화 문제에 대응하기 위한 관리자(혹은 담당부서)가 있으며, 담당부서의 KPIs에 조직의 기후변화 대응 목표가 반영되어 있음</t>
  </si>
  <si>
    <t>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</si>
  <si>
    <t>121</t>
  </si>
  <si>
    <t>자사주 매입·소각 등 배당외 주주환원 실시내역</t>
  </si>
  <si>
    <t>텍스트</t>
  </si>
  <si>
    <t>[자동채점] | 근거충분성: 충분 | 근거: [지속가능경영보고서] 20p. 하나마이크론은 ESG 위원회와 전담조직을 통해 목표달성을 위한 구체적인 계획을 수립하고 추진경과를 점검 및 공개하여 기후위기 극복에 적극 동참하고자 합니다.(15번째 줄 부근) → 전사 거버넌스(ESG 위원회), 전담조직 운영, 자원 투입(투자 계획), 점검 시스템(추진경과 점검 및 공개) 요건을 충족하나, 성과평가지표(KPIs) 반영에 대한 명시적 근거가 부족하여 4단계로 판단함. | 근거페이지: 지속가능경영보고서 5p, 11~12p, 18~20p, 22~23p, 27p, 50p, 57p, 75p, 77p</t>
  </si>
  <si>
    <t>기후변화 문제에 대응하기 위한 관리직(C-level) 혹은 위원회가 있으며, 관리직의 KPIs에 조직의 기후변화 대응 목표가 반영되어 있음 (예 : 기후/지속가능성/ESG 최고 책임자, 리스크 관리 최고 책임자(CEO 제외) 등)</t>
  </si>
  <si>
    <t>(4단계) 환경경영 과제 이행현황의 구성원 성과평가지표(KPIs) 반영: 인사평가 체계(MBO/KPI)는 확인되나, 환경 목표가 경영진·구성원 개인 KPI에 반영되어 인센티브와 연계된다는 명시적 서술은 2025년 보고서 내 확인되지 않음 
 ESG위원회가 있음 (이사회 산하 ESG위원회가 아님)</t>
  </si>
  <si>
    <t>중기</t>
  </si>
  <si>
    <t>핵심원칙2_주주의공평한대우</t>
  </si>
  <si>
    <t>2-①_의결권및정보제공</t>
  </si>
  <si>
    <t>201</t>
  </si>
  <si>
    <t>발행가능주식총수 대비 발행주식수(%)</t>
  </si>
  <si>
    <t>3단계 + 기후 관련 문제를 이사회 차원의 위원회에서 관리·감독하고 있으며, 이사회 안건으로 상정하고 있음 (예 : 기후/지속가능성/ESG 위원회, 리스크 관리 위원회 등)</t>
  </si>
  <si>
    <t>[26년 현황] 거버넌스(이사회 산하 ESG위원회 신설)·전담조직(ESG그룹)·자원투입(2026 친환경투자 6.15억)·점검체계(ISO 14001) 4개 충족, 환경 KPI의 경영진·구성원 평가 반영(요건5)만 미확인 → 75점.
  [개선방향] 이미 안전보건 KPI를 임원평가에 연계한 제도(SR p.37)가 있으므로, 같은 방식으로 4대 환경목표(온실가스·재생에너지 전환율·용수 재활용률·폐기물) KPI를 경영진 및 ESG그룹·Facility 부서 평가에 반영하고 SR에 명시하면 요건5 충족 → 100점. 신설 보상위원회(2026.7~)의 보상체계 설계 안건과 연계 권장.
  [필요 근거] 환경 KPI가 포함된 임원·부서 평가표, 보상위원회 의사록.</t>
  </si>
  <si>
    <t>체계적인 환경경영 추진을 위해 전사 거버넌스 구축, 전담조직 운영, 자원 및 역량 투입, 이행현황 점검 시스템 구축, 경영진 및 구성원의 성과평가지표(KPIs) 반영 체계를 갖추고 있습니까?</t>
  </si>
  <si>
    <t>GAP(대응지표 없음)</t>
  </si>
  <si>
    <t>202</t>
  </si>
  <si>
    <t>종류주식별 의결권 부여 내용</t>
  </si>
  <si>
    <t>온실가스</t>
  </si>
  <si>
    <t>항목수 합계</t>
  </si>
  <si>
    <t>4단계 + 조직 구성원에게 기후변화 대응 목표 KPIs 달성도에 따라 인센티브를 제공하고 있음</t>
  </si>
  <si>
    <t>완전대응율</t>
  </si>
  <si>
    <t>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</si>
  <si>
    <t>E-10-3</t>
  </si>
  <si>
    <t>‘전자공시시스템’ 上 사업보고서, ‘조직별 홈페이지’ 上 지속가능경영보고서, ‘국가온실가스종합관리 시스템’ 上 명세서배출량통계</t>
  </si>
  <si>
    <t>203</t>
  </si>
  <si>
    <t>기후변화 물리 리스크 및 대응 방안</t>
  </si>
  <si>
    <t>IR·컨퍼런스콜 등 주주와의 대화 개최 여부</t>
  </si>
  <si>
    <t>국내외 사업장 및 기타 연결실체</t>
  </si>
  <si>
    <t>원단위 온실가스 배출량 = 총 온실가스 배출량 / 매출액(또는 생산량)</t>
  </si>
  <si>
    <t>조직이 기후변화로 인한 물리 리스크를 분석하지 않는 경우</t>
  </si>
  <si>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</si>
  <si>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204</t>
  </si>
  <si>
    <t>KSSB 제2호 문단 29(1) — Scope1·2 배출량</t>
  </si>
  <si>
    <t>소액주주 별도 소통행사 개최여부</t>
  </si>
  <si>
    <t>GHG Protocol, GRI 305-1,2</t>
  </si>
  <si>
    <t>조직이 기후변화로 인한 조직 전체 차원의 물리 리스크를 식별하고 정의하는 경우</t>
  </si>
  <si>
    <t>205</t>
  </si>
  <si>
    <t>해외투자자 별도 소통행사 개최여부</t>
  </si>
  <si>
    <t>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</si>
  <si>
    <t>2단계 + 물리 리스크로 인한 사업 영향력을 정성적으로 측정하는 경우</t>
  </si>
  <si>
    <t>[자동채점] | 근거충분성: 충분 | 근거: [지속가능경영보고서] 22p. 매출액당 온실가스 배출량은 2025년 4.54 tCO2-eq/억 원으로 전년 대비 약 30.64% 감소하였습니다.(6번째 줄 부근) → 제시된 2022년부터 2024년까지의 원단위 온실가스 배출량(6.56 → 6.55 → 4.54)이 감소 추세를 보이고 있어 3단계에 해당합니다. | 근거페이지: 사업보고서 20p, 22p / 지속가능경영보고서 21~23p, 55p, 57p, 75p, 77p</t>
  </si>
  <si>
    <t>3단계 +물리 리스크로 인한 사업 영향력을 정량적으로 측정하여 리스크 해소한 경우</t>
  </si>
  <si>
    <t>(1단계) scope1,2로 분류하지 않고, 사업장별로 분류해 전체 합해서 계산 
 2022년 통합 배출량 67,606 tCO2-eq / 통합매출 9,246억원 = 통합원단위 7.31 tCO2-eq/억원
 2024년 통합 배출량 138,758 tCO2-eq / 통합매출 16,857억원 = 8.23 tCO2-eq/억원
 2026년 지속가능경영보고서로 2022 vs 2025 비교를 할 경우, 
 2022 → 2024: 7.31 → 8.23 (+12.6%, 악화)
 2022 → 2025: 7.31 → 7.19 (-1.7%, 소폭 개선)
 개별 사업장 대부분(특히 본사와 Vina)이 크게 개선됐지만, HANA Micron Vietnam과 HANA Electronics는 오히려 원단위가 크게 나빠졌습니다.</t>
  </si>
  <si>
    <t>206</t>
  </si>
  <si>
    <t>IR 담당부서 연락처 상세 안내(문의창구) 시행여부</t>
  </si>
  <si>
    <t>[26년 현황] 6개 보고법인 합산 원단위가 4개년(2022~2025) CAGR -0.5%로 K-ESG 기준(0 기점)상 감소 → 3단계(100점). 다만 사실상 보합이고, 분모를 연결매출로 바꾸면 증가(+10.8%)로 뒤집히는 경계선 점수.
  [개선방향] ① 배출의 72%(113,767/157,625t)를 차지하는 Vina의 재생에너지 전환 계획을 수치화(본사 전환율 0.34%, HT Micron 98%) ② 원단위가 악화된 HANA Micron Vietnam(24.9→46.7)의 원인 분석 공시 ③ SR에 그룹 원단위(보고범위 합산 배출량 ÷ 같은 법인 매출합)를 직접 공시해 평가자가 분모를 임의로 고르지 않게 함 ④ 29년 의무공시(KSSB 제2호 문단 29(1) Scope1·2)는 연결 보고기업 기준이므로 하나머티리얼즈 등 미포함 종속회사 인벤토리 구축에 착수(포함 시 추세 재산정).
  [필요 근거] 법인별 4개년 원단위표(분모 명시), Vina 재생에너지 로드맵, 미포함 종속회사 배출량.</t>
  </si>
  <si>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</si>
  <si>
    <t>Scope 1 및 Scope 2 원단위 온실가스 배출량을 산정하고, 이에 대한 증감 현황을 점검·관리하고 있습니까?</t>
  </si>
  <si>
    <t>E-10-4</t>
  </si>
  <si>
    <t>기후변화 전환 리스크 및 대응 방안</t>
  </si>
  <si>
    <t>207</t>
  </si>
  <si>
    <t>영문 IR 사이트 운영 여부</t>
  </si>
  <si>
    <t>조직이 기후변화로 인한 전환 리스크를 분석하지 않는 경우</t>
  </si>
  <si>
    <t>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</si>
  <si>
    <t>온실가스 배출량 검증의견서</t>
  </si>
  <si>
    <t>208</t>
  </si>
  <si>
    <t>조직이 기후변화로 인한 조직 전체 차원의 전환 리스크를 식별하고 정의하는 경우</t>
  </si>
  <si>
    <t>외국인 담당 직원 지정 여부</t>
  </si>
  <si>
    <t>요건1 |  검증의견서에 검증기관(또는 검증인)이 명시되어 있는 경우 (또는, 검증기관이 License Number를 갖추고 있는 경우) |  요건2 |  검증의견서에 검증표준(방법론)이 제시되어 있는 경우 (온실가스 배출권거래제의 배출량 보고 및 인증에 관한 지침, GHG Protocol, ISO14064-1 등) |  요건3 |  검증의견서에 ESG 정보 검증수준을 공개하고 있는 경우 (전체/일부 데이터 검증, 제한적/합리적 보증 등) |  요건4 |  제3자 검증기관이 검증한 온실가스 배출량 검증 범위가 적시되어 있는 경우 (즉, 조직의 사업장 중 온실가스 배출량을 검증받은 사업장 및 지역 등) |  요건5 |  조직의 온실가스 관리에 관한 제3자 검증기관 의견이 명시되어 있는 경우 (온실가스 관리 시스템 개선, 향후 검증값의 변동가능성 등)</t>
  </si>
  <si>
    <t>2단계 + 전환 리스크로 인한 사업 영향력을 정량적으로 측정하는 경우</t>
  </si>
  <si>
    <t>KSSB 제1호 문단 50(3)(검증)</t>
  </si>
  <si>
    <t>GRI 305</t>
  </si>
  <si>
    <t>209</t>
  </si>
  <si>
    <t>영문공시 비율(%)</t>
  </si>
  <si>
    <t>3단계+ 전환리스크로인한사업영향력을사업장별로측정해리스크해소에드는예상비용, 예상평균소요기간 등을분석하는경우</t>
  </si>
  <si>
    <t>｢기후위기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</si>
  <si>
    <t>4단계 + 전환 리스크로 인해 발생할 수 있는 새로운 사업 기회를 모색하고 수립한 경우</t>
  </si>
  <si>
    <t>210</t>
  </si>
  <si>
    <t>[자동채점] | 근거충분성: 충분 | 근거: [지속가능경영보고서] 77p. ㈜한국경영인증원은 하나마이크론(주)의 2024 온실가스 배출량(SCOPE1,2)에 대한 검증을 수행하였습니다. 검증과정 중 배출량 산정에 중대한 오류가 발견되지 않았으며, 관련 활동자료와 증빙이 적정하게 관리되어 산정되었음을 표명합니다. 최종 "적정" 의견을 제시합니다.(4번째 줄 부근) → 검증기관 명시, 검증표준(ISO 14064-1 등) 제시, 합리적 보증수준 공개, 검증범위(운영통제 하 모든 사업장) 적시, 검증의견(적정 의견 및 관리 적정성) 명시 등 5가지 요건을 모두 충족함. | 근거페이지: 지속가능경영보고서 22p, 53p, 57p, 76~78p</t>
  </si>
  <si>
    <t>불성실공시법인 지정 여부·건수</t>
  </si>
  <si>
    <t>E-11-1</t>
  </si>
  <si>
    <t>(5단계) (주)한국경영인증원, ISO 14064 등 검증표준, 합리적 수준, 범위, 최종 '적정'의견이 모두 포함되었다.</t>
  </si>
  <si>
    <t>자연자본 식별</t>
  </si>
  <si>
    <t>OX/숫자</t>
  </si>
  <si>
    <t>사업보고서(DART)</t>
  </si>
  <si>
    <t>조직이 위치한 사업장의 자연자본을 식별하고 있지 않은 경우</t>
  </si>
  <si>
    <t>[26년 현황] 본사(KMR, 합리적 보증)와 해외 4개 법인(KFQ, 제한적 보증) 모두 검증기관·기준·보증수준·범위·적정의견 명시 → 5단계(100점) 유지.
  [개선방향] 현행 유지. 검증 미포함인 하나WLS를 검증범위에 추가하고, 해외법인 보증수준을 합리적 보증으로 상향하면 KSSB 제2호 대응력도 강화.
  [필요 근거] 연도별 검증의견서(국내·해외), WLS 검증 계약.</t>
  </si>
  <si>
    <t>대외 공시하는 온실가스 배출량 데이터에 대해 검증기관 정보, 검증표준, 검증수준, 검증 범위 및 검증의견 등 주요 요건을 포함한 제3자 검증의견서를 갖추고 있습니까?</t>
  </si>
  <si>
    <t>2-②_내부거래통제</t>
  </si>
  <si>
    <t>조직이 위치한 사업장의 자연자본을 식별할 계획을 수립한 경우</t>
  </si>
  <si>
    <t>211</t>
  </si>
  <si>
    <t>에너지</t>
  </si>
  <si>
    <t>내부거래·자기거래 통제 정책(포괄적 이사회 의결 등) 시행여부</t>
  </si>
  <si>
    <t>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</si>
  <si>
    <t>조직이 위치한 일부 사업장의 자연자본을 식별하고 있는 경우</t>
  </si>
  <si>
    <t>‘전자공시시스템’ 上 사업보고서, ‘조직별 홈페이지’ 上 지속가능경영보고서, ‘한국에너지공단 홈페이지’ 上 산업부문 에너지 사용 및 온실가스 배출량 통계</t>
  </si>
  <si>
    <t>원단위 에너지 사용량 = 총 에너지 사용량 / 매출액(또는 생산량)</t>
  </si>
  <si>
    <t>조직이 위치한 전체 사업장의 자연자본을 식별하고 있는 경우</t>
  </si>
  <si>
    <t>2-③_소유구조변동시주주보호</t>
  </si>
  <si>
    <t>212</t>
  </si>
  <si>
    <t>합병·영업양수도·분할 등 소액주주 보호 정책마련 여부</t>
  </si>
  <si>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</si>
  <si>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대외적으로 식별된 자연자본을 공개하고 있는 경우</t>
  </si>
  <si>
    <t>KSSB 제2호 문단 29 부속 에너지 사용 관련 준용</t>
  </si>
  <si>
    <t>GRI 302-1</t>
  </si>
  <si>
    <t>E-11-2</t>
  </si>
  <si>
    <t>생물다양성 보존 전략</t>
  </si>
  <si>
    <t>회피(Avoid)</t>
  </si>
  <si>
    <t>에너지 사용량 = ‘조직에서 직접 사용한 화석연료’ + ‘조직에서 직접 사용한 재생연료’ + ‘외부로부터 구매한 전기, 열 등’ + ‘조직에서 생산한 전기, 열(스팀) 등’ - ‘조직에서 사용하지 않고 외부로 판매한 전기, 열 등’  (고체, 기체, 액체 연료) 에너지 사용량 환산방법 = 연료 사용량 × 총발열량 (전기) 에너지 사용량 환산방법 = 전력사용량 × 발열량(소비)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</si>
  <si>
    <t>213</t>
  </si>
  <si>
    <t>저감(Reduce)</t>
  </si>
  <si>
    <t>공시대상기간 중 합병 등 계획·시행 여부</t>
  </si>
  <si>
    <t>[자동채점] | 근거충분성: 충분 | 근거: [지속가능경영보고서] 57p. HANA Micron | 단위 | 2022년 | 2023년 | 2024년 | 총 에너지 사용량(TJ) | 830 | 795 | 755 | 원단위(TJ/억 원) | 0.136 | 0.137 | 0.095(1번째 줄 부근) → 하나마이크론의 최근 3개년(2022~2024) 원단위 에너지 사용량이 0.136에서 0.095로 감소 추세를 보이고 있어 3단계에 해당합니다. | 근거페이지: 사업보고서 20p, 22p / 지속가능경영보고서 23p, 55~57p, 75p, 77p</t>
  </si>
  <si>
    <t>(3단계) 2022년 0.1136TJ/억원 대비 2024년 0.0883TJ/억원 대비로 감소, 2022 대 2025년으로 비교해도 0.0683TJ/억원 대비로 뚜렷한 감소 추세</t>
  </si>
  <si>
    <t>복원(Restore)</t>
  </si>
  <si>
    <t>[26년 현황] 에너지 원단위 3개년 연속 감소(매출합 기준 0.1164→0.0679 TJ/억원) → 3단계(100점) 유지.
  [개선방향] 현행 유지. 단 절대사용량은 +14% 증가 중이며 재생에너지 전환율 0.34%(2025)에 불과. 2026 친환경투자(태양광 증설·전력감시시스템)의 절감효과를 정량 공시해 추세 지속성을 입증.
  [필요 근거] 4개년 원단위표, 감축아이템별 절감량.</t>
  </si>
  <si>
    <t>원단위 에너지 사용량을 산정하고, 이에 대한 증감 현황을 점검·관리하고 있습니까?</t>
  </si>
  <si>
    <t>재생(Regenerate)</t>
  </si>
  <si>
    <t>214</t>
  </si>
  <si>
    <t>주식전환 가능 자본조달(CB/BW/EB 등) 발행 여부</t>
  </si>
  <si>
    <t>용수</t>
  </si>
  <si>
    <t>변경(Transform)</t>
  </si>
  <si>
    <t>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</si>
  <si>
    <t>‘조직별 홈페이지’ 上 지속가능경영보고서, ‘한국에너지공단 물정보포털(My Water)’ 上 GIS 수자원</t>
  </si>
  <si>
    <t>E-11-3</t>
  </si>
  <si>
    <t>핵심원칙3_이사회기능</t>
  </si>
  <si>
    <t>산림보호 활동</t>
  </si>
  <si>
    <t>3-①_경영의사결정및감독</t>
  </si>
  <si>
    <t>301</t>
  </si>
  <si>
    <t>원단위 용수 사용량 = 총 용수 사용량 / 매출액(또는 생산량)</t>
  </si>
  <si>
    <t>산림보호 혹은 산림파괴 예방 정책을 수립한 경우 (사업 운영 전반에서 발생하는 산림파괴 리스크 관리 및 산림파괴 예방 등)</t>
  </si>
  <si>
    <t>이사회 심의·의결사항 및 법정 외 강화기준 존재여부</t>
  </si>
  <si>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</si>
  <si>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G-1-1(이사회 기능 보강)</t>
  </si>
  <si>
    <t>사업 활동으로 인해 영향을 받는 지역을 조사하고 주요 보호지역을 정의한 경우 (산림이 제공하는 경관 및 지형학/지질학적 특성, 산림에 서식하는 생물다양성 등)</t>
  </si>
  <si>
    <t>사회</t>
  </si>
  <si>
    <t>3-②_CEO승계정책</t>
  </si>
  <si>
    <t>산림보호를 위해 전사 차원의 목표를 수립한 경우 (산림파괴 없는 사업 운영 구조 완성, 탄소상쇄 활동(REDD+ 등)에 대한 성과개선 목표 설정 등)</t>
  </si>
  <si>
    <t>302</t>
  </si>
  <si>
    <t>최고경영자 승계정책 수립 여부</t>
  </si>
  <si>
    <t>핵심지표 H06과 연계</t>
  </si>
  <si>
    <t>산림보호를 위한 단기/중장기 목표 수립 및 연도별 이행 현황을 파악하고 있는 경우 (중장기 산림 보호-복원-확대 목표 이행 현황 및 목표 대비 이행률 점검 등)</t>
  </si>
  <si>
    <t>303</t>
  </si>
  <si>
    <t>승계정책 내 후보(집단) 선정 절차 존재여부</t>
  </si>
  <si>
    <t>산림보호를 위해 이해관계자로부터 의견을 수렴하고 관련 성과를 공유하는 경우 (산림 보호 활동 및 성과 공유, 외부 전문기관 및 비영리기관 등과 협력체계 구축 등)</t>
  </si>
  <si>
    <t>S-1-1</t>
  </si>
  <si>
    <t>목표 수립 및 공시</t>
  </si>
  <si>
    <t>단기/중장기 성과목표 또는 조직의 사회 분야 추진 방향성을 나타내는 사회분야 경영 미션/비전/지향점이 없는 경우</t>
  </si>
  <si>
    <t>KSSB 제2호 직접 규정 없음(업종기반지표로만 요구 가능)</t>
  </si>
  <si>
    <t>GRI 303, CDSB 물 적용지침</t>
  </si>
  <si>
    <t>304</t>
  </si>
  <si>
    <t>후보군 교육 실시 여부</t>
  </si>
  <si>
    <t>단기/중장기 성과목표는 수립되지 않았으나, 조직의 사회 분야 추진 방향성을 나타내는 사회분야 미션/비전/지향점을 제시하고 있는 경우</t>
  </si>
  <si>
    <t>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</si>
  <si>
    <t>조직의 사회분야 핵심이슈에 대한 단기 목표를 설정하고 있는 경우</t>
  </si>
  <si>
    <t>[자동채점] | 근거충분성: 충분 | 근거: [지속가능경영보고서] 25p. 매출액 대비 전체 취수량은 2022년 85.5 (m³/억 원), 2023년 84.3 (m³/억 원), 2024년 59.33 (m³/억 원) 로 감소 추세를 보이고 있습니다.(10번째 줄 부근) → 제시된 3개년 원단위 용수 사용량 데이터가 지속적으로 감소하는 추세를 보이고 있어 3단계에 해당합니다. | 근거페이지: 사업보고서 20p, 22p / 지속가능경영보고서 25p, 55~58p, 75p, 77p</t>
  </si>
  <si>
    <t>3-③_내부통제정책</t>
  </si>
  <si>
    <t>305</t>
  </si>
  <si>
    <t>(3단계) 2022년 775,570 m³ / 8,628억원 = 89.89 m³/억원, 2024년 1,275,126 m³ / 15,795억원 = 80.73 m³/억원으로 10.2% 감소, 2025년도 57.95 m³/억원으로 2022년에 비해 35.5% 감소</t>
  </si>
  <si>
    <t>지배구조</t>
  </si>
  <si>
    <t>전사 리스크관리 정책 마련 여부</t>
  </si>
  <si>
    <t>조직의 사회분야 핵심이슈에 대한 중장기 목표를 설정하고 있으나, 모든 중장기 목표가 정성적 형태로 되어 있는 경우</t>
  </si>
  <si>
    <t>[26년 현황] 용수 원단위 3개년 감소(매출합 기준 159.5→55.2㎥/억원) → 3단계(100점) 유지.
  [개선방향] 현행 유지하되 데이터 품질 보완 필요: HANA Electronics 2023년 취수량(492,910㎥) 이상치를 검증·정정 공시. 본사 재활용률 목표(2030년 50%) 대비 2025년 27.4%로 격차가 크므로 연차별 중간목표 제시.
  [필요 근거] HE 2023년 원자료·정정내역, 재활용률 연차 목표.</t>
  </si>
  <si>
    <t>원단위 용수 사용량을 산정하고, 이에 대한 증감 현황을 점검·관리하고 있습니까?</t>
  </si>
  <si>
    <t>G-4-1, G-5-1</t>
  </si>
  <si>
    <t>조직의 사회분야 핵심이슈에 대한 중장기 목표를 설정하고 있으며, 중장기 목표에는 정성 外 정량적 목표를 포함하고 있는 경우</t>
  </si>
  <si>
    <t>핵심지표 H07 구성요소</t>
  </si>
  <si>
    <t>폐기물</t>
  </si>
  <si>
    <t>S-2-2</t>
  </si>
  <si>
    <t>정규직 비율</t>
  </si>
  <si>
    <t>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</si>
  <si>
    <t>최근 4개년 간 정규직 비율 데이터가 관리되지 않는 경우</t>
  </si>
  <si>
    <t>‘조직별 홈페이지’ 上 지속가능경영보고서, ‘한국환경공단’&gt;자원순환정보시스템&gt;연도별 전국 폐기물 발생 및 처리현황</t>
  </si>
  <si>
    <t>306</t>
  </si>
  <si>
    <t>준법경영(윤리경영/행동강령) 정책 마련 여부</t>
  </si>
  <si>
    <t>조직의 정규직 비율이 40%인 이하인 경우</t>
  </si>
  <si>
    <t>원단위 폐기물 배출량 = 총 폐기물 배출량 / 매출액(또는 생산량)</t>
  </si>
  <si>
    <t>조직의 정규직 비율이 40% 초과 60% 이하인 경우</t>
  </si>
  <si>
    <t>전체</t>
  </si>
  <si>
    <t>307</t>
  </si>
  <si>
    <t>내부회계관리 정책 마련 여부</t>
  </si>
  <si>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</si>
  <si>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조직의 정규직 비율이 60% 초과 80% 이하인 경우</t>
  </si>
  <si>
    <t>GRI 306</t>
  </si>
  <si>
    <t>조직의 정규직 비율이 80%를 초과하는 경우 * 3개년 이하 데이터 보유 시 해당 데이터로 추세 산정</t>
  </si>
  <si>
    <t>308</t>
  </si>
  <si>
    <t>공시정보관리 정책 마련 여부</t>
  </si>
  <si>
    <t>S-2-3</t>
  </si>
  <si>
    <t>자발적 이직률</t>
  </si>
  <si>
    <t>지난 4개년 자발적 이직률이 증가 추세</t>
  </si>
  <si>
    <t>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</si>
  <si>
    <t>핵심원칙4_이사회구성</t>
  </si>
  <si>
    <t>[자동채점] | 근거충분성: 충분 | 근거: [지속가능경영보고서] 59p. HANA Micron | 단위 | 2022년 | 2023년 | 2024년 | 폐기물 발생량 | ton | 485 | 340 | 264 | 원단위 | ton/억 원 | 0.0798 | 0.0580 | 0.0331(1번째 줄 부근) → 하나마이크론의 최근 3개년 원단위 폐기물 배출량이 0.0798에서 0.0331로 지속적으로 감소하는 추세를 보여 3단계에 해당함. | 근거페이지: 사업보고서 20p, 22p / 지속가능경영보고서 22p, 26p, 57p, 59~61p, 75p</t>
  </si>
  <si>
    <t>4-①_이사회구성및독립성</t>
  </si>
  <si>
    <t>지난 4개년 자발적 이직률이 변동 없음</t>
  </si>
  <si>
    <t>(1단계) 2022년 843.7 ton/9,251억원 = 0.0912 ton/억원, 2024년 1,659.2 ton/16,867억원=0.0984 ton/억원으로 증가
 2025년도 2,162.1 ton/21,891억원=0.0988 ton/억원 으로 8.3% 증가</t>
  </si>
  <si>
    <t>401</t>
  </si>
  <si>
    <t>이사 총원(사내/사외/기타비상무 인원수)</t>
  </si>
  <si>
    <t>[26년 현황] 본사는 감소(485→255t)했으나 Vina 급증(183→1,591t, 2025년 유해폐기물 364t 신규 발생)으로 6개 보고법인 합산 원단위가 4개년 CAGR +2.7% 증가 → 1단계(0점).
  [개선방향] ① Vina 2025년 유해폐기물 급증(4.96→364t) 원인 규명 및 소각(351t) 물량의 재활용 위탁 전환 ② 본사 목표(2030년 2023년 대비 -50%)를 해외법인까지 확대 ③ SR에 그룹 원단위와 산정 분모를 명시해 평가 일관성 확보. 차기 평가(2023~2026)에서는 2026년 원단위가 2023년(0.1166 t/억원)보다 낮으면 감소로 전환 가능 — 2026년 상반기 연결매출이 11,908억원(전년 동기 6,520억원)으로 늘어 분모 효과는 크지만, 절대량 관리 없이는 지속성이 약함.
  [필요 근거] Vina 폐기물 성상별 발생·처리 내역, 해외법인 감축목표, 원단위 산정기준.</t>
  </si>
  <si>
    <t>G-1-2, G-1-3</t>
  </si>
  <si>
    <t>원단위 폐기물 배출량을 산정하고, 이에 대한 증감 현황을 점검·관리하고 있습니까?</t>
  </si>
  <si>
    <t>지난 4개년 자발적 이직률이 감소 추세 * 자발적 이직률 데이터를 관리하지 않고 있는 경우 0점 적용 * ‘유지 추세’로 판단할 경우 2단계로 적용하여 평가 * 3개년 이하 데이터 보유 시 해당 데이터로 추세 산정</t>
  </si>
  <si>
    <t>표 4-1-2</t>
  </si>
  <si>
    <t>S-2-4</t>
  </si>
  <si>
    <t>교육훈련비</t>
  </si>
  <si>
    <t>오염물질</t>
  </si>
  <si>
    <t>지난 4개년 1인당 교육훈련비 감소 추세</t>
  </si>
  <si>
    <t>402</t>
  </si>
  <si>
    <t>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</si>
  <si>
    <t>사외이사 비율(%)</t>
  </si>
  <si>
    <t>‘조직별 홈페이지’ 上 지속가능경영보고서, ‘한국환경공단-에어코리아’ 上 실시간 자료조회</t>
  </si>
  <si>
    <t>지난 4개년 1인당 교육훈련비 변동 없음</t>
  </si>
  <si>
    <t>대기오염물질 배출 = 질소산화물, 황산화물, 미세먼지의 배출농도(PPM, mg/㎥)</t>
  </si>
  <si>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</si>
  <si>
    <t>403</t>
  </si>
  <si>
    <t>이사회 내 위원회 목록 및 위원 구성</t>
  </si>
  <si>
    <t>S-2-5</t>
  </si>
  <si>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</si>
  <si>
    <t>복리후생비</t>
  </si>
  <si>
    <t>KSSB 제2호 직접 규정 없음</t>
  </si>
  <si>
    <t>표 4-1-3-1/2</t>
  </si>
  <si>
    <t>GRI 305-7</t>
  </si>
  <si>
    <t>지난 4개년 1인당 복리후생비 감소 추세</t>
  </si>
  <si>
    <t>2. KSSB 및 주요 ESG 공시·평가기준 대비 추가 관리 필요사항 (9건)</t>
  </si>
  <si>
    <t>지난 4개년 1인당 복리후생비 변동 없음</t>
  </si>
  <si>
    <t>404</t>
  </si>
  <si>
    <t>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대기오염물질 배출농도 및 가스유량은 ｢환경분야 시험·검사 등에 관한 법률｣ 제6조제1항에 따라 환경부장관이 정하여 고시한 환경오염공정시험기준(또는 이에 준하는 국가별 관계법령)에 따라 측정한다. ｢대기환경보전법｣에 따른 대기오염물질 방지시설 설치 면제사업장의 경우, 동법 시행규칙 별지 제7호 서식에 따라…</t>
  </si>
  <si>
    <t>ESG(지속가능경영)위원회 설치 여부</t>
  </si>
  <si>
    <t>[자동채점] | 근거충분성: 충분 | 근거: [지속가능경영보고서] 27p. 대기오염물질 배출량 (본사) (단위 : Ton) 0.52 0.42 0.06 2022년 2023년 2024년 | 대기오염물질 배출량 전년 대비 감소(1번째 줄 부근) → 본사 기준 2022년부터 2024년까지 대기오염물질 배출량이 0.52톤에서 0.06톤으로 지속적으로 감소하는 추세를 보이고 있어 3단계에 해당합니다. | 근거페이지: 지속가능경영보고서 22~23p, 27p, 57p, 62p</t>
  </si>
  <si>
    <t>아래 항목은 91개 진단항목 어디에도 대응 지표가 없는 사항입니다. KSSB 요구사항뿐 아니라 GRI·TNFD·한국거래소 등 관련 기준도 포함되어 있어(근거 열 참조), 공시·평가 대응 시 신규 관리체계 구축이 필요합니다.</t>
  </si>
  <si>
    <t>지난 4개년 1인당 복리후생비 증가 추세 * 최근 4개년 간 1인당 복리후생비 정보 없는 경우 0점 적용 * ‘유지 추세’로 판단할 경우 2단계로 적용하여 평가 * 3개년 이하 데이터 보유 시 해당 데이터로 추세 산정</t>
  </si>
  <si>
    <t>(1단계) 배출량은 산정했지만 배출농도는 측정하지 않음</t>
  </si>
  <si>
    <t>S-2-6</t>
  </si>
  <si>
    <t>결사의 자유 보장</t>
  </si>
  <si>
    <t>[26년 현황] 자가측정은 하고 있으나 배출농도를 공시하지 않고 배출량만 공개, 배출량도 2025년 측정 배출구 확대로 0.06→1.72t 증가 → 1단계(0점).
  [개선방향] 이미 보유한 연1회 자가측정 결과(배출구별 NOx·SOx·먼지 농도, 허용기준 대비 %)를 4개년 표로 공시하면 즉시 채점 가능 상태로 전환(저비용 Quick-win). 측정범위 변경 전후를 구분(동일 배출구 기준 비교)해 추세 왜곡을 제거하고, 초저녹스 보일러 교체(2026 투자) 효과를 NOx 농도로 제시.
  [필요 근거] 자가측정 성적서(4개년), 배출구 목록 변경내역.</t>
  </si>
  <si>
    <t>질소산화물(NOx), 황산화물(SOx), 미세먼지(PM2.5) 등 주요 대기오염물질의 평균 배출농도를 측정하고, 이에 대한 증감 현황을 점검·관리하고 있습니까?</t>
  </si>
  <si>
    <t>노동조합 가입‧설립, 노사협의회 설치 관련 정보가 모두 없음 (노조 가입‧신설 관련 부당노동행위로 노동위 판정 또는 법원 판결이 유죄로 확정된 경우)</t>
  </si>
  <si>
    <t>No</t>
  </si>
  <si>
    <t>405</t>
  </si>
  <si>
    <t>이사회 의장이 사외이사인지 여부</t>
  </si>
  <si>
    <t>KSSB 요구 주제</t>
  </si>
  <si>
    <t>노동조합 가입‧설립 또는 상시근로자 30인 이상인 경우 노사협의회 설치(위원 선임, 협의회규정 제정 등)</t>
  </si>
  <si>
    <t>KSSB/기타 근거</t>
  </si>
  <si>
    <t>핵심지표 H08</t>
  </si>
  <si>
    <t>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</si>
  <si>
    <t>‘조직별 홈페이지’ 上 지속가능경영보고서, ‘환경부-물환경정보시스템’ 上 수질측정망</t>
  </si>
  <si>
    <t>관련 영역</t>
  </si>
  <si>
    <t>2단계 + 과거 또는 현재 적법한 교섭당사자로서의 노동조합과 단체교섭 진행 + 3개월마다 노사협의회 정기회의 개최 (회의록 작성·비치)</t>
  </si>
  <si>
    <t>수질오염물질 배출 = 생물화학적 산소요구량, 총 유기탄소량, 부유물질량의 배출농도(PPM, mg/l)</t>
  </si>
  <si>
    <t>406</t>
  </si>
  <si>
    <t>GAP 설명</t>
  </si>
  <si>
    <t>선임사외이사 제도 시행 여부</t>
  </si>
  <si>
    <t>개선 권고</t>
  </si>
  <si>
    <t>3단계 + 노동조합과 단체협약(임금협약 포함) 체결 + 노사협의회 정기회의 외 추가 임시회의(노사 실무협의 포함) 개최</t>
  </si>
  <si>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</si>
  <si>
    <t>GRI 303-4</t>
  </si>
  <si>
    <t>4단계 + 체결된 단체협약의 성실한 이행(단체협약 위반 시 불이행으로 간주) + 노사협의회 의결(합의) 여부</t>
  </si>
  <si>
    <t>S-3-1</t>
  </si>
  <si>
    <t>407</t>
  </si>
  <si>
    <t>여성 구성원 비율</t>
  </si>
  <si>
    <t>내부탄소가격(Internal Carbon Price)</t>
  </si>
  <si>
    <t>집행임원 제도 시행 여부</t>
  </si>
  <si>
    <t>조직의 전체 구성원 중 여성이 차지하는 비율과, 미등기임원 중 여성이 차지하는 비율의 차이가 80%를 초과하는 경우</t>
  </si>
  <si>
    <t>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｢물환경보전법｣ 제35조에 따른 수질오염물질 방지시설 면제사업장에 해당하는 경우 수질오염물질 배출 성과를 점검하지 아니할 수 있다.  조직의 수질오염물질 배출 수준을 점검하는 방식에는 1) 폐수를 방류하거나, 폐수처리시설과 관련된 수계의 평균 오염농도 대비, 2) 조직의 과거년도 배출농도를…</t>
  </si>
  <si>
    <t>KSSB 제2호 문단 29(6)</t>
  </si>
  <si>
    <t>[자동채점] | 근거충분성: 충분 | 근거: [지속가능경영보고서] 62p. 생물화학적 산소요구량(BOD) 배출량 2022년 1.69, 2023년 3.40, 2024년 0.86 / 부유물질(SS) 배출량 2022년 37.01, 2023년 28.17, 2024년 20.29(표 9번째 행, 숫자 매칭) → 제시된 3개년 데이터에서 BOD와 SS의 배출량이 전반적으로 감소 추세를 보이고 있으며, 보고서 내에서도 수질오염물질 배출량이 전년 대비 감소했음을 명시하고 있어 3단계에 해당함. | 근거페이지: 지속가능경영보고서 27p, 57p, 59p, 62p, 75p, 77p</t>
  </si>
  <si>
    <t>조직의 전체 구성원 중 여성이 차지하는 비율과, 미등기임원 중 여성이 차지하는 비율의 차이가 60% 초과 ~ 80% 이하인 경우</t>
  </si>
  <si>
    <t>환경(E)</t>
  </si>
  <si>
    <t>[26년 현황] 분기별 측정은 하나 배출농도 미공시(배출량만 공개) → 1단계(0점). 배출량 기준으로는 SS·TOC·BOD 모두 감소 추세라 농도 공시만으로 점수 회복 가능성이 가장 큰 항목.
  [개선방향] 분기 측정결과의 BOD·TOC·SS 연평균 농도(mg/L)를 4개년 공시(최우선 Quick-win). COD→TOC 전환 등 측정항목 변경 내역을 각주로 명시.
  [필요 근거] 수질 자가측정 성적서(분기별 4개년), 폐수종말처리시설 유입 확인서.</t>
  </si>
  <si>
    <t>4-②_전문성과다양성</t>
  </si>
  <si>
    <t>최종 배출한 폐수 내 생물화학적 산소요구량(BOD), 총 유기탄소량(TOC), 부유물질량(SS)의 평균 배출 농도가 저감 추세입니까?</t>
  </si>
  <si>
    <t>408</t>
  </si>
  <si>
    <t>이사회 성별구성 특례 적용대상 기업 여부</t>
  </si>
  <si>
    <t>투자의사결정·자본배치·시나리오분석에 적용하는 내부 탄소가격(Shadow Price) 정책 수립 여부를 공시하는 항목이 K-ESG v2.0 69개 기본/16개 추가 진단항목에 존재하지 않음.</t>
  </si>
  <si>
    <t>E-8-1</t>
  </si>
  <si>
    <t>조직의 전체 구성원 중 여성이 차지하는 비율과, 미등기임원 중 여성이 차지하는 비율의 차이가 40% 초과 ~ 60% 이하인 경우</t>
  </si>
  <si>
    <t>내부탄소가격 운영지침을 수립하고 투자의사결정 문서에 반영, 매년 공시</t>
  </si>
  <si>
    <t>환경 법/규제 위반</t>
  </si>
  <si>
    <t>자본시장법 §165의20</t>
  </si>
  <si>
    <t>조직의 전체 구성원 중 여성이 차지하는 비율과, 미등기임원 중 여성이 차지하는 비율의 차이가 20% 초과 ~ 40% 이하인 경우</t>
  </si>
  <si>
    <t>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</si>
  <si>
    <t>‘전자공시시스템’ 上 사업보고서, ‘조직별 홈페이지’ 上 지속가능경영보고서</t>
  </si>
  <si>
    <t>이중중대성평가(Double Materiality)</t>
  </si>
  <si>
    <t>409</t>
  </si>
  <si>
    <t>이사회 구성원 성별 다양성 확보 여부(동성 아님)</t>
  </si>
  <si>
    <t>∑(환경 법/규제 위반 건 * 처벌수위별 감점 기준)</t>
  </si>
  <si>
    <t>조직의 전체 구성원 중 여성이 차지하는 비율과, 미등기임원 중 여성이 차지하는 비율의 차이가 20% 이하인 경우 * 단, 결과값이 ‘-’ 일 경우, 본 지표에서 고려한 조직형태와 다른 경우이므로 적용하지 않음</t>
  </si>
  <si>
    <t>감점형</t>
  </si>
  <si>
    <t>S-3-2</t>
  </si>
  <si>
    <t>감점형 (기본 100점에서 위반유형별 감점 차감, 최저 0점 제한) | 세부 배점 기준: 유형 1= -50점 / 유형 2 = -30점 / 유형 3 = -10점</t>
  </si>
  <si>
    <t>여성 급여 비율 (평균 급여액 대비)</t>
  </si>
  <si>
    <t>핵심지표 H11</t>
  </si>
  <si>
    <t>KSSB 제1호 문단 17~19</t>
  </si>
  <si>
    <t>유형 1 |  지난 4개년 간 환경 법/규제 위반내역 중 판결이 확정된 건수에 대해, 처벌수위가 사법상 형벌, 벌금, 과료인 경우, 또는 국가나 지방자치단체를 당사자로 하는 계약에서 입찰참가자격을 제한당한 경우 |  유형 2 |  지난 4개년 간 환경 법/규제 위반내역 중 판결이 확정된 건수에 대해, 처벌수위가 행정상 처분 중 금전적 처분에 해당하는 과태료, 과징금, 이행강제금 등인 경우 |  유형 3 |  지난 4개년 간 환경 법/규제 위반내역 중 판결이 확정된 건수에 대해, 처벌수위가 행정상 처분 중 비금전적 처분에 해당하는 시정 명령, 시정권고, 경고 등인 경우 |  * 감점 사항이 없을 경우, 감점 없음 |  * 단, 처벌 및 조치내역의 발생횟수에 따른 감점 시 환경 분야의 총 평가 최저점은 0점으로 하한선 설정</t>
  </si>
  <si>
    <t>조직의 1인 평균 급여액 대비 ‘여성(또는 남성) 1인 평균 급여액’ 비율이 60% 이하인 경우</t>
  </si>
  <si>
    <t>KSSB 제1호 문단 위험관리 원칙 준용</t>
  </si>
  <si>
    <t>4-③_이사후보추천</t>
  </si>
  <si>
    <t>정보공시(P)</t>
  </si>
  <si>
    <t>410</t>
  </si>
  <si>
    <t>GRI 2-27(Compliance)</t>
  </si>
  <si>
    <t>이사후보추천위원회(등) 설치 여부</t>
  </si>
  <si>
    <t>재무적 중대성과 이해관계자 관점의 영향 중대성을 모두 평가하는 이중중대성 평가 절차가 P-2-1(핵심이슈 및 KPI)에 명시적으로 요구되지 않음.</t>
  </si>
  <si>
    <t>해당없음(감점형)</t>
  </si>
  <si>
    <t>조직의 1인 평균 급여액 대비 ‘여성(또는 남성) 1인 평균 급여액’ 비율이 60% 초과 ~ 70% 이하인 경우</t>
  </si>
  <si>
    <t>이중중대성 평가 프로세스를 문서화하고 중대 이슈 목록·평가방법론을 별도 공시</t>
  </si>
  <si>
    <t>G-1-2, G-3-3</t>
  </si>
  <si>
    <t>조직의 1인 평균 급여액 대비 ‘여성(또는 남성) 1인 평균 급여액’ 비율이 70% 초과 ~ 80% 이하인 경우</t>
  </si>
  <si>
    <t>조세 투명성(CbCR)</t>
  </si>
  <si>
    <t>411</t>
  </si>
  <si>
    <t>GRI 207-1~4 (KSSB 미규정이나 글로벌 공시관행)</t>
  </si>
  <si>
    <t>이사후보추천위원회 내 사외이사 비율(%)</t>
  </si>
  <si>
    <t>지배구조(G)</t>
  </si>
  <si>
    <t>조직의 1인 평균 급여액 대비 ‘여성(또는 남성) 1인 평균 급여액’ 비율이 80% 초과 ~ 90% 이하인 경우</t>
  </si>
  <si>
    <t>국가별 납세현황(Country-by-Country Reporting) 공시 항목이 K-ESG v2.0에 없음.</t>
  </si>
  <si>
    <t>조세방침 문서화 및 국가별 세전이익·법인세납부액 요약 공시</t>
  </si>
  <si>
    <t>조직의 1인 평균 급여액 대비 ‘여성(또는 남성) 1인 평균 급여액’ 비율이 90%를 초과하는 경우</t>
  </si>
  <si>
    <t>경영진 ESG-KPI 연계 보상 비율</t>
  </si>
  <si>
    <t>S-3-3</t>
  </si>
  <si>
    <t>412</t>
  </si>
  <si>
    <t>KSSB 제2호 문단 29(7)</t>
  </si>
  <si>
    <t>재선임 이사 과거 이사회 활동내역 공개 여부</t>
  </si>
  <si>
    <t>장애인 고용률</t>
  </si>
  <si>
    <t>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</si>
  <si>
    <t>직전 1개년도 장애인 의무고용률의 60% 미만일 경우</t>
  </si>
  <si>
    <t>G-경영진-추가1(성과평가 및 보상)이 일반 성과평가는 다루나, ESG/기후 성과지표의 보수 연계 비율을 정량 공시하는 항목은 부분적으로만 대응.</t>
  </si>
  <si>
    <t>[자동채점] | 근거충분성: 충분 | 근거: 위반사항 없음 | 근거페이지: 사업보고서 27~42p, 368p / 지속가능경영보고서 17~31p, 38p, 55p, 57p, 60~62p, 70p, 75p, 77p</t>
  </si>
  <si>
    <t>p28에 환경법규 위반 0건으로 명시</t>
  </si>
  <si>
    <t>대표이사·경영진 성과급 산정기준 내 ESG/기후 KPI 반영비율을 정량 공시</t>
  </si>
  <si>
    <t>직전 1개년도 장애인 고용률이 법적 의무고용률의 60% 이상 80% 미만 수준인 경우</t>
  </si>
  <si>
    <t>[26년 현황] 2025년 환경법규 위반·과태료·벌금 0건(본사), 반기보고서 제재 없음 → 100점 유지.
  [개선방향] 현행 유지. 공시 범위를 본사에서 해외법인까지 확대(법인별 위반 0건 명시)해 감점형 근거의 완결성 확보.
  [필요 근거] 법인별 환경법규 위반 현황(4개년).</t>
  </si>
  <si>
    <t>Scope 3 15개 카테고리별 세분화 공시</t>
  </si>
  <si>
    <t>최근 환경 관련 법·규제 위반으로 인해 사법상 처벌, 입찰참가자격 제한, 또는 행정상 금전적·비금전적 처분이 확정된 내역이 있습니까?</t>
  </si>
  <si>
    <t>413</t>
  </si>
  <si>
    <t>KSSB 제2호 문단 29(1)(사)</t>
  </si>
  <si>
    <t>집중투표제 채택 여부</t>
  </si>
  <si>
    <t>단계(1~3)/감점형</t>
  </si>
  <si>
    <t>E-3-2는 '범주인식-산정-검증' 3단계로 단순화되어 있어 GHG Protocol 15개 카테고리별 개별 공시 수준까지는 요구하지 않음.</t>
  </si>
  <si>
    <t>직전 1개년도 장애인 고용률이 법적 의무고용률의 80% 이상 100% 미만 수준인 경우</t>
  </si>
  <si>
    <t>핵심지표 H09</t>
  </si>
  <si>
    <t>Scope3 15개 카테고리 전체를 스크리닝하고 중요 카테고리는 개별 정량 산정치 공시</t>
  </si>
  <si>
    <t>기후변화대응</t>
  </si>
  <si>
    <t>4-④_부적격자임원선임방지</t>
  </si>
  <si>
    <t>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</si>
  <si>
    <t>직전 1개년도 장애인 고용률이 법적 의무고용률의 100% 이상 120% 미만 수준인 경우</t>
  </si>
  <si>
    <t>414</t>
  </si>
  <si>
    <t>‘조직별 홈페이지’ 上 지속가능성보고서, TCFD 보고서, 기후변화 대응계획, 이사회 또는 ESG위원회(지속가능경영위원회) 조직도 및 회의록</t>
  </si>
  <si>
    <t>기업가치훼손·주주권익침해 책임자 임원선임 방지 정책 시행여부</t>
  </si>
  <si>
    <t>기후 시나리오 정량 재무영향(1.5℃/4℃ 등)</t>
  </si>
  <si>
    <t>직전 회계연도 기준</t>
  </si>
  <si>
    <t>KSSB 제2호 문단 22, B1~B18</t>
  </si>
  <si>
    <t>핵심지표 H10</t>
  </si>
  <si>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</si>
  <si>
    <t>E-10-3/E-10-4가 물리·전환 리스크 식별은 요구하나 특정 시나리오(NGFS/IPCC) 기반 정량 재무영향 산정까지는 요구 수준이 낮음.</t>
  </si>
  <si>
    <t>S-4-1</t>
  </si>
  <si>
    <t>NGFS·IPCC 시나리오 기반 정량 재무영향(매출·비용·자산가치 영향)을 산정하여 공시</t>
  </si>
  <si>
    <t>안전보건 추진체계</t>
  </si>
  <si>
    <t>415</t>
  </si>
  <si>
    <t>1단계 |  기후변화 문제에 대응할 수 있는 담당자(혹은 기구)가 없음 |  2단계 |  기후변화 문제에 대응하기 위한 관리자(혹은 담당부서)가 있으며, 담당부서의 KPIs에 조직의 기후변화 대응 목표가 반영되어 있음 |  3단계 |  기후변화 문제에 대응하기 위한 관리직(C-level) 혹은 위원회가 있으며, 관리직의 KPIs에 조직의 기후변화 대응 목표가 반영되어 있음 (예 : 기후/지속가능성/ESG 최고 책임자, 리스크 관리 최고 책임자(CEO 제외) 등) |  4단계 |  3단계 + 기후 관련 문제를 이사회 차원의 위원회에서 관리·감독하고 있으며, 이사회 안건으로 상정하고 있음 (예 : 기후/지속가능성/ESG 위원회, 리스크 관리 위원회 등) |  5단계 |  4단계 + 조직 구성원에게 기후변화 대응 목표 KPIs 달성도에 따라 인센티브를 제공하고 있음</t>
  </si>
  <si>
    <t>횡령·배임·불공정거래 등 기소·확정판결 이력자 임원재직 여부</t>
  </si>
  <si>
    <t>생물다양성 정량 목표(No Net Loss 등)</t>
  </si>
  <si>
    <t>KSSB 제2호 문단 6(1),(2) — 기후 거버넌스</t>
  </si>
  <si>
    <t>경영자가 확고한 리더십으로 비전을 제시하고 필요한 자원을 배정하는 경우 (안전경영방침 공표, 인력·시설·장비 등 배정, 구성원에게 책임과 권한 부여)</t>
  </si>
  <si>
    <t>TNFD 권고안 (KSSB 별도 기준서 미제정)</t>
  </si>
  <si>
    <t>TCFD, GRI 2-9</t>
  </si>
  <si>
    <t>E-11 시리즈는 자연자본 식별·전략 수립 여부까지만 다루며 TNFD의 정량적 손실제로(No Net Loss) 목표설정까지는 요구하지 않음.</t>
  </si>
  <si>
    <t>안전보건관리체계 구축을 위해 근로자의 참여 및 협의를 보장하는 경우 (안전보건 정보공개, 구성원 참여절차 마련, 의견제시 문화 조성 등)</t>
  </si>
  <si>
    <t>TNFD LEAP 접근법에 따른 자연자본 영향 평가 및 정량 목표(No Net Loss/Net Positive) 수립</t>
  </si>
  <si>
    <t>핵심원칙5_사외이사책임</t>
  </si>
  <si>
    <t>5-①_이해관계없는사외이사</t>
  </si>
  <si>
    <t>501</t>
  </si>
  <si>
    <t>금융배출량(Financed Emissions, PCAF)</t>
  </si>
  <si>
    <t>사외이사 선임단계 이해관계 확인절차 시행 여부</t>
  </si>
  <si>
    <t>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기후변화 대응을 위한 조직 활동으로는 온실가스 감축, 재생에너지 확대, 산림보호, 폐기물 관리, 관련 교육 등이 있으며, 위…</t>
  </si>
  <si>
    <t>조직의 위험요인 파악과 이에 대한 제거·대체·통제 조치를 하는 경우 (유해위험요인 파악, 위험성 평가, 위험요인 제거·대체·통제 방안 마련, 교육훈련 실시)</t>
  </si>
  <si>
    <t>KSSB 제2호 문단 29A, B58~B63A</t>
  </si>
  <si>
    <t>해당없음</t>
  </si>
  <si>
    <t>제조업 등 비금융업에는 해당하지 않으나, 금융계열사를 보유한 기업집단은 KSSB상 별도 공시의무 발생 가능.</t>
  </si>
  <si>
    <t>[자동채점] | 근거충분성: 충분 | 근거: ⚠️[출처 미확정, 검색 1위 후보로 대체] [지속가능경영보고서] 75p. ESG 위원회는 ESG 전략, 계획, 주요 활동 등을 관리·감독하는 ESG 경영의 실질적 컨트롤타워 역할을 수행하고 있습니다. 안전·보건 관련 주요 계획 및 이행사항을 점검하고, 기후 위기 대응 전략 및 실행 방안, 인권리스크 등에 대해서도 논의하고 있습니다. ESG 위원회는 ESG 부문별 다양한 이슈에 대해서 검토·승인하며, 최고 의사결정 기구의 심의·승인이 필요한 사안은 이사회 안건으로 상정하고 있습니다.(줄 위치 특정 실패) → 이사회 산하 ESG 위원회를 통해 기후 위기 대응 전략 및 실행 방안을 관리·감독하고 이사회 안건으로 상정하고 있으나, 임직원 KPI 및 인센티브 연동에 대한 구체적인 근거가 확인되지 않아 4단계에 해당함. | 근거페이지: 지속가능경영보고서 12p, 14p, 20~23p, 47p, 50p, 57p, 71p, 75p, 77p</t>
  </si>
  <si>
    <t>G-1-5</t>
  </si>
  <si>
    <t>금융업 영위 계열사가 있는 경우 PCAF 기준 자산군별 금융배출량 산정·공시 검토</t>
  </si>
  <si>
    <t>(1단계) p12에서 ESG협의체가 기후변화 대응한다고 명시
 그러나 ESG협의체, ESG위원회 내부 KPI에 기후변화 대응 목표가 반영되어있는지는 확인 불가능</t>
  </si>
  <si>
    <t>중대한 위험요인에 대처할 수 있는 비상 조치계획을 수립한 경우 (위험요인별 시나리오 및 조치계획 수립, 주기적 훈련, 사업장 내 도급 근로자 등 모든 구성원에 대한 보호 여부)</t>
  </si>
  <si>
    <t>502</t>
  </si>
  <si>
    <t>사외이사(계열회사 포함) 재직기간(개인별, 월)</t>
  </si>
  <si>
    <t>[26년 현황] 이사회 산하 ESG위원회(기후리스크 관리 권한)까지 신설됐으나 담당부서·관리직 KPI에 기후목표 반영 근거가 없어 누적형 기준상 1단계(0점).
 [개선방향] 병목은 KPI 하나: ① ESG그룹·Facility 부서 KPI에 온실가스 감축률·재생에너지 전환율 반영(2단계) ② 기후 담당 C-level(예: CSO) 지정 + 해당 임원 KPI 반영(3단계) ③ ESG위원회 하반기 정기회의에서 '2050 감축계획 검토'를 심의·의결하고 이사회에 상정(4단계, SR p.21에 이미 계획 언급) → 1년 내 0→75점 가능. 이후 구성원 인센티브 연계로 5단계.
  [필요 근거] 부서·임원 KPI표, CSO 지정 문서, ESG위원회·이사회 의사록.</t>
  </si>
  <si>
    <t>조직 내 기후변화 이슈를 총괄 관리·감독하는 기구가 설치되어 있으며, 대응 목표가 임직원 KPI 및 인센티브(보상) 체계에 연동되어 운영되고 있습니까?</t>
  </si>
  <si>
    <t>5-②_충분한시간과노력</t>
  </si>
  <si>
    <t>503</t>
  </si>
  <si>
    <t>안전보건 과제 및 목표의 이행현황을 평가하고 개선하는 경우 (목표 설정, 계획대비 달성 여부 평가, 문제점에 대한 주기적 검토와 개선)</t>
  </si>
  <si>
    <t>사외이사 타기업 겸직 현황(겸직기관수 등)</t>
  </si>
  <si>
    <t>S-4-2</t>
  </si>
  <si>
    <t>산업재해율</t>
  </si>
  <si>
    <t>E-10-5</t>
  </si>
  <si>
    <t>지난 4개년 산업재해율 증가 추세</t>
  </si>
  <si>
    <t>기업가치제고계획(밸류업 프로그램) 공시</t>
  </si>
  <si>
    <t>5-③_정보자원제공</t>
  </si>
  <si>
    <t>온실가스 배출량 감축 선언</t>
  </si>
  <si>
    <t>504</t>
  </si>
  <si>
    <t>국가온실가스감축목표(NDC)에 따른 국내 2030년 온실가스 감축 목표(2018년 수준 대비 40% 감축)를 고려하여, 조직이 온실가스 배출량 감축 목표를 설정하고 있는지 여부 확인</t>
  </si>
  <si>
    <t>사외이사 지원 전담인력 배치 여부</t>
  </si>
  <si>
    <t>지난 4개년 산업재해율 변동 없음</t>
  </si>
  <si>
    <t>‘조직별 홈페이지’ 上 지속가능경영보고서, TCFD 보고서, CDP 보고서, Net-zero선언문, 기타 기후관련 이니셔티브 가입 선언 등</t>
  </si>
  <si>
    <t>한국거래소·금융위 자율공시 기준(KSSB 직접 규정 없음)</t>
  </si>
  <si>
    <t>(구분1 + 구분2) * 1/2</t>
  </si>
  <si>
    <t>505</t>
  </si>
  <si>
    <t>복합가중형</t>
  </si>
  <si>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</si>
  <si>
    <t>사외이사 대상 교육(대면/화상) 실시 여부</t>
  </si>
  <si>
    <t>S-5-1</t>
  </si>
  <si>
    <t>복합가중형: 2개 세부요소의 균등가중평균 (1/2 + 1/2) — 최종 점수 = (구분1 점수 + 구분2 점수) × 1/2 | 세부 배점 기준 (구분별): 1개 이하 충족=0점 / 2개 이하 충족=25점 / 3개 이하 충족=50점 / 4개 이하 충족=75점 / 5개 이하 충족=100점 |*각 구분(구분1, 구분2)의 항목 충족 개수 확인 후 상세 배점표 참조하여 수동 산정</t>
  </si>
  <si>
    <t>기업가치 제고 계획의 자율공시, 이사회 참여, 주주 소통 실적 등 밸류업 프로그램 관련 항목이 K-ESG v2.0에 없음.</t>
  </si>
  <si>
    <t>인권정책 수립</t>
  </si>
  <si>
    <t>기업가치 제고 계획을 수립해 이사회 승인 후 자율공시하고, 연 1회 이상 주주·시장과 소통 실적을 공시</t>
  </si>
  <si>
    <t>구분1(1/2) | 구분2(1/2)
요건1 | 조직이 온실가스 배출 감축 선언(Commitment)을 하고 이를 공개하는 경우 | 조직이 사업장 내에서 배출하는 온실가스 배출량에 대해 파악하고 있는 경우
요건2 | 조직이 온실가스 배출량 감축을 위한 기준연도와 목표연도, 감축 범위를 설정한 경우 | 조직이 공급망에서 배출하는 온실가스 배출량을 관리하고 있는 경우
요건3 | 조직이 온실가스 배출량 감축을 위해 중간목표를 포함한 중장기 로드맵을 가지고 있는 경우 | Scope1, 2 영역의 구체적인 온실가스 감축 프로그램을 이행하는 경우
요건4 | 조직이 온실가스 배출량 감축을 위한 구체적인 감축 계획을 수립한 경우 | Scope3 영역을 포함한 구체적인 온실가스 감축 프로그램을 이행하는 경우
요건5 | 조직의 온실가스 감축 목표를 SBTi 등 과학적 기반으로 검증받고 있는 경우 | 탄소제거 인증 프레임워크에 따라 인증된 탄소배출 상쇄(Carbon offset) 계획을 수립한 경우
※ 온실가스 배출 감축선언을 하지 않은 경우, 사업장 내 온실가스 배출량을 관리하지 않는 경우 0점 처리</t>
  </si>
  <si>
    <t>조직의 대외공식적 인권정책이 수립되지 않은 경우. 또는, 인권정책이 있으나, 상기의 이슈 중 1~2개에 대한 조직의 정책적 접근 방향이 설명되어 있는 경우</t>
  </si>
  <si>
    <t>KSSB 제2호 문단 33~36 — 감축목표·SBTi 정합</t>
  </si>
  <si>
    <t>506</t>
  </si>
  <si>
    <t>GRI 305-5, SBTi</t>
  </si>
  <si>
    <t>사외이사만 참여하는 별도회의 개최 여부·횟수</t>
  </si>
  <si>
    <t>해당없음(복합가중형)</t>
  </si>
  <si>
    <t>핵심원칙6_사외이사평가</t>
  </si>
  <si>
    <t>6-①_개별평가와재선임반영</t>
  </si>
  <si>
    <t>601</t>
  </si>
  <si>
    <t>사외이사 개별평가 실시 여부(자기/상호/외부평가)</t>
  </si>
  <si>
    <t>G-1-5(평가 보강)</t>
  </si>
  <si>
    <t>상기의 이슈 중 3~4개에 대한 조직의 정책적 접근방향이 설명되어 있는 경우</t>
  </si>
  <si>
    <t>상기의 이슈 중 5~6개에 대한 조직의 정책적 접근방향이 설명되어 있는 경우</t>
  </si>
  <si>
    <t>602</t>
  </si>
  <si>
    <t>사외이사 평가결과 재선임 반영 여부</t>
  </si>
  <si>
    <t>본 항목은 조직이 온실가스 배출량 감축 목표 설정 및 이를 공약하는지 여부와 이를 달성하기 위해 어떤 활동을 하고 있는지를 점검한다.  파리 협약에 따라 조직은 산업화 이전 수준보다 지구 온도 상승을 1.5°C로 제한한다는 목표에 맞게 비즈니스 활동 조정 등 온실가스 배출 감축을 위한 노력을 다해야 한다.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조직의 온실가스 배출량 감축 목표연도는 파리협약에 따른 2050년 혹은 그 이전으로 설정해야 하며,…</t>
  </si>
  <si>
    <t>상기의 이슈 중 7~8개에 대한 조직의 정책적 접근방향이 설명되어 있는 경우</t>
  </si>
  <si>
    <t>상기의 이슈 중 9개 이상에 대한 조직의 정책적 접근방향이 설명되어 있는 경우</t>
  </si>
  <si>
    <t>[자동채점] | 근거충분성: 충분 | 근거: [구분1 4/5개→75점] [온실가스 배출 감축 선언(Commitment)을 하고 이를 공개] 충족 - [지속가능경영보고서] 21p. 하나마이크론은 탄소중립이 전 세계적 과제이자 기업 경영의 핵심임을 인지하고 있으며, 이에 보다 적극적으로 대응하기 위해 2050년 온실가스 감축계획을 수립하였습니다.(5번째 줄 부근) / [감축 기준연도·목표연도·범위를 설정] 충족 - [지속가능경영보고서] 21p. 2050년까지 2023년 대비 75%의 온실가스를 감축(연평균 약 5% 감축)하고자 하며(14번째 줄 부근) / [중간목표를 포함한 중장기 로드맵 보유] 충족 - [지속가능경영보고서] 20p. 온실가스 목표는 ‘2050년 온실가스 감축계획’과 연계되어 있으며, 2030년, 2040년, 2050년까지의 중장기적 온실가스 감축목표를 나타냅니다.(9번째 줄 부근) / [구체적인 감축 계획을 수립] 충족 - [지속가능경영보고서] 21p. 재생에너지부문 10여 개, 에너지효율부문 30여 개로 구성된 총 40여 개의 감축아이템을 발굴하였으며, 발전시설 지분투자, REC 구매, PPA, 운전조건 개선, 고효율 설비 도입 등 다양한 아이템으로 구성되어 있습니다.(11번째 줄 부근) / [SBTi 등 과학적 기반으로 감축목표를 검증받음] 미충족 - 미충족 / [구분2 2/5개→25점] [사업장 내에서 배출하는 온실가스 배출량을 파악] 충족 - [지속가능경영보고서] 22p. 하나마이크론은 배출권거래제 첫 시행연도인 2015년부터 제도에 참여하여 국가 탄소중립 정책에 부응하고 있습니다. ... 온실가스 배출량 명세서를 작성하고(5번째 줄 부근) / [공급망에서 배출하는 온실가스 배출량을 관리] 미충족 - 미충족 / [Scope1,2 영역의 구체적인 감축 프로그램을 이행] 충족 - [지속가능경영보고서] 22p. 2050년 온실가스 감축목표를 달성하기 위해 내부 관리체계를 고도화하여 감축 아이템을 지속 발굴하는 한편, 생산설비 계획 비가동, 공정 및 운전조건 개선을 통하여 에너지 사용량을 절감하였으며(9번째 줄 부근) / [Scope3 영역을 포함한 구체적인 감축 프로그램을 이행] 미충족 - 미충족 / [탄소제거 인증 프레임워크에 따른 탄소배출 상쇄 계획을 수립] 미충족 - 미충족 / 평균 50.0점 | 근거페이지: 지속가능경영보고서 18p, 20~23p, 57p, 77p | [AI검토필요] 복합가중형(정밀계산) - 표본검증 권장</t>
  </si>
  <si>
    <t>6-②_보수의적정성</t>
  </si>
  <si>
    <t>603</t>
  </si>
  <si>
    <t>S-5-2</t>
  </si>
  <si>
    <t>사외이사 보수 정책 수립 여부</t>
  </si>
  <si>
    <t>인권 리스크 평가</t>
  </si>
  <si>
    <t>구분1
 1. p19에 환경경영방침으로 '온실가스 배출량을 감축하고 기후변화에 대응'
 2. p20 목표년도 30,40,50, 감축목표 (30%, 58%, 75%) 명시
 3. p20,21 중장기 로드맵
 4. p21 구체적인 감축 계획
 5. 불충족: SBTi 관련 언급 없음 
 구분2
 1. scope1/2 배출량 상세 파악 
 2. 불충족: scope 3 데이터, 관리 근거 없음
 3. 감축아이템별 연간 감축성과 (tCO2-eq) 표 존재
 4. 불충족:scope 3 포함 구체적 감축 프로그램 언급되지 않음
 5. 불충족: 상쇄 프로그램 언급 없음
 (75점+25점)/2으로 50점</t>
  </si>
  <si>
    <t>인권 리스크 평가 지표, 평가 기준, 평가 일정 등의 체계가 구축되지 않은 경우</t>
  </si>
  <si>
    <t>[26년 현황] 구분1은 SBTi 검증만 미충족(75점). 구분2는 2023년도 Scope3(Cat.1·5·6·7) 산정·고시 자료로 '공급망 배출량 관리' 요건을 인정해 3개 충족(50점) → 62.5점. 단 Scope3는 2023년 1회분이고 제3자 검증이 없으며, 2025년 값은 SR에 없음.
  [개선방향] ① Scope3를 매년 산정해 SR Data Book에 수록(카테고리 범위·산정방법·검증 여부 명시) → 요건2 방어 ② 협력사 대상 탄소감축 프로그램(에너지진단·데이터 수집·감축목표 합의) 운영 시 구분2 요건4 → 75점 ③ 중장기: SBTi 목표 검증(구분1 요건5), 인증 상쇄 계획(구분2 요건5). 29년 의무공시(KSSB 제2호)에서 Scope3·감축목표 공시가 요구되므로 산정 체계를 먼저 갖춰야 함.
  [필요 근거] 연도별 Scope3 산정보고서, 협력사 감축 프로그램 운영실적, SBTi 커밋 레터.</t>
  </si>
  <si>
    <t>인권 리스크 평가 지표, 평가 기준, 평가 일정 등의 체계가 구축되어 있는 경우 단, 해당 인권 리스크 평가 체계를 운용하지 않은 경우</t>
  </si>
  <si>
    <t>국가 2030 NDC(2018년 대비 40% 감축) 수준을 고려하여 온실가스 감축 선언을 대내외에 공개하고, Scope 1·2를 포함한 배출량 파악·관리, 중간목표 기반 중장기 로드맵, 구체적 감축 프로그램(SBTi 등 외부 검증 및 탄소상쇄 포함)을 수립 및 이행하고 있습니까?</t>
  </si>
  <si>
    <t>604</t>
  </si>
  <si>
    <t>단계(1~5)/복합가중형</t>
  </si>
  <si>
    <t>사외이사 스톡옵션 부여 여부</t>
  </si>
  <si>
    <t>G-1-1</t>
  </si>
  <si>
    <t>인권 리스크 평가 체계를 구축하고 있으나, 온라인/서면 등 비대면 방식으로 인권 리스크 진단 행위만 실시한 경우</t>
  </si>
  <si>
    <t>605</t>
  </si>
  <si>
    <t>인권 리스크 평가 체계를 구축하고 있으며, 온라인/서면 등 비대면 방식의 진단과 함께, 고위험 인권 리스크에 대해서는 현장실사까지 실시한 경우</t>
  </si>
  <si>
    <t>스톡옵션 행사조건 성과 연동 여부</t>
  </si>
  <si>
    <t>이사회 구성</t>
  </si>
  <si>
    <t>이사회 내 ESG 안건 상정</t>
  </si>
  <si>
    <t>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</si>
  <si>
    <t>인권 리스크 평가 체계를 구축하고 있으며, 비대면 진단 및 현장실사 행위를 실시한 경우. 또한, 확인된 인권 리스크에 대한 개선계획/개선활동을 추진한 경우</t>
  </si>
  <si>
    <t>이사회 또는 산하 위원회 개최 내역, 이사회 또는 산하 위원회 운영규정</t>
  </si>
  <si>
    <t>핵심원칙7_이사회운영</t>
  </si>
  <si>
    <t>S-6-1</t>
  </si>
  <si>
    <t>협력사 ESG 경영</t>
  </si>
  <si>
    <t>7-①_정기개최와운영규정</t>
  </si>
  <si>
    <t>701</t>
  </si>
  <si>
    <t>협력사 ESG 리스크 평가 지표, 평가 기준, 평가 일정 등의 관리 체계가 구축되지 않은 경우</t>
  </si>
  <si>
    <t>정기이사회 개최 여부</t>
  </si>
  <si>
    <t>복합가중형: 2개 세부요소의 균등가중평균 (1/2 + 1/2) — 최종 점수 = (영역1 점수 + 영역2 점수) × 1/2 | 세부 배점 기준 (단계별): 1단계=0점 / 2단계=50점 / 3단계=100점
*각 영역(영역1, 영역2)의 달성 단계(1~3단계) 확인 후 상세 배점표 참조하여 수동 산정</t>
  </si>
  <si>
    <t>영역1(1/2) | 영역2(1/2)
1단계 | 이사회 또는 산하 위원회에서 ESG 관련 안건을 다루고 있지 않은 경우 | 이사회 또는 산하 위원회 운영규정에 ESG 관련 사항을 명시하지 않는 경우
2단계 | 최근 1년간 ESG 관련 안건이 모두 '보고' 사항인 경우 | 이사회 또는 산하 위원회 운영규정에 'ESG'라는 단어만 기재하고 있는 경우
3단계 | 최근 1년간 ESG 관련 안건 중 '심의/의결' 사항이 있는 경우 | 이사회 또는 산하 위원회 운영규정에 ESG 이외에, 조직과 관련된 중요 ESG 이슈 또는 안건을 명시하고 있는 경우</t>
  </si>
  <si>
    <t>협력사 ESG 리스크 평가 지표, 평가 기준, 평가 일정 등의 관리 체계를 구축하고 있으나, 해당 협력사 ESG 리스크 관리 체계를 운용하지 않은 경우</t>
  </si>
  <si>
    <t>G-2-1, G-2-2</t>
  </si>
  <si>
    <t>KSSB 제1호 문단 27(1) — 이사회 ESG 안건 감독</t>
  </si>
  <si>
    <t>GRI 2-9, KCGS</t>
  </si>
  <si>
    <t>협력사 ESG 리스크 관리 체계를 구축하고 있으나, 온라인/서면 등 비대면 방식으로 리스크 진단 행위만 실시한 경우</t>
  </si>
  <si>
    <t>702</t>
  </si>
  <si>
    <t>이사회 운영규정 존재 여부</t>
  </si>
  <si>
    <t xml:space="preserve">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</si>
  <si>
    <t>협력사 ESG 리스크 관리 체계를 구축하고 있으며, 온라인/서면 등 비대면 방식의 진단과 함께, 고위험 ESG 리스크에 대해서는 현장실사 행위까지 실시한 경우</t>
  </si>
  <si>
    <t>협력사 ESG 리스크 관리 체계를 구축하고 있으며, 비대면 진단 및 현장실사 행위를 실시한 경우. 또한, 확인된 리스크에 대한 개선계획/개선활동 추진한 경우</t>
  </si>
  <si>
    <t>[자동채점] | 근거충분성: 충분 | 근거: [이사회/산하위원회의 ESG 안건 다루는 수준, 가중치0.50] [지속가능경영보고서] 46p. 특히 ESG 위원회에서 검토되어 상정된 환경, 사회와 관련된 주요 안건에 대해서 심의·승인하여 회사의 지속가능한 성장을 도모하고 있습니다.(8번째 줄 부근) → 이사회 운영 현황에서 ESG 위원회를 통해 검토 및 상정된 안건을 이사회가 심의·승인하고 있다고 명시되어 있습니다. (100점) / [운영규정 상 ESG 명시 수준, 가중치0.50] [지속가능경영보고서] 46p. ESG 위원회는 ESG 전략, 계획, 주요 활동 등을 관리·감독하는 ESG 경영의 실질적 컨트롤타워 역할을 수행하고 있습니다. 안전·보건 관련 주요 계획 및 이행사항을 점검하고, 기후 위기 대응 전략 및 실행 방안, 인권리스크 등에 대해서도 논의하고 있습니다.(11번째 줄) → 운영규정 내 ESG 위원회의 역할과 구체적인 논의 대상인 환경, 안전, 인권 등 주요 ESG 이슈가 명시되어 있습니다. (100점) | 근거페이지: 지속가능경영보고서 3p, 12p, 17p, 44~47p, 50~51p | [AI검토필요] 복합가중형(정밀계산) - 표본검증 권장</t>
  </si>
  <si>
    <t>S-6-2</t>
  </si>
  <si>
    <t>703</t>
  </si>
  <si>
    <t>협력사 ESG 지원</t>
  </si>
  <si>
    <t>(2단계+1단계) 영역1: 이사회 산하 ESG위원회가 없어 이사회 활동내역으로 평가. 
 "2024년 안전보건 관리 계획 보고의 건"이 유일한 ESG 관련 안건이며, 명칭 그대로 '보고' 사항(심의/의결 아님)이기에 50점
 영역2: 산하 ESG위원회가 없고, 이사회 관련 규정에 ESG관련 문구를 찾을 수 없었음. 0점
 2026년 3월 정기주주총회에서 정관 제 44조로 ESG위원회를 포함한 4개 위원회 설치 명문화</t>
  </si>
  <si>
    <t>이사회 개최횟수(정기/임시)</t>
  </si>
  <si>
    <t>협력사 ESG 지원에 관한 공식적 선언을 하고 있는 경우</t>
  </si>
  <si>
    <t>표 7-1-1</t>
  </si>
  <si>
    <t>[26년 현황] 2026.5 이사회에서 ESG위원회 등 4개 위원회 설치를 의결했고, ESG위원회 규정(2026.7.1 시행)에 ESG 전략·환경투자·사회공헌·ESG 정책·리스크 등 구체적 부의·보고사항이 명시돼 두 영역 모두 3단계 → 100점(hana3_fixed 75점에서 규정 원문 확인으로 상향).
  [개선방향] ① ESG위원회(7월 출범) 정기회의에서 2050 감축계획·중대성평가 결과·SR 발간을 '심의·의결' 안건으로 처리하고 이사회에 보고(규정 제12조) — E·S 안건 의결 실적을 쌓아야 보수적 해석(75점)에서도 방어 ② 이사회 안건명에서 '승인/의결'과 '보고'를 구분(2025.5.13 '보고의 건'이 '가결'로 기재되는 등 성격이 모호한 표기 정비) ③ 위원회 규정 원문을 홈페이지에 공개.
  [필요 근거] ESG위원회 의사록, 이사회 의사록(의결 안건), 규정 공개 URL.</t>
  </si>
  <si>
    <t>이사회 또는 산하 위원회 운영규정에 ESG 관련 권한과 역할이 명시되어 있으며, 실제 활동 내역을 통해 ESG 안건을 보고·심의·의결하며 관리·감독하고 있습니까?</t>
  </si>
  <si>
    <t>단계(1~3)/복합가중형</t>
  </si>
  <si>
    <t>협력사 ESG 지원 전략방향, 추진영역을 제시하고 있는 경우</t>
  </si>
  <si>
    <t>G-1-2</t>
  </si>
  <si>
    <t>704</t>
  </si>
  <si>
    <t>안건통지-개최일 평균 간격(일)</t>
  </si>
  <si>
    <t>사외이사 비율</t>
  </si>
  <si>
    <t>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</si>
  <si>
    <t>협력사 ESG 지원 전략방향 및 추진영역별 세부 실행과제를 제시하고 있는 경우</t>
  </si>
  <si>
    <t>이사회 구성현황, 전자공시시스템 [사업보고서-이사회에 관한 사항]</t>
  </si>
  <si>
    <t>지난 1개 회계연도 기준</t>
  </si>
  <si>
    <t>협력사 ESG 지원에 관한 성과관리 지표(KPIs)를 제시하고 있는 경우</t>
  </si>
  <si>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</si>
  <si>
    <t>705</t>
  </si>
  <si>
    <t>이사 평균 출석률(%)</t>
  </si>
  <si>
    <t>KSSB 제1호 문단 27(1) 취지상 이사회 역량 요구와 연관</t>
  </si>
  <si>
    <t>지배구조보고서 가이드라인, GRI 2-9</t>
  </si>
  <si>
    <t>협력사 ESG 지원에 관한 성과관리 지표(KPIs) 달성을 위해 투자재원(예산), 역량투입(인력) 방안을 마련한 경우</t>
  </si>
  <si>
    <t>S-7-1</t>
  </si>
  <si>
    <t>전략적 사회공헌</t>
  </si>
  <si>
    <t>조직의 사회공헌을 대표할 수 있으며, 대사회적 메시지로써 활용되는 사회공헌 비전, 미션, 또는 슬로건이 있는 경우</t>
  </si>
  <si>
    <t>706</t>
  </si>
  <si>
    <t>임원보수 정책 수립 여부</t>
  </si>
  <si>
    <t>조직의 사회공헌 비전, 미션, 또는 슬로건을 달성하기 위한 사회공헌 추진 분야/영역을 제시하고 있는 경우</t>
  </si>
  <si>
    <t>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</si>
  <si>
    <t>[자동채점] | 근거충분성: 충분 | 근거: [사업보고서] 345p. 당사의 이사회는 3명의 상근이사, 1명의 비상근이사(사외이사)등총 4인의 이사로 구성되어 있으며(4번째 줄 부근) → 전체 이사 4명 중 사외이사가 1명으로, 사외이사 비율이 25%에 불과하여 3인 이상의 사외이사 요건을 충족하지 못하므로 1단계에 해당합니다. | 근거페이지: 사업보고서 113p, 345~347p, 356p, 358p / 지속가능경영보고서 45~46p</t>
  </si>
  <si>
    <t>(1단계) 4인 중 1인에 불과
 2026년 보고서 기준으로는 이사 5인 중 2인이 독립이사지만 여전히 과반수를 넘지 못함</t>
  </si>
  <si>
    <t>조직의 사회공헌 추진 분야/영역별 대표 프로그램을 제시하고 있는 경우</t>
  </si>
  <si>
    <t>[26년 현황] 독립이사 1→2명(25%→40%)으로 개선됐으나 3인·과반 요건 미달 → 1단계(0점) 유지.
  [개선방향] 정관상 이사 정원이 최대 5명이므로 ① 2027년 정기주총에서 사내이사 1명을 독립이사로 대체(사내2+독립3 = 60%, 3단계 50점) 또는 ② 정관 제35조 정원 상한을 7명으로 늘린 뒤 독립이사 2명 추가(사내3+독립4 = 57%, 2단계 25점). ①이 점수·비용 면에서 유리. 신설 독립이사후보추천위원회(2026.7~)에서 하반기 중 후보군 확보 착수 필요.
  [필요 근거] 이사회 구성 로드맵, 추천위원회 의사록, 2027 주총 의안.</t>
  </si>
  <si>
    <t>경영진 견제를 위해 기업 발전에 관한 제언을 할 수 있는 사외이사의 비율이 충분합니까?</t>
  </si>
  <si>
    <t>조직의 사회공헌 대표 프로그램별 중장기 실행계획을 마련하고 있는 경우</t>
  </si>
  <si>
    <t>707</t>
  </si>
  <si>
    <t>임원보수 정책 공개 여부</t>
  </si>
  <si>
    <t>조직의 대표 사회공헌 프로그램이 사업적 또는 사회적으로 기여하는 성과를 측정할 수 있는 성과관리 지표(KPIs)가 있는 경우</t>
  </si>
  <si>
    <t>S-7-2</t>
  </si>
  <si>
    <t>구성원 봉사참여</t>
  </si>
  <si>
    <t>대표이사와 이사회 의장 분리</t>
  </si>
  <si>
    <t>봉사활동 참여 인센티브 제도가 없는 경우</t>
  </si>
  <si>
    <t>경영진의 경영활동을 감독하고 견제하는 이사회의 역할을 제대로 수행하기 위한 독립성 확보 여부를 확인 | 이사회의 의장과 경영진의 대표인 대표이사와의 분리 여부 및 선임사외이사 임명 등을 점검</t>
  </si>
  <si>
    <t>708</t>
  </si>
  <si>
    <t>이사회 구성 현황, 전자공시시스템[사업보고서-이사회에 관한 사항]</t>
  </si>
  <si>
    <t>임원배상책임보험(D&amp;O) 가입 여부</t>
  </si>
  <si>
    <t>현재, 봉사활동 참여자에 대한 인센티브 제도가 없으나, 향후, 봉사활동 참여 인센티브 제도 도입계획이 수립된 경우</t>
  </si>
  <si>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결여된 자가 이사회 의장인 경우 |  4단계 |  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의장인 경우</t>
  </si>
  <si>
    <t>상기 봉사활동 참여 인센티브 제도 중 1개를 도입하고 있는 경우</t>
  </si>
  <si>
    <t>709</t>
  </si>
  <si>
    <t>KSSB 별도 규정 없음</t>
  </si>
  <si>
    <t>이해관계자 이익 고려 여부</t>
  </si>
  <si>
    <t>지배구조보고서 가이드라인</t>
  </si>
  <si>
    <t>상기 봉사활동 참여 인센티브 제도 중 2개를 도입하고 있는 경우</t>
  </si>
  <si>
    <t>상기 봉사활동 참여 인센티브 제도 중 3개 이상을 도입하고 있는 경우</t>
  </si>
  <si>
    <t>7-②_의사록과활동공개</t>
  </si>
  <si>
    <t>S-8-1</t>
  </si>
  <si>
    <t>710</t>
  </si>
  <si>
    <t>정보보호 시스템 구축</t>
  </si>
  <si>
    <t>이사회 의사록·녹취록 작성·보존 규정 여부</t>
  </si>
  <si>
    <t>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국내외 법/규제, ESG 평가기관 등은 대표이사의 이사회 의장 분리 및 선임사외이사 임명 관련 사항을 아래와 같이 명시하고 있으므로, 해당 지표…</t>
  </si>
  <si>
    <t>등기임원이나 미등기임원(또는 이에 준하는 관리자급 구성원)을 정보보호 최고책임자(CISO)로 선임하고 있는 경우</t>
  </si>
  <si>
    <t>G-2-4</t>
  </si>
  <si>
    <t>[자동채점] | 근거충분성: 충분 | 근거: [사업보고서] 345p. 보고서 작성기준일 현재 당사의 이사회는 3명의 상근이사, 1명의 비상근이사(사외이사)등총 4인의 이사로 구성되어 있으며, 의장은 이동철 사내이사가 맡고 있습니다.(4번째 줄 부근) → 현재 대표이사인 이동철이 이사회 의장을 겸직하고 있으며, 별도의 선임사외이사 임명에 대한 언급이 없으므로 1단계에 해당합니다. | 근거페이지: 사업보고서 6p, 9p, 345~347p / 지속가능경영보고서 45~47p</t>
  </si>
  <si>
    <t>(1단계) 현재 대표이사가 이사회 의장 
 2026년 보고서 기준으로도 대표이사=이사회의장 (그 이후 개최된 주주총회 내용 등 확인필)_</t>
  </si>
  <si>
    <t>[26년 현황] 대표이사가 이사회 의장 겸직(2026.6.30 기준), 선임독립이사 미지정 → 1단계(0점).
  [개선방향] 즉시 가능한 경로: 이사회 결의만으로 '선임독립이사' 제도 도입(이해상충 안건 시 의장 대행, 독립이사 회의 소집권)하면 4단계(75점). 주총 결의가 필요 없어 투입 대비 효과가 가장 큰 과제. 중장기로 독립이사 의장 선임(5단계).
  [필요 근거] 이사회 규정 개정안, 선임독립이사 선임 결의·직무규정.</t>
  </si>
  <si>
    <t>경영진 감독 및 견제를 위한 이사회 독립성을 확보하기 위해 이사회 의장과 대표이사를 분리하거나, 선임사외이사를 임명하여 운영하고 있습니까?</t>
  </si>
  <si>
    <t>정보보호 시스템의 안정성에 대해 제3자(또는 규제기관)의 인증을 획득하고 있는 경우</t>
  </si>
  <si>
    <t>711</t>
  </si>
  <si>
    <t>개별이사 출석률·안건 찬성률(최근3개년)</t>
  </si>
  <si>
    <t>이사회 성별 다양성</t>
  </si>
  <si>
    <t>모의해킹 등 외부공격에 대한 취약성 분석을 실시하고 있는 경우</t>
  </si>
  <si>
    <t>표 7-2-1</t>
  </si>
  <si>
    <t>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</si>
  <si>
    <t>712</t>
  </si>
  <si>
    <t>정보보호 공시(의무 또는 자율)사항을 이행하고 있는 경우</t>
  </si>
  <si>
    <t>이사회 여성 비율 = (여성 이사 수 / 전체 이사회 구성원 수)</t>
  </si>
  <si>
    <t>정기공시 외 개별이사 활동내용 공개 여부</t>
  </si>
  <si>
    <t>정보보호 시스템의 손상 또는 외부공격 등 정보보안 관련 사고에 대비하기 위한 보험에 가입하고 있는 경우</t>
  </si>
  <si>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</si>
  <si>
    <t>KSSB 제1호 문단 27(1) 이사회 역량·다양성 취지 준용</t>
  </si>
  <si>
    <t>핵심원칙8_이사회내위원회</t>
  </si>
  <si>
    <t>GRI 405-1</t>
  </si>
  <si>
    <t>8-①_위원구성</t>
  </si>
  <si>
    <t>801</t>
  </si>
  <si>
    <t>총원의 과반수로 구성되었으나, 사외이사가 3인인 경우</t>
  </si>
  <si>
    <t>각 위원회 사외이사 과반수 선임 여부</t>
  </si>
  <si>
    <t>G-2-3</t>
  </si>
  <si>
    <t>3인 이상, 이사 총원의 과반수를 차지하고 있으나, 전체 이사 중 60% 미만인 경우</t>
  </si>
  <si>
    <t>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</si>
  <si>
    <t>[자동채점] | 근거충분성: 충분 | 근거: [지속가능경영보고서] 45p. 하나마이크론의 이사회는 정관과 관련 법령에 따라 주주총회에서 선임된 3명의 사내이사와 1명의 사외이사로 구성되어 있습니다.(10번째 줄 부근) → 이사회 구성원 총 4명 중 여성 이사에 대한 언급이 없으며, 이사회 내 여성 이사가 선임되어 있지 않은 것으로 판단되어 1단계에 해당합니다. | 근거페이지: 사업보고서 27p / 지속가능경영보고서 10p, 14p, 29p, 35p, 43~47p, 65p</t>
  </si>
  <si>
    <t>802</t>
  </si>
  <si>
    <t>(1단계) 여성이사없음
 2026/5 기준으로도 여성이사 없음</t>
  </si>
  <si>
    <t>3인 이상, 이사 총원의 과반수를 차지, 전체 이사 중 60% 이상 ~ 70% 미만인 경우</t>
  </si>
  <si>
    <t>감사위원회·보수(보상)위원회 전원 사외이사 구성 여부</t>
  </si>
  <si>
    <t>[26년 현황] FY2025 이사 4명·2026년 5명 모두 남성 → 1단계(0점) 유지. SR은 '선임 시 성별 차별 없음'만 서술.
  [개선방향] 2027년 정기주총에서 G-1-2 개선(사내→독립이사 대체)과 결합해 여성 독립이사 1명 선임 시 2단계(25점), 2명·30% 이상 시 5단계. 독립이사후보추천위원회 운영기준에 '후보군 성별 다양성'을 명문화.
  [필요 근거] 이사회 다양성 정책, 후보군 명단, 주총 의안.</t>
  </si>
  <si>
    <t>이사회의 다양성과 포용성을 확보하고 폭넓은 시각의 의사결정을 도모하기 위해 전체 대비 여성 이사 비율을 충분히 확보하여 운영하고 있습니까?</t>
  </si>
  <si>
    <t>3인 이상, 이사 총원의 과반수를 차지, 전체 이사 중 70% 이상 ~ 80% 미만인 경우</t>
  </si>
  <si>
    <t>사외이사 전문성</t>
  </si>
  <si>
    <t>8-②_위원회운영과보고</t>
  </si>
  <si>
    <t>3인 이상, 이사 총원의 과반수를 차지, 전체 이사 중 80% 이상인 경우</t>
  </si>
  <si>
    <t>803</t>
  </si>
  <si>
    <t>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</si>
  <si>
    <t>이사회내 위원회 명문규정 존재 여부</t>
  </si>
  <si>
    <t>사외이사 경력사항</t>
  </si>
  <si>
    <t>현재 대표이사와 이사회 의장이 동일한 경우</t>
  </si>
  <si>
    <t>1단계 |  동종산업 경력을 보유한 사외이사가 없는 경우 |  2단계 |  동종산업 경력을 보유한 사외이사가 1명 이상인 경우 |  3단계 |  동종산업 경력을 보유한 사외이사가 50% 이상인 경우</t>
  </si>
  <si>
    <t>과거 대표이사 또는 이사회 의장을 역임했던 자가 현재 이사회 의장인 경우</t>
  </si>
  <si>
    <t>KSSB 제1호 문단 27(1)ㄏ — 이사회 전문성 판단·개발계획</t>
  </si>
  <si>
    <t>지배구조보고서 가이드라인, KCGS</t>
  </si>
  <si>
    <t>현재 이사회 의장이 과거 또는 현재의 대표이사나 이사회 의장을 역임하지 않았으나, 모회사 또는 자회사의 임원 등 독립성이 결여된 자가 이사회 의장인 경우</t>
  </si>
  <si>
    <t>804</t>
  </si>
  <si>
    <t>위원회 결의사항 이사회 보고 여부</t>
  </si>
  <si>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</si>
  <si>
    <t>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글로벌 ESG 평가기관은 ‘산업 전문성을 갖춘 사외이사 비율’을 평가지표로 운용하고 있으며, 조직은 사외이사 선임 시 평가기관 등이 제시하는 ‘산업 전문성’ 요건을 참고할 수 있다. - (S&amp;P Global) 국제산업분류표준(GICS)…</t>
  </si>
  <si>
    <t>[자동채점] | 근거충분성: 충분 | 근거: [사업보고서] 355p. 정승부 | 남 | 1959.06 | 사외이사 | 사외이사 | 비상근 | 사외이사 | ㆍ성균관대 금속공학과 졸업 ㆍ한국 마이크로 전자 및 패키징학회 회장 ㆍ성균관대학교 신소재공학부 교수(7번째 줄 부근) → 사외이사 정승부는 반도체 패키징 관련 학회 회장 경력을 보유하고 있어 동종산업(반도체/전자) 경력을 갖춘 사외이사 1명 이상에 해당하여 2단계를 충족함. | 근거페이지: 사업보고서 345~347p, 355~356p, 358p / 지속가능경영보고서 45~46p</t>
  </si>
  <si>
    <t>과거 또는 현재 대표이사이거나, 이사회 의장을 역임한 적이 없으며, 회사로부터 독립성이 확보된 이사가 현재 이사회의 의장인 경우</t>
  </si>
  <si>
    <t>(1단계) 보고서에서는 사외이사의 학술경력을 제외한 경력을 찾을 수 없음 
 2026년 보고서에도 반도체 경력 사외이사 부재</t>
  </si>
  <si>
    <t>805</t>
  </si>
  <si>
    <t>위원회별 개최횟수·안건·가결여부</t>
  </si>
  <si>
    <t>[26년 현황] FY2025 사외이사는 정승부 1명(학계: 교수·학회장)이고, 2026.3 선임된 윤승한 이사도 금융·회계 감독 경력 → K-ESG 가이드라인(p.153)상 학술기관 경력은 제외되므로 동종산업 경력 독립이사 0명 → 1단계(0점).
  [개선방향] G-1-2 개선을 위한 독립이사 추가 선임 시 반도체 기업 실무·경영 경력자를 우선 선임(1명 → 2단계 50점). 독립이사 3명 중 2명 이상이 동종산업 경력이면 3단계(100점). BSM 공시에 '산업 실무경력'과 '학술 전문성'을 구분 표기.
  [필요 근거] 후보 경력증명, 개정 BSM.</t>
  </si>
  <si>
    <t>동종산업(반도체/전자)에서 경력을 보유한 사외이사가 포함되어 있습니까?</t>
  </si>
  <si>
    <t>표 8-2-1~3</t>
  </si>
  <si>
    <t>이사회 내 여성 이사가 선임되어 있지 않는 경우</t>
  </si>
  <si>
    <t>G-2-1</t>
  </si>
  <si>
    <t>이사회 활동</t>
  </si>
  <si>
    <t>전체 이사 출석률</t>
  </si>
  <si>
    <t>이사회 내 여성 이사가 1명만 선임되어 있는 경우</t>
  </si>
  <si>
    <t>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</si>
  <si>
    <t>이사회 구성 현황, 이사회 회의록 등</t>
  </si>
  <si>
    <t>핵심원칙9_내부감사기구</t>
  </si>
  <si>
    <t>9-①_독립성과전문성</t>
  </si>
  <si>
    <t>이사회 구성원 평균 출석률 = ∑(출석한 전체 이사 인원 수 / 전체 이사 정원) / 이사회 개최 횟수</t>
  </si>
  <si>
    <t>이사회 내 여성 이사가 2명 이상이며, 그 비율이 10% 이상 ~ 20% 미만인 경우</t>
  </si>
  <si>
    <t>901</t>
  </si>
  <si>
    <t>감사위원회 설치 여부</t>
  </si>
  <si>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</si>
  <si>
    <t>G-5-1, G-5-2</t>
  </si>
  <si>
    <t>이사회 내 여성 이사가 2명 이상이며, 그 비율이 20% 이상 ~ 30% 미만인 경우</t>
  </si>
  <si>
    <t>KSSB 제1호 문단 27(1)ㄒ — 보고주기 준용</t>
  </si>
  <si>
    <t>핵심지표 H12 연계</t>
  </si>
  <si>
    <t>GRI 2-9</t>
  </si>
  <si>
    <t>이사회 내 여성 이사가 2명 이상이며, 그 비율이 30% 이상인 경우 * 이사회 내 다수 성(性)이 여성일 경우에는 반대로 적용</t>
  </si>
  <si>
    <t>동종산업 경력을 보유한 사외이사가 없는 경우</t>
  </si>
  <si>
    <t>｢상법｣에서는 이사의 이사회 출석의무를 규정하고 있지 않으나, 이사 출석률은 이사가 수행해야 할 역할을 충실히 하고 있는지를 대변하는 중요한 지표가 된다.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</si>
  <si>
    <t>902</t>
  </si>
  <si>
    <t>[자동채점] | 근거충분성: 충분 | 근거: [지속가능경영보고서] 46p. 이동철 (출석률 : 100%) 김길백 (출석률 : 100%) 김동현 (출석률 : 100%) 박상묵 (출석률 : 100%) 정승부 (출석률 : 96%)(8번째 줄) → 이사회 구성원 전원의 개별 출석률이 96% 이상으로, 평균 출석률이 95% 이상인 5단계 요건을 충족합니다. | 근거페이지: 사업보고서 345~347p, 357~358p / 지속가능경영보고서 44~46p</t>
  </si>
  <si>
    <t>회계 또는 재무전문가 존재 여부</t>
  </si>
  <si>
    <t>(5단계) 2024년 이사회 운영(p46)에서 출석률 100%라고 명시</t>
  </si>
  <si>
    <t>동종산업 경력을 보유한 사외이사가 1명 이상인 경우</t>
  </si>
  <si>
    <t>[26년 현황] 2025년 및 2026년 상반기 이사회 출석률 100% → 5단계(100점) 유지.
  [개선방향] 현행 유지. SR p.49의 2025년 개최횟수·안건수 표기 불일치(요약 '개최 41회·의결 36건' vs 표 '개최 36회·의결 41건')를 정정.
  [필요 근거] 회차별 참석부.</t>
  </si>
  <si>
    <t>핵심지표 H13</t>
  </si>
  <si>
    <t>이사회 전체 이사 평균 출석률이 75% 수준 이상입니까?</t>
  </si>
  <si>
    <t>G-2-2</t>
  </si>
  <si>
    <t>동종산업 경력을 보유한 사외이사가 50% 이상인 경우</t>
  </si>
  <si>
    <t>903</t>
  </si>
  <si>
    <t>내부감사기구 운영규정 존재 여부</t>
  </si>
  <si>
    <t>사내이사 출석률</t>
  </si>
  <si>
    <t>이사회 구성원 평균 출석률이 75% 미만인 경우</t>
  </si>
  <si>
    <t>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</si>
  <si>
    <t>사내이사 평균 출석률 = ∑(출석한 사내 이사 인원 수 / 전체 이사 정원) / 이사회 개최 횟수</t>
  </si>
  <si>
    <t>이사회 구성원 평균 출석률이 75% 이상 85% 미만인 경우</t>
  </si>
  <si>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</si>
  <si>
    <t>904</t>
  </si>
  <si>
    <t>이사회 구성원 평균 출석률이 85% 이상 90% 미만인 경우</t>
  </si>
  <si>
    <t>감사기구 대상 교육 제공 여부</t>
  </si>
  <si>
    <t>이사회 구성원 평균 출석률이 90% 이상 95% 미만인 경우</t>
  </si>
  <si>
    <t>이사회 구성원 평균 출석률이 95% 이상인 경우</t>
  </si>
  <si>
    <t>｢상법｣에서는 이사의 이사회 출석의무를 규정하고 있지 않으나, 이사 출석률은 이사가 수행해야 할 역할을 충실히 하고 있는지를 대변하는 중요한 지표가 된다.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</si>
  <si>
    <t>905</t>
  </si>
  <si>
    <t>외부 전문가 자문 지원 시행 여부</t>
  </si>
  <si>
    <t>[자동채점] | 근거충분성: 충분 | 근거: [지속가능경영보고서] 46p. 이동철 (출석률 : 100%) 김길백 (출석률 : 100%) 김동현 (출석률 : 100%) 박상묵 (출석률 : 100%)(8번째 줄) → 2024년 이사회 개최 시 사내이사들의 출석률이 모두 100%로 확인되어 95% 이상인 5단계 요건을 충족함. | 근거페이지: 사업보고서 9p, 345~347p, 352p, 357p / 지속가능경영보고서 45~47p</t>
  </si>
  <si>
    <t>사내이사 평균 출석률이 75% 미만인 경우</t>
  </si>
  <si>
    <t>[26년 현황] 사내이사 출석률 100% → 5단계(100점) 유지.
  [개선방향] 현행 유지.
  [필요 근거] 회차별 참석부.</t>
  </si>
  <si>
    <t>경영진 책임 강화를 위해 이사회 수성원 중 전체 사내이사 출석률이 75% 수준 이상입니까?</t>
  </si>
  <si>
    <t>906</t>
  </si>
  <si>
    <t>경영진 부정행위 조사절차 규정 마련 여부</t>
  </si>
  <si>
    <t>사내이사 평균 출석률이 75% 이상 85% 미만인 경우</t>
  </si>
  <si>
    <t>이사회 산하 위원회</t>
  </si>
  <si>
    <t>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</si>
  <si>
    <t>이사회 산하 위원회 운영규정, 구성현황, 활동내역</t>
  </si>
  <si>
    <t>사내이사 평균 출석률이 85% 이상 90% 미만인 경우</t>
  </si>
  <si>
    <t>사내이사 평균 출석률이 90% 이상 95% 미만인 경우</t>
  </si>
  <si>
    <t>907</t>
  </si>
  <si>
    <t>내부감사기구 중요정보 접근절차 보유 여부</t>
  </si>
  <si>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</si>
  <si>
    <t>사내이사 평균 출석률이 95% 이상인 경우</t>
  </si>
  <si>
    <t>KSSB 제1호 문단 27(1)① 위임기구 지정 준용</t>
  </si>
  <si>
    <t>핵심지표 H15</t>
  </si>
  <si>
    <t>이사회 산하 모든 위원회 설치는 정관에 근거하고 있으며, 모든 위원회에 대해 ‘운영규정’을 제정하고 있는 경우</t>
  </si>
  <si>
    <t>908</t>
  </si>
  <si>
    <t>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</si>
  <si>
    <t>내부감사업무 지원조직 설치 여부</t>
  </si>
  <si>
    <t>특정 이사(사내이사, 사외이사, 기타비상임이사)가 이사회 산하 모든 위원회의 구성원으로 선임되어 있지 않은 경우</t>
  </si>
  <si>
    <t>[자동채점] | 근거충분성: 충분 | 근거: [사업보고서] 346p. 다. 이사회내 위원회 ※ 해당사항이 없습니다.(2번째 줄 부근) → 이사회 산하 위원회가 설치되어 있지 않아 모든 요건을 충족하지 못하므로 1단계(0점)에 해당합니다. | 근거페이지: 사업보고서 343p, 345~347p, 350p, 358p / 지속가능경영보고서 12p, 45~47p, 51p</t>
  </si>
  <si>
    <t>(0점) 위원회 자체가 없으며 운영규정/정관에도 위원회가 명시되어 있지 않았음
 2026년 주주총회 이후로 위원회 관련 규정 신설</t>
  </si>
  <si>
    <t>핵심지표 H12</t>
  </si>
  <si>
    <t>이사회 산하 모든 위원회가 구성원의 과반수 이상을 사외이사로 선임하고 있는 경우</t>
  </si>
  <si>
    <t>[26년 현황] FY2025 말 기준 이사회 내 위원회가 없어 0점. 2026년 4개 위원회 신설·운영규정 제정(7.1 시행)으로 FY2026 평가에서는 요건1·2 충족(25점)이 예상됨.
  [개선방향] ① 각 위원회 연 3회 이상 개최 + 심의·의결 안건 처리 실적 확보(요건4·5) — 규정상 정기회의가 ESG위원회 반기 1회, 나머지 3개 위원회 연 1회뿐이라 임시회를 계획해야 함 → 75점 ② ESG위원회·독립이사후보추천위원회를 독립이사 과반으로 재구성(요건3). 독립이사가 2명뿐이라 G-1-2(독립이사 3명 이상)와 동시 추진 시 100점 ③ SR·반기보고서 간 투명경영위원회 구성 표기 정정.
  [필요 근거] 위원회별 구성표, 연간 개최계획, 의사록.</t>
  </si>
  <si>
    <t>이사회 산하 모든 위원회가 정관 및 운영규정에 근거하여 설치·운영되고, 특정 이사의 전 위원회 겸임 방지 및 과반수 사외이사 구성을 갖추었으며, 직전 회계연도에 평균 3회 이상 개최되어 심의·의결 안건을 다루었습니까?</t>
  </si>
  <si>
    <t>909</t>
  </si>
  <si>
    <t>지원조직 독립성 확보(인사권/동의권) 여부</t>
  </si>
  <si>
    <t>직전 회계연도 중 이사회 산하 위원회 개최 횟수가 평균적으로 3회 이상인 경우</t>
  </si>
  <si>
    <t>직전 회계연도 중 이사회 산하 모든 위원회가 심의/의결 안건을 다룬 경우</t>
  </si>
  <si>
    <t>이사회 안건 처리</t>
  </si>
  <si>
    <t>910</t>
  </si>
  <si>
    <t>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</si>
  <si>
    <t>감사(위원) 독립적 보수정책 수립 여부</t>
  </si>
  <si>
    <t>안건에 대한 수정, 보완, 반대하는 의견이 한 건도 없는 경우</t>
  </si>
  <si>
    <t>수정, 보완 및 반대 의견이 나타난 안건 수 / 전체 이사회 상정 안건 수</t>
  </si>
  <si>
    <t>안건에 대한 수정, 보완, 반대하는 의견이 한 건 이상 존재하는 경우</t>
  </si>
  <si>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</si>
  <si>
    <t>911</t>
  </si>
  <si>
    <t>감사(위원) 대비 사외이사 보수 비율</t>
  </si>
  <si>
    <t>안건에 대한 수정, 보완, 반대하는 의견이 5% 이상 존재하는 경우</t>
  </si>
  <si>
    <t>주주총회 소집 공고</t>
  </si>
  <si>
    <t>주주총회 소집 공고를 서면으로만 통지하거나, 주주의 동의를 받아 전자문서로만 하는 경우</t>
  </si>
  <si>
    <t>9-②_활동내역과공개</t>
  </si>
  <si>
    <t>912</t>
  </si>
  <si>
    <t>내부감사기구 정기회의 개최 여부</t>
  </si>
  <si>
    <t>서면 또는 전자문서로 통지하는 방식 外 1개의 추가 방식을 이용하는 경우</t>
  </si>
  <si>
    <t>서면 또는 전자문서로 통지하는 방식 外 2개의 추가 방식을 이용하는 경우</t>
  </si>
  <si>
    <t>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</si>
  <si>
    <t>913</t>
  </si>
  <si>
    <t>서면 또는 전자문서로 통지하는 방식 外 3개의 추가 방식을 이용하는 경우</t>
  </si>
  <si>
    <t>감사회의록 작성·보존 규정 여부</t>
  </si>
  <si>
    <t>[채점 실패-예외] ServerError: 503 UNAVAILABLE. {'error': {'code': 503, 'message': 'The service is currently unavailable.', 'status': 'UNAVAILABLE'}}</t>
  </si>
  <si>
    <t>(1단계) 지속가능경영 p46에서 2022~2024까지 안건 전부 찬성 100%</t>
  </si>
  <si>
    <t>[26년 현황] 2023년~2026년 상반기 전 안건 원안 찬성, 수정·보완 의견 기록 없음 → 1단계(0점).
  [개선방향] 7월 출범한 위원회 사전심의에서 제기된 수정·보완·조건부 의견과 그 반영 결과를 이사회 의사록 및 사업보고서 '이사회 활동내역'에 기재(형식적 반대의견 생성은 지양). 수정·보완 1건 이상 시 2단계(50점), 전체 안건의 5% 이상 시 3단계.
  [필요 근거] 위원회 사전심의 기록, 수정 전후 안건 비교표.</t>
  </si>
  <si>
    <t>이사회 안건 중 수정·보완·반대 의견이 제시된 안건이 전혀 없습니까(1단계), 1건 이상 존재합니까(2단계), 아니면 5% 이상 존재합니까(3단계)?</t>
  </si>
  <si>
    <t>서면 또는 전자문서로 통지하는 방식 外 4개 이상의 추가 방식을 이용하는 경우</t>
  </si>
  <si>
    <t>914</t>
  </si>
  <si>
    <t>감사위원회 개별이사 출석률(최근3개년,%)</t>
  </si>
  <si>
    <t>주주권리</t>
  </si>
  <si>
    <t>주주총회 개최일을 지정하는데 있어, 재무결산 및 감사보고서 발행일을 고려함</t>
  </si>
  <si>
    <t>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</si>
  <si>
    <t>표 9-2-1</t>
  </si>
  <si>
    <t>주주총회 소집 통지서 外 다음의 방식에 따른 공고 1) 조직의 사업장 게시판, 2) 조직의 온라인 홈페이지, 3) 명의개서대행사, 4) 일간지(신문), 5) 전자공시시스템, 6) 기타</t>
  </si>
  <si>
    <t>주주총회 개최일을 지정하는데 있어, 조직의 연간 업무계획 및 경영진 등의 업무일정을 고려함</t>
  </si>
  <si>
    <t>핵심원칙10_외부감사인</t>
  </si>
  <si>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</si>
  <si>
    <t>10-①_선임시독립성전문성</t>
  </si>
  <si>
    <t>KSSB 주주총회 절차 별도 규정 없음</t>
  </si>
  <si>
    <t>1001</t>
  </si>
  <si>
    <t>외부감사인 선임 관련 정책 마련 여부</t>
  </si>
  <si>
    <t>G-5-1(외부감사 보강)</t>
  </si>
  <si>
    <t>주주총회 개최일을 지정하는데 있어, 연기금, 기관투자자, 의결권자문사 등의 주요 시장 참여자 의견을 수렴함</t>
  </si>
  <si>
    <t>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</si>
  <si>
    <t>1002</t>
  </si>
  <si>
    <t>[자동채점] | 근거충분성: 불충분 | 근거: [사업보고서] 350p. 당사 이사회에서는 주주권 강화와 주주 편의를 제고하기 위해 2018년 3월 제17기 정기주주총회부터 상법 제368조의4에 따른 전자투표제도를 채택하여 전자투표제도를 시행해 오고 있습니다.(4번째 줄 부근) → 제공된 근거 자료에서 서면 또는 전자문서 통지 외에 추가적인 공고 방식(사업장 게시판, 일간지 등)을 활용한다는 구체적인 언급이 확인되지 않아 1단계로 판단함. | 근거페이지: 사업보고서 11p, 15p, 342p, 345~346p, 348p, 350p, 356p / 지속가능경영보고서 9p, 15p, 21p, 26p, 32p, 45p</t>
  </si>
  <si>
    <t>외부감사인 독립성 훼손우려 상황 유무</t>
  </si>
  <si>
    <t>(1단계) 주주총회 소집 공고 안내 방식에 대해 사업보고서, 지속가능경영 모두 언급되지 않음 2026년 현황은 확인필</t>
  </si>
  <si>
    <t>주주총회 개최일을 지정하는데 있어, 소액주주 및 기타 이해관계자 등의 의견을 수렴함</t>
  </si>
  <si>
    <t>[26년 현황] 문서로 확인되는 추가 공고채널은 홈페이지(정관상 공고방법) 1개 → 2단계(25점). 이사회 소집결의가 주총 16일 전(3.10→3.26)이라 '4주 전 소집공고'도 미충족.
  [개선방향] 2027년 정기주총부터 ① 소집공고문에 공고채널(DART 전자공시, 홈페이지, 한국예탁결제원 통지, 본사 게시판, 일간지)을 명시적으로 열거·공시(4개 이상 시 5단계, 비용 거의 없음) ② 결산일정을 앞당겨 주총 4주 전 소집공고 실시.
  [필요 근거] DART 접수증, 홈페이지 게시 캡처, 예탁원 통지 확인서, 게시판 사진.</t>
  </si>
  <si>
    <t>비감사용역 사전승인 등 4가지 기준</t>
  </si>
  <si>
    <t>귀사는 주주총회 소집 공고 시 서면 또는 전자문서 통지 외에 추가 공고 방식(사업장 게시판, 온라인 홈페이지, 명의개서대행사, 일간지, 전자공시 등)을 전혀 활용하지 않습니까(1단계), 1개(2단계), 2개(3단계), 3개(4단계), 아니면 4개 이상(5단계) 활용하고 있습니까?</t>
  </si>
  <si>
    <t>주주총회 개최일을 지정하는데 있어, 주주총회 예상 집중일을 고려함</t>
  </si>
  <si>
    <t>10-②_주기적의사소통</t>
  </si>
  <si>
    <t>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</si>
  <si>
    <t>1003</t>
  </si>
  <si>
    <t>배당정책 및 이행</t>
  </si>
  <si>
    <t>주주총회 개최일, 주주총회 개최 계획</t>
  </si>
  <si>
    <t>내부감사기구-외부감사인 분기1회 이상 경영진 없이 소통 시행여부</t>
  </si>
  <si>
    <t>주주에게 배당정책 및 배당계획을 통지하지 아니한 경우</t>
  </si>
  <si>
    <t>핵심지표 H14</t>
  </si>
  <si>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</si>
  <si>
    <t>주주에게 배당정책 및 배당계획을 연 1회 이상 통지한 경우</t>
  </si>
  <si>
    <t>1004</t>
  </si>
  <si>
    <t>재무제표 정기주총 6주 전 제공 여부</t>
  </si>
  <si>
    <t>주주에게 배당정책 및 배당계획을 연 1회 인상 통지하였으며, 배당정책 및 배당계획대로 배당을 집행한 경우</t>
  </si>
  <si>
    <t>윤리규범 위반사항 공시</t>
  </si>
  <si>
    <t>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</si>
  <si>
    <t>윤리규범 위반 건수를 공시하고 있는 경우</t>
  </si>
  <si>
    <t>[자동채점] | 근거충분성: 부분적 | 근거: [사업보고서] 348p. 제23기 별도 및 연결 결산 재무제표 완료의 건(10번째 줄 부근) → 제시된 근거에서 재무결산 및 감사보고서 완료를 주주총회 소집 전 이사회에서 처리한 사실은 확인되나, 주주총회 개최일 지정 시 시장 참여자나 소액주주의 의견을 수렴하거나 집중일을 고려한다는 구체적인 정책이나 절차에 대한 언급이 없어 1단계 요건만 충족함. | 근거페이지: 사업보고서 11p, 15p, 324p, 345~348p, 350p, 352p, 366~367p / 지속가능경영보고서 15p</t>
  </si>
  <si>
    <t>지속가능경영에서는 주주총회 개최일 지정 방식에 대해 언급되지 않음
 사업보고서에는 3/13 제23기 별도 및 연결 결산 재무제표 완료의 건, 제23기 정기주주총회 회의 목적사항 승인 결정, 제23기 정기주주총회 소집의 건이 같은 날로 나와 있음 
 사업보고서 p363에는 2020년 분할 당시 12/08 주주총회 소집 통지일, 12/23 분할계획서 승인을 위한 주주총회일 이라고 명시, 이외 내용은 찾을 수 없음. 
 2026년 확인필</t>
  </si>
  <si>
    <t>1005</t>
  </si>
  <si>
    <t>윤리규범 위반한 구성원 수를 공시하고 있는 경우</t>
  </si>
  <si>
    <t>연결재무제표 정기주총 4주 전 제공 여부</t>
  </si>
  <si>
    <t>[26년 현황] 주총일(3.26) 선정 근거·의견수렴·집중일 검토 기록이 공시되지 않음 → 0점. 2026.3.26의 집중일 해당 여부는 제공 문서로 확인 불가.
  [개선방향] 2027년 주총 준비 시 '주총일 선정 체크리스트'(①감사보고서 수령일 ②경영진 일정 ③기관·의결권자문사 의견 ④소액주주 의견 — 2026년 도입한 반기별 주주간담회 활용 ⑤상장협 집중예상일 회피)를 이사회 소집 안건에 첨부하고 사업보고서·SR에 공시 → 5개 충족 시 100점(비용 거의 없음).
  [필요 근거] 체크리스트, 주주간담회 의견수렴 기록, 집중일 확인자료.</t>
  </si>
  <si>
    <t>주주총회 개최일 지정 시 재무결산·감사보고서 발행일 및 내부 업무일정을 고려하고, 주요 시장 참여자(연기금·기관투자자·의결권자문사)와 소액주주의 의견을 수렴하며, 주주총회 예상 집중일을 반영하고 있습니까?</t>
  </si>
  <si>
    <t>윤리규범 위반 건과 관련한 처벌내역(사법상, 행정상)을 공시하고 있는 경우</t>
  </si>
  <si>
    <t>집중/전자/서면 투표제</t>
  </si>
  <si>
    <t>기타_기업가치제고계획</t>
  </si>
  <si>
    <t>윤리규범 위반 건과 관련된 구성원 처분내역(인사상)을 공시하고 있는 경우</t>
  </si>
  <si>
    <t>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</si>
  <si>
    <t>11_기업가치제고계획</t>
  </si>
  <si>
    <t>조직의 정관, 이사회 결의사항</t>
  </si>
  <si>
    <t>1101</t>
  </si>
  <si>
    <t>기업가치 제고 계획 자율공시 여부</t>
  </si>
  <si>
    <t>윤리규범 위반 사건 재발방지를 위한 개선활동 및 계획을 공시하고 있는 경우 * 선택 항목의 합산값으로 평가</t>
  </si>
  <si>
    <t>복합가중형 (3개 세부요소의 가중평균) | 최종 점수 = (집중투표제 점수 × 1/5) + (서면투표제 점수 × 2/5) + (전자투표제 점수 × 2/5) | 배점기준: 1단계 0점, 2단계 100점
*각 영역별 달성 단계(1~2단계) 산출 후 가중평균 산식에 따라 산정</t>
  </si>
  <si>
    <t>내부감사부서 설치</t>
  </si>
  <si>
    <t>집중투표제 도입(1/5) | 서면투표제 도입(2/5) | 전자투표제 도입(2/5)
1단계 | 정관에서 집중투표제를 배제하고 있다. | 정관에서 서면투표제를 배제하고 있다. | 정관에서 전자투표제를 배제하고 있다.
2단계 | 정관에서 집중투표제를 명시하고 있다. | 정관에서 서면투표제를 명시하고 있다. | 정관에서 전자투표제를 명시하거나, 이사회 결의로 도입하고 있다.</t>
  </si>
  <si>
    <t>내부감사부서를 두고 있지 않거나, 감사 관련 업무를 수행하는 부서 또는 업무분장을 두고 있지 않은 경우</t>
  </si>
  <si>
    <t>GAP(밸류업 프로그램-K-ESG 미대응)</t>
  </si>
  <si>
    <t>내부감사부서를 두고 있지 않으나, 감사 관련 업무를 수행하는 기타 부서 및 업무분장이 있는 경우</t>
  </si>
  <si>
    <t>밸류업 프로그램</t>
  </si>
  <si>
    <t>내부감사부서를 두고 있으나, 내부감사부서의 업무분장 등에 감사위원회 업무지원과 관련한 내용을 명시하지 않은 경우</t>
  </si>
  <si>
    <t>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</si>
  <si>
    <t>1102</t>
  </si>
  <si>
    <t>내부감사부서를 두고 있으며, 내부감사부서의 업무분장 등에 감사위원회 업무지원과 관련한 내용을 명시한 경우</t>
  </si>
  <si>
    <t>기업가치 제고 계획 수립·공시 과정 이사회 참여 여부</t>
  </si>
  <si>
    <t>[자동채점] | 근거충분성: 충분 | 근거: [집중투표제, 가중치0.20] [사업보고서] 350p. 당사는 정관상 규정에 따라 집중투표제를 적용하지 않고 있으며(3번째 줄 부근) → 제공된 자료에서 회사가 정관상 규정을 통해 집중투표제를 적용하지 않고 배제하고 있음을 명시하고 있습니다. (0점) / [서면투표제, 가중치0.40] [사업보고서] 350p. 서면투표제 또는 전자투표제의 시행에 관한 규정을 정관에 별도로 두고 있지 않습니다.(4번째 줄) → 제시된 근거 자료에 따르면 당사는 정관에 서면투표제 시행에 관한 규정을 두고 있지 않으므로 정관에서 배제된 것으로 판단됩니다. (0점) / [전자투표제, 가중치0.40] [사업보고서] 350p. 당사 이사회에서는 주주권 강화와 주주 편의를 제고하기 위해 2018년 3월 제17기 정기주주총회부터 상법 제368조의4에 따른 전자투표제도를 채택하여 전자투표제도를 시행해 오고 있습니다.(4번째 줄 부근) → 정관에 전자투표제 관련 규정이 없음에도 불구하고 이사회 결의를 통해 전자투표제도를 도입하여 시행하고 있습니다. (100점) | 근거페이지: 사업보고서 15p, 342p, 345~346p, 348~350p, 355p / 지속가능경영보고서 15p, 45~46p, 75p, 79p | [AI검토필요] 복합가중형(정밀계산) - 표본검증 권장</t>
  </si>
  <si>
    <t>사업보고서 p166
 집중투표제: 배제(1단계)
 서면투표제: 미도입(1단계)
 전자투표제: 도입(2단계)
 100*2/5로 40점</t>
  </si>
  <si>
    <t>감사위원회 지원 역할만을 수행하는 별도 전담부서 또는 업무분장이 규정되어 있는 경우</t>
  </si>
  <si>
    <t>[26년 현황] 전자투표만 도입, 집중투표 배제·서면투표 미도입 → 40점(변동 없음). 2026년 2월 소액주주들이 집중투표 배제 삭제를 요구한 주주제안(요건 미충족으로 미상정)이 있었음.
  [개선방향] ① 2027년 정기주총 정관변경으로 서면투표제 도입(+40 → 80점) ② 집중투표 배제 조항 삭제(+20 → 100점). 이미 주주제안으로 제기된 사안이라 재상정·주주 갈등 리스크를 선제 관리하는 측면에서도 우선순위 높음.
  [필요 근거] 정관 변경안, 이사회 결의, 서면투표 시행 공고.</t>
  </si>
  <si>
    <t>집중/전자/서면 투표제에 대한 현황을 관리·공시하고 있습니까?</t>
  </si>
  <si>
    <t>단계(1~2)/복합가중형</t>
  </si>
  <si>
    <t>감사기구 전문성 (감사기구 내 회계/재무 전문가)</t>
  </si>
  <si>
    <t>감사위원회 내 회계 및 재무 분야 전문성을 보유한 감사위원이 1명 선임되어 있는 경우</t>
  </si>
  <si>
    <t>1103</t>
  </si>
  <si>
    <t>기업가치 제고 계획 주주·시장 소통 실적 여부</t>
  </si>
  <si>
    <t>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</si>
  <si>
    <t>배정정책, 현금현물배당결정</t>
  </si>
  <si>
    <t>감사위원회 내 회계 및 재무 전문가가 1명 이상 선임되어 있으나, 전체 감사위원 중 50% 이하인 경우</t>
  </si>
  <si>
    <t>감사위원회 내 회계 및 재무 전문가가 1명 이상 선임되어 있으며, 전체 감사위원 중 50% 초과한 경우</t>
  </si>
  <si>
    <t>지속가능경영보고서_공시일반</t>
  </si>
  <si>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</si>
  <si>
    <t>E-기후변화 대응-추가1</t>
  </si>
  <si>
    <t>산림탄소흡수량</t>
  </si>
  <si>
    <t>보고서발간여부</t>
  </si>
  <si>
    <t>지배구조보고서 가이드라인, 한국거래소 지침</t>
  </si>
  <si>
    <t>S01</t>
  </si>
  <si>
    <t>과거 4년간 산림탄소흡수량 정보 없음</t>
  </si>
  <si>
    <t>당해연도 지속가능경영보고서 발간 여부</t>
  </si>
  <si>
    <t>지속가능경영보고서</t>
  </si>
  <si>
    <t>과거 4년간 산림탄소흡수량 공시</t>
  </si>
  <si>
    <t>핵심 종속변수(도표5 등에 사용)</t>
  </si>
  <si>
    <t>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조직의 단순한 배당성향 및 배당수익률 증가는 주주가치 증진과 직접 연계되어 있지 않다. 해당 항목은 주주가치 증진을 위해 배당성향 및 배당수익률 증가를 요구하는 것이 아니라, 주주가…</t>
  </si>
  <si>
    <t>과거 4년간 자사 배출량 대비 산림탄소흡수 상쇄량 하락 추세</t>
  </si>
  <si>
    <t>S02</t>
  </si>
  <si>
    <t>[자동채점] | 근거충분성: 충분 | 근거: [사업보고서] 324p. 당사는 정관에 의거 이사회 및 주주총회의 결의를 통해 배당을 실시하고 있습니다. 배당가능이익 범위 내에서 성장을 위한 투자, 주주가치 제고 등을 고려하여 적정수준의 배당율을 결정하고 있으며, 향후에도 미래 성장과 이익의 주주 환원을 균형있게 고려하여 배당을 실시할 계획이며(3번째 줄 부근) → 사업보고서를 통해 배당정책 및 계획을 주주에게 통지하고 있으나, 배당 예측가능성 제공 여부가 'X'로 기재되어 있어 배당정책 및 계획대로 배당을 집행했다는 구체적인 사전 통지 체계가 확인되지 않아 2단계로 판단함. | 근거페이지: 사업보고서 254p, 324~325p, 345p, 348p, 367p / 지속가능경영보고서 32p, 45p</t>
  </si>
  <si>
    <t>(3단계) 지속가능경영은 명시되지 않음, 
 사업보고서에 배당정책 명시
 매 사업연도 사업보고서를 통해 연 1회 정기 공시
 최근 3사업연도 주요 배당지표로 배당정책대로 집행되었음을 알 수 있음</t>
  </si>
  <si>
    <t>발간 채널(자사 홈페이지 게시 / 거래소(KIND) 공시)</t>
  </si>
  <si>
    <t>[26년 현황] 정량 배당정책(FCFF 5% 이상)을 사업보고서·의안설명서·기업가치제고 보고서로 공시하고 FY2025 정책 초과 배당(주당 70원) 집행 → 3단계(100점).
  [개선방향] 현행 유지. 개정 정관(제58조 ③ 이사회 결의로 배당기준일 지정)을 활용해 '배당액 확정 후 기준일 지정'을 FY2026 결산배당부터 실제 적용하면 거래소 지배구조 핵심지표(배당 예측가능성)도 함께 충족.
  [필요 근거] 이사회 배당결의·기준일 공고, FCFF 산정표.</t>
  </si>
  <si>
    <t>귀사는 직전 회계연도에 주주를 대상으로 배당정책 및 배당계획을 통지하지 않았습니까(1단계), 연 1회 이상 통지하였습니까(2단계), 아니면 연 1회 이상 통지하고 통지된 정책 및 계획대로 배당을 집행하였습니까(3단계)?</t>
  </si>
  <si>
    <t>Report vs ReportKRX 구분</t>
  </si>
  <si>
    <t>윤리경영</t>
  </si>
  <si>
    <t>과거 4년간 자사 배출량 대비 산림탄소흡수 상쇄량 상승 추세</t>
  </si>
  <si>
    <t>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</si>
  <si>
    <t>S03</t>
  </si>
  <si>
    <t>윤리규범 위반 내역 및 조치경과</t>
  </si>
  <si>
    <t>보고서 분량(단어수/페이지수)</t>
  </si>
  <si>
    <t>과거 4년간 자사 배출량 대비 산림탄소흡수 상쇄량 매년 상승 추세 * 3개년 이하 데이터 보유 시 해당 데이터로 추세 산정</t>
  </si>
  <si>
    <t>E-기후변화 대응-추가2</t>
  </si>
  <si>
    <t>친환경 차량 보유 비율</t>
  </si>
  <si>
    <t>정보량 대리변수</t>
  </si>
  <si>
    <t>조직 내 친환경 차량의 보유 비율 0% ~ 20%</t>
  </si>
  <si>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</si>
  <si>
    <t>KSSB 제1호 위험관리 원칙 준용</t>
  </si>
  <si>
    <t>GRI 205, 2-26</t>
  </si>
  <si>
    <t>조직 내 친환경 차량의 보유 비율 21% ~ 40% 이내</t>
  </si>
  <si>
    <t>S04</t>
  </si>
  <si>
    <t>GRI Standards Index 수록 여부</t>
  </si>
  <si>
    <t>조직 내 친환경 차량의 보유 비율 41% ~ 60% 이내</t>
  </si>
  <si>
    <t>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</si>
  <si>
    <t>조직 내 친환경 차량의 보유 비율 61% ~ 80% 이내</t>
  </si>
  <si>
    <t>[자동채점] | 근거충분성: 충분 | 근거: [지속가능경영보고서] 70p. | 윤리강령 위반 | 건 0 0 | | | 0 |(3번째 줄 부근) → 윤리강령 위반 건수를 0건으로 공시하여 요건1을 충족하였으나, 위반 구성원 수, 처벌 및 처분 내역, 구체적인 재발방지 계획에 대한 공시는 확인되지 않아 1단계에 해당함. | 근거페이지: 지속가능경영보고서 28p, 34p, 38~39p, 48~49p, 70p</t>
  </si>
  <si>
    <t>(5단계) 지속가능경영 p49 "윤리강령 및 법규 위반사항 0건"</t>
  </si>
  <si>
    <t>[26년 현황] 2023~2025년 윤리강령 위반·법적 조치 0건 공시 → 5단계(100점) 유지(0건 공시를 전 요건 충족으로 보는 해석 적용).
  [개선방향] 해석 리스크 차단을 위해 위반 건수·위반자 수·사법/행정 처벌·인사 처분·재발방지 활동의 5개 항목을 '0건'이라도 표 형태로 각각 공시. 해외법인 포함 범위로 확대.
  [필요 근거] 5개 항목 공시표, 윤리교육·제보 운영 실적.</t>
  </si>
  <si>
    <t>S05</t>
  </si>
  <si>
    <t>조직 내 친환경 차량의 보유 비율 81% ~ 100% 이내</t>
  </si>
  <si>
    <t>윤리규범 위반 건수, 위반 구성원 수, 사법·행정상 처벌내역, 인사상 구성원 처분내역, 그리고 재발방지를 위한 개선활동 및 계획을 대외에 공시하고 있습니까?</t>
  </si>
  <si>
    <t>제3자 검증(외부 검증) 여부</t>
  </si>
  <si>
    <t>S-동반성장-추가1</t>
  </si>
  <si>
    <t>공급망 안정</t>
  </si>
  <si>
    <t>감사기구</t>
  </si>
  <si>
    <t>1차 협력사가 원부자재를 생산 및 공급하는데 영향을 미칠 수 있는 정치, 경제, 사회, 문화 분야의 리스크를 모니터링 하고 있는 경우</t>
  </si>
  <si>
    <t>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</si>
  <si>
    <t>내부감사부서 등 조직도 및 업무분장</t>
  </si>
  <si>
    <t>1차 협력사 外 2차 이하(N차 협력사, 또는 원산지)에 잠재되어 있는 원부자재 생산-공급 차질 리스크를 모니터링 하고 있는 경우</t>
  </si>
  <si>
    <t>S06</t>
  </si>
  <si>
    <t>ESG위원회/거버넌스 조직도 수록 여부</t>
  </si>
  <si>
    <t>특정 지역 및 국가의 협력사에만 의존하지 않고, 공급선을 다변화하였거나, 대체가능한 협력사를 발굴/확보하고 있는 경우</t>
  </si>
  <si>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</si>
  <si>
    <t>KSSB 제1호 문단 27(1) 내부통제 취지 준용</t>
  </si>
  <si>
    <t>외감법, KCGS</t>
  </si>
  <si>
    <t>특정 물류/유통망에 의존하지 않고, 물류/유통망을 다변화하였거나, 대체 물류/유통망을 발굴/확보하고 있는 경우</t>
  </si>
  <si>
    <t>공급망 불안정 발생에 대비하여 충분한 원부자재 재고를 확보하고 있거나, 원부자재 생산을 조직이 내재화한 경우</t>
  </si>
  <si>
    <t>출처: 3_ESG_지배구조_크롤링_체크리스트.xlsx (한국거래소 「기업지배구조보고서 가이드라인」 2025년 개정판 기준)</t>
  </si>
  <si>
    <t>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국내 ｢상법｣에서는 상장회사 등에 내부감사부서 설치를 강제하는 규정이 없으나, ｢금융회사의 지배구조에 관한 법률｣ 제20조 및 ｢공공기관 운영에 관한 법률｣ 제32조에는 ‘감사위원회 또는 감사’의…</t>
  </si>
  <si>
    <t>S-소비자-추가2</t>
  </si>
  <si>
    <t>소비자 안전</t>
  </si>
  <si>
    <t>[자동채점] | 근거충분성: 충분 | 근거: [사업보고서] 349p. 보고서 작성기준일 현재 회사 내에 감사의 직무수행을 보조하기 위한 별도의 지원조직은 있지 않으나, 경영관리팀에서 감사의 직무수행을 보조하는 역할을 하고 있습니다.(3번째 줄 부근) → 내부감사부서가 별도로 설치되어 있지 않으나, 경영관리팀이 감사의 직무수행을 보조하는 업무를 수행하고 있어 2단계에 해당함. | 근거페이지: 사업보고서 341~344p, 347p, 349p, 358p / 지속가능경영보고서 47p, 50~51p</t>
  </si>
  <si>
    <t>(2단계) 상근감사제도를 운영중이며 상근감사 1명이 감사업무 수행</t>
  </si>
  <si>
    <t>소비자안전 관련 규정 및 활동이 없음</t>
  </si>
  <si>
    <t>"연계 K-ESG 분류코드"가 GAP으로 표시된 항목은 K-ESG v2.0에 대응 항목이 없는 지표입니다 (예: 기업가치제고계획/밸류업 프로그램).</t>
  </si>
  <si>
    <t>[26년 현황] FY2025 말 기준 별도 내부감사부서 없이 경영관리팀이 감사를 보조 → 2단계(25점). 2026년 감사실 신설로 FY2026 평가에서는 3~4단계(50~75점) 예상.
  [개선방향] 감사실 인력이 1명이라 실효성이 제한적. 감사실 업무분장을 '감사(위원회) 직무 지원 전담'으로 명확화하고 내부회계관리 실무는 분리하면 5단계. 감사위원회 전환(G-5-2) 시 감사실을 위원회 지원조직으로 지정.
  [필요 근거] 조직규정·업무분장표, 감사실 인력 계획.</t>
  </si>
  <si>
    <t>조직의 감사위원회가 효율적인 역할을 수행할 수 있도록 이를 지원하는 부서 및 업무분장을 명확하게 지정하여 운영하고 있습니까?</t>
  </si>
  <si>
    <t>소비자안전 관련 규정이 있으나 활동이 없음</t>
  </si>
  <si>
    <t>소비자안전 관련 규정이 있고, 계획을 수립하고 있으나, 운영 실적이 미흡함</t>
  </si>
  <si>
    <t>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</si>
  <si>
    <t>감사위원회(또는 감사) 구성</t>
  </si>
  <si>
    <t>소비자안전 관련 규정이 있고, 소비자안전 보장을 위한 계획을 수립하고 운영하고 있음</t>
  </si>
  <si>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</si>
  <si>
    <t>소비자안전 관련 규정이 있고, 소비자안전 보장을 위한 계획을 수립하고 운영하고 있으며, 소비자안전 확보 노력이 지속적으로 진행되고 있음</t>
  </si>
  <si>
    <t>KSSB 제1호 문단 27(1)ㄏ 전문성 취지 준용</t>
  </si>
  <si>
    <t>KCGS</t>
  </si>
  <si>
    <t>S-노동-추가1</t>
  </si>
  <si>
    <t>정규직 중 고졸자 비율</t>
  </si>
  <si>
    <t>정규직(무기계약직 포함) 중 고졸자 비율을 공시하지 않는 경우</t>
  </si>
  <si>
    <t>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</si>
  <si>
    <t>정규직(무기계약직 포함) 중 고졸자 비율을 공시하고 공공기관 평균 대비 고졸자 비율이 적은 경우 (공공기관의 50% 미만)</t>
  </si>
  <si>
    <t>[자동채점] | 근거충분성: 충분 | 근거: [사업보고서] 347p. 당사는 공시기준일 현재 감사위원회를 별도로 설치하고 있지 아니하며, 정관에 의거 주주총회 결의에 따라 선임된 상근감사 1명이 감사업무를 수행하고 있습니다.(12번째 줄 부근) → 감사위원회를 설치하지 않고 상근감사 1인 체제로 운영 중이므로, 감사위원회 내 회계/재무 전문가 비율을 산정하는 단계형 평가 기준을 적용할 수 없어 1단계로 분류함. | 근거페이지: 사업보고서 341~344p, 347~349p / 지속가능경영보고서 47p</t>
  </si>
  <si>
    <t>(1단계) 상근감사 1명이 감사업무 수행</t>
  </si>
  <si>
    <t>정규직(무기계약직 포함) 중 고졸자 비율을 공시하고 공공기관 평균 대비 고졸자 비율이 적은 경우 (공공기관의 50% 이상 ~100% 미만)</t>
  </si>
  <si>
    <t>[26년 현황] 감사위원회 없이 상근감사 1인 체제이고, 현 감사의 경력은 인사·지원 부문이라 회계·재무 전문가 요건 확인 불가 → 1단계(0점).
  [개선방향] 현 감사 임기가 2027년 정기주총에서 만료(2024.3 선임, 3년)되므로 2027년 주총이 전환 시점: ① 감사위원회(3인 이상, 독립이사 2/3 이상) 설치 + 회계·재무 전문가 과반 구성(3단계, 100점) — 회계 전문가인 윤승한 독립이사를 위원장으로 활용 가능하나 독립이사 수 확대(G-1-2)와 연동 권장 ② 상근감사를 유지할 경우 회계·재무 전문가를 후임 감사로 선임하고 자격을 공시(평가기관이 감사위원회 기준을 준용하는지 확인 필요).
  [필요 근거] 감사위원회 설치 정관변경안, 후보 자격증빙.</t>
  </si>
  <si>
    <t>감사위원회(또는 감사) 내 회계 및 재무 전문가(공인회계사 등)를 선임하여 운영하고 있습니까?</t>
  </si>
  <si>
    <t>G-6-1</t>
  </si>
  <si>
    <t>정규직(무기계약직 포함) 중 고졸자 비율을 공시하고 공공기관 평균 대비 고졸자 비율이 동일하거나 높은 경우 (공공기관의 100% 이상 ~150% 미만)</t>
  </si>
  <si>
    <t>지배구조 법/규제 위반</t>
  </si>
  <si>
    <t>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</si>
  <si>
    <t>정규직(무기계약직 포함) 중 고졸자 비율을 공시하고 공공기관 평균 대비 고졸자 비율이 높은 경우 (공공기관의 150% 이상)</t>
  </si>
  <si>
    <t>∑(지배구조 법/규제 위반 건 * 처벌수위별 감점 기준)</t>
  </si>
  <si>
    <t>S-노동-추가2</t>
  </si>
  <si>
    <t>여가친화 경영</t>
  </si>
  <si>
    <t>여가친화인증 미획득</t>
  </si>
  <si>
    <t>유형 1 |  지난 4개년 간 지배구조 법/규제 위반내역 중 처분이 확정된 건수에 대해, 처벌수위가 사법상 형벌, 벌금, 과료인 경우, 또는 지배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금전적 처분에 해당하는 과태료, 과징금, 이행강제금 등인 경우 |  유형 3 |  지난 4개년 간 지배구조 법/규제 위반내역 중 처분이 확정된 건수에 대해, 지배구조 법/규제 위반의 처벌수위가 행정상 처분 중 비금전적 처분에 해당하는 시정명령, 시정권고, 경고 등인 경우 |  * 감점 사항이 없을 경우, 본 항목의 점수는 100점으로 산정. 최저점은 0점으로 제한</t>
  </si>
  <si>
    <t>여가친화인증 획득</t>
  </si>
  <si>
    <t>S-노동-추가3</t>
  </si>
  <si>
    <t>50세 이상 비자발적 이직예정자 중 재취업지원 제공 비율</t>
  </si>
  <si>
    <t>재취업지원서비스 미제공 또는 제공 비율 감소 추세</t>
  </si>
  <si>
    <t>재취업지원서비스 제공 비율 유지 추세</t>
  </si>
  <si>
    <t>재취업지원서비스 제공 비율 증가 추세</t>
  </si>
  <si>
    <t>ESG 통합진단 요약 대시보드</t>
  </si>
  <si>
    <t>S-지역사회-추가2</t>
  </si>
  <si>
    <t>산학협력 활성화 기여</t>
  </si>
  <si>
    <t>산학협력 활동에 관한 정보공시가 없는 경우</t>
  </si>
  <si>
    <t>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</si>
  <si>
    <t>[자동채점] | 근거충분성: 충분 | 근거: 위반사항 없음 | 근거페이지: 사업보고서 13~29p, 89p, 112p, 121p, 162p, 253p, 304~305p, 324p, 345p, 376p / 지속가능경영보고서 12~15p, 17~26p, 38p, 45p, 49p, 70p, 75p</t>
  </si>
  <si>
    <t>01_ESG통합진단마스터 시트의 입력값을 기준으로 자동 집계됩니다 (수식 연동)</t>
  </si>
  <si>
    <t>2025년 사업보고서 기준 해당사항 없음 
 2026년은 사업소송건은 존재, 이전 해 보고서도 살펴야 함</t>
  </si>
  <si>
    <t>산학협력 활동 내용은 공시하나 ‘산학협력 마일리지’ 점수에 대한 정보공시가 없는 경우</t>
  </si>
  <si>
    <t>[26년 현황] 지배구조 관련 확정 제재 없음, 주총결의취소 소송은 2026.5.29 화해권고 확정으로 종결 → 100점.
  [개선방향] 점수는 유지되나 주총결의취소 소송, 2026.2 소액주주 주주제안, 인적분할 추진 과정의 이견(의안설명서 대표이사 인사말) 등 주주 갈등 신호가 확인됨. 주요 자본거래 시 독립이사 중심 투명경영위원회 사전심의와 주주 소통 절차를 의무화해 재발 리스크를 관리.
  [필요 근거] 제재·소송 현황표(4개년), 투명경영위원회 심의 기록.</t>
  </si>
  <si>
    <t>지배구조 관련 법·규제 위반으로 인해 사법상 처벌, 입찰참가자격 제한, 행정상 금전적·비금전적 처분이 확정된 내역이 있습니까?</t>
  </si>
  <si>
    <t>산학협력 활동 내용, 마일리지 점수에 대한 정보공시가 있으나, 최근 4개년 매출액 대비 마일리지 점수 변동을 알 수 없거나 감소 추세인 경우</t>
  </si>
  <si>
    <t>1. 진단 완료 현황</t>
  </si>
  <si>
    <t>추가진단항목(v2.0)</t>
  </si>
  <si>
    <t>경영진</t>
  </si>
  <si>
    <t>경영진 성과평가 및 보상</t>
  </si>
  <si>
    <t>산학협력 활동 내용, 마일리지 점수에 대한 정보를 공시하며, 최근 4개년 매출액 대비 마일리지 점수가 유지되는 경우</t>
  </si>
  <si>
    <t>전체 진단항목 수</t>
  </si>
  <si>
    <t>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</si>
  <si>
    <t>최근 1개 회계연도</t>
  </si>
  <si>
    <t>산학협력 활동 내용, 마일리지 점수에 대한 정보를 공시하며, 최근 4개년 매출액 대비 마일리지 점수가 증가 추세인 경우 * 3개년 이하 데이터 보유 시 해당 데이터로 추세 산정</t>
  </si>
  <si>
    <t>S-지역사회-추가3</t>
  </si>
  <si>
    <t>미래세대 성장 및 교육 기여</t>
  </si>
  <si>
    <t>미래세대 성장 및 교육 기여 활동에 관한 정보공시가 없는 경우</t>
  </si>
  <si>
    <t>요건1 |  조직의 재무적 성과와 연계하여 정량적 ‘성과평가 지표’가 설정되어 있는 경우 (매출액, 영업이익, 현금흐름, EBIT, 시가총액, 주주수익률 등) |  요건2 |  조직의 비재무적 성과와 연계하여 정량적 ‘성과평가 지표’가 설정되어 있는 경우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(경영진 행위가 불법적이거나, 조직에 심각한 피해를 초래한 사유 등)</t>
  </si>
  <si>
    <t>KSSB 제2호 문단 29(7) 경영진 보상-기후지표 연계 취지 준용(ESG 전반 KPI 연계는 KSSB가 더 포괄적)</t>
  </si>
  <si>
    <t>점수 입력 완료 항목 수</t>
  </si>
  <si>
    <t>GRI 2-19, KCGS</t>
  </si>
  <si>
    <t>K-ESG 가이드라인 v2.0 (추가 진단항목, 3장)</t>
  </si>
  <si>
    <t>미래세대 성장 및 교육 기여 활동 내용은 공시하나 지출액이나 수혜인원에 대한 정보공시가 없는 경우</t>
  </si>
  <si>
    <t>미래세대 성장 및 교육 기여 활동 내용, 지출액, 수혜규모에 대한 정보공시가 있으나, 최근 4년간 매출액 증감폭 대비 미래세대 성장 기여 활동 지출액 또는 수혜규모 변동을 알 수 없거나 감소 추세인 경우</t>
  </si>
  <si>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</si>
  <si>
    <t>[자동채점] | 근거충분성: 부분적 | 근거: ⚠️[출처 미확정, 검색 1위 후보로 대체] [지속가능경영보고서] 31p. 직군별 차별화된 평가제도(MBO, KPI, 기술레벨 평가)를 통해 성과를 정량화하고, 성과와 연계된 차등 보상을 실시합니다.(줄 위치 특정 실패) → 경영진을 포함한 임직원의 성과평가에 MBO, KPI 등 재무적 성과와 연계된 정량적 지표를 활용하고 있으나, 비재무적 성과지표, 중장기 지표, 이연지급 및 보상 회수 규정에 대한 구체적인 근거가 확인되지 않아 1단계 요건만 충족함. | 근거페이지: 사업보고서 46p, 150p, 292~293p / 지속가능경영보고서 2p, 14p, 31p, 46p, 67p, 76p</t>
  </si>
  <si>
    <t>미래세대 성장 및 교육 기여 활동 내용, 지출액, 수혜규모에 대한 정보를 공시하며, 최근 4년간 매출액 증감폭 대비 미래세대 성장 기여 활동 지출액 또는 수혜규모가 유지되고 있는 경우</t>
  </si>
  <si>
    <t>1단계
 (요건1) 불충족 - 사업보고서 p46에 '사내이사는 회사 내 정기 평가를 실시하고 있으며, 사외이사는 산업 분야 전문가로서 주요한 경영상 의사결정에 대한 적절한 자문 제공 여부와 적극성에 대해 종합적인 내부평가를 실시하고 있습니다.' 를 언급했지만 매출액·영업이익·EBIT 등 구체적인 정량 지표가 무엇인지는 공시되어 있지 않음.
 (요건2) 불충족 - 비재무적 성과 연계 정량적 지표 설정 (온실가스, 산업재해율 등): 임원 보수와 ESG·비재무 지표 연계에 대한 언급 전무
 (요건3) 불충족 - 재무/비재무 3년 이상 중장기 성과평가지표: 사업보고서 p46 "3년 임기 이후 재선임 결정"에 반영된다는 문구만 존재 
 (요건4) 불충족 - 성과급 지급 + 1년 이상 초과 이연지급 : 사업보고서랑 지속가능경영에 성과급/성과평가/경영진이라고 검색해도 나오는 내용 없음. 주식매수선택권은 부여 후 2년 거치·다년간 행사 가능하긴 함
 (요건 4) 불충족 - 성과급 회수 언급 없음</t>
  </si>
  <si>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</si>
  <si>
    <t>[26년 현황] 보수 기준이 '목표달성도 종합 고려' 수준의 정성 서술에 그치고 이연·환수 장치 없음 → 0점. 안전보건 KPI의 임원평가 연계는 확인되나 1개 요건에 불과.
  [개선방향] 7월 출범한 보상위원회(독립이사 과반, 위원장 정승부)의 첫 과제로 ① 재무 KPI(영업이익률·ROIC — 기업가치제고 목표 ROIC 10.8%와 연계) ② 비재무 KPI(온실가스 원단위·중대재해·안전보건) ③ 3년 성과연동(장기인센티브) ④ 성과급 일부 1년 초과 이연 ⑤ 환수조항을 담은 임원보상정책을 제정·공시 → 5개 충족 시 100점. 2027년 주총 이사보수한도 안건에 정책 요약 첨부.
  [필요 근거] 임원보상규정, 보상위원회 의사록, KPI 산식표.</t>
  </si>
  <si>
    <t>경영진 성과평가 시 재무적·비재무적 성과지표와 3년 이상의 중장기 지표를 설정하고, 성과보상의 이연지급 및 보상 회수 요건을 마련하여 운영하고 있습니까?</t>
  </si>
  <si>
    <t>G-윤리경영-추가1</t>
  </si>
  <si>
    <t>조직의 재무적 성과와 연계하여 정량적 ‘성과평가 지표’가 설정되어 있는 경우 (매출액, 영업이익, 현금흐름, EBIT, 시가총액, 주주수익률 등)</t>
  </si>
  <si>
    <t>윤리경영/반부패 관련 법규/행동강령 등 준수</t>
  </si>
  <si>
    <t>조직이 윤리경영 및 부패방지 관련 법규, 행동강령 및 실천규범 등을 준수하고 있는지 확인</t>
  </si>
  <si>
    <t>회사(계열사 제외), 임직원(계열사 제외)의 법규 위반 사항 중 사회 관련 법규 위반 사실 (사업보고서, 지속가능성보고서, 법규위반 정보 관련 웹사이트)</t>
  </si>
  <si>
    <t>조직의 비재무적 성과와 연계하여 정량적 ‘성과평가 지표’가 설정되어 있는 경우 (온실가스 배출량, 친환경 제품 비율, 산업재해율, 인권 리스크 개선율 등)</t>
  </si>
  <si>
    <t>최근 회계연도 기준</t>
  </si>
  <si>
    <t>국내, 해외 지점 포함</t>
  </si>
  <si>
    <t>감점형 (기본 100점에서 위반단계별 감점 차감, 최저 0점 제한) | 세부 배점 기준: 1단계= -50점 / 2단계= -30점) / 3단계 = -10점</t>
  </si>
  <si>
    <t>조직의 재무적/비재무적 성과와 연계하여 3년 이상의 중장기 ‘성과평가 지표’가 설정되어 있는 경우</t>
  </si>
  <si>
    <t>1단계 (-50점) | 과징금, 벌금, 징역, 금고, 구류가 포함된 처벌 및 조치 내용이 있는 경우
2단계 (-30점) | 과태료, 범칙금, 이행강제금이 포함된 처벌 및 조치 내용이 있는 경우
3단계 (-10점) | 상기 조치 이외의 처벌(금전적 처벌 없이 시정명령, 영업정지 등의 제재만 있는 경우)
| 처벌·조치내역이 없는 경우 감점 없음(=100점) | 사회 분야 총 평가 최저점은 0점으로 하한 설정
| 전년도 회사(계열사 제외)·임직원(계열사 제외)의 윤리경영/반부패 관련 법규·행동강령 위반 사실 확인 | 항소 중인 건은 전년도 현재 판결 기준으로 평가(금융지주회사는 계열사 및 자회사 포함)</t>
  </si>
  <si>
    <t>성과평가 결과에 따라 보상(성과급)을 지급하고 있으며, 성과보상 지급을 1년 이상 초과하여 이연지급하고 있는 경우</t>
  </si>
  <si>
    <t>GRI 205</t>
  </si>
  <si>
    <t>성과평가 종료 후, 지급(예정) 보상을 회수할 수 있는 요건을 두고 있는 경우 (경영진 행위가 불법적이거나, 조직에 심각한 피해를 초래한 사유 등)</t>
  </si>
  <si>
    <t>입력 완료율</t>
  </si>
  <si>
    <t>반도체-E-1</t>
  </si>
  <si>
    <t>에너지 효율적 제품</t>
  </si>
  <si>
    <t>지난 4개년간 에너지 효율적 제품의 비중 감소 추세 | 2단계: 지난 4개년간 에너지 효율적 제품의 비중 변동 없음 | 3단계: 지난 4개년간 에너지 효율적 제품의 비중 증가 추세</t>
  </si>
  <si>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</si>
  <si>
    <t>[자동채점] | 근거충분성: 충분 | 근거: 위반사항 없음 | 근거페이지: 지속가능경영보고서 12~15p, 17~26p, 28p, 34p, 38~39p, 44p, 48~49p, 51~52p, 70p</t>
  </si>
  <si>
    <t>지난 4개년간 에너지 효율적 제품의 비중 변동 없음</t>
  </si>
  <si>
    <t>지속가능경영 p48 "윤리경영 관련 제보 및 행동강령 위반사항은 2021년부터 현재까지 없습니다."
 다만 준법지원인을 아직 별도로 선임하지 않고 전략기획팀 법무파트가 겸임하는 구조였는데(2025년 보고서 기준), 참고로 2026년 자료(이번 채점 대상은 아님)에서는 2026년 5월 14일 이사회를 통해 정식 준법지원인(변호사 자격)을 신규 선임한 것으로 확인됩니다 — 이는 윤리·준법경영 체계의 지속적 고도화 궤적을 보여주는 대목입니다.
 법규 준수 측면에서는 하나마이크론이 매우 양호한 성과를 보이고 있습니다. 다만 이는 "위반이 없었다"는 소극적 지표이며, G-1-1·G-2-3·E-10-1처럼 "선제적 거버넌스 체계의 완성도"를 요구하는 지표들과는 평가축이 다르다는 점에 유의하시기 바랍니다</t>
  </si>
  <si>
    <t>지난 4개년간 에너지 효율적 제품의 비중 증가 추세</t>
  </si>
  <si>
    <t>[26년 현황] 2025년 윤리·반부패 관련 처벌·조치 0건 → 100점. 2026.5 준법지원인 선임·준법통제기준 제정으로 체계도 강화(7/1 임기 개시, 활동실적은 아직 없음).
  [개선방향] 현행 유지. 준법지원인 활동내역(점검 횟수·결과)을 차기 사업보고서·SR에 공시하고, 준법지원인의 전략기획팀장 겸직에 따른 이해상충 관리 방안(보고라인을 이사회·투명경영위원회로)을 명시. 위반 0건 공시 범위를 해외법인까지 확대.
  [필요 근거] 준법지원인 활동보고서, 보고체계도, 법인별 위반현황.</t>
  </si>
  <si>
    <t>회사 또는 임직원의 윤리경영 및 반부패 관련 법규, 행동강령 위반으로 인해 형사·금전적 처벌이나 행정제재(과징금, 벌금, 과태료, 시정명령 등)를 받은 내역이 있습니까?</t>
  </si>
  <si>
    <t>반도체-E-2</t>
  </si>
  <si>
    <t>초순수 사용량</t>
  </si>
  <si>
    <t>업종특화(반도체 v1.0)</t>
  </si>
  <si>
    <t>지난 4개년간 원단위 초순수 사용량 증가 추세 | 2단계: 지난 4개년간 원단위 초순수 사용량 변동 없음 | 3단계: 지난 4개년간 원단위 초순수 사용량 감소 추세 (미산정 시 0점)</t>
  </si>
  <si>
    <t>온실가스 및 에너지</t>
  </si>
  <si>
    <t>조직이 개발·생산하는 제품 중 에너지 효율적 제품의 비중을 점검하고, 사용단계 에너지 절감 노력을 확인</t>
  </si>
  <si>
    <t>'조직별 홈페이지' 上 지속가능경영보고서</t>
  </si>
  <si>
    <t>지난 4개년간 원단위 초순수 사용량 변동 없음</t>
  </si>
  <si>
    <t>2. 영역별(E/S/G/P) 평균 점수 (동일가중 단순평균 — 각 진단항목 100점 기준)</t>
  </si>
  <si>
    <t>(에너지 효율적 제품의 수 / 조직이 생산하고 있는 전체 제품의 수) X 100</t>
  </si>
  <si>
    <t>지난 4개년간 원단위 초순수 사용량 감소 추세 (미산정 시 0점)</t>
  </si>
  <si>
    <t>1단계 | 지난 4개년간 에너지 효율적 제품의 비중 감소 추세 | 2단계: 지난 4개년간 에너지 효율적 제품의 비중 변동 없음 | 3단계: 지난 4개년간 에너지 효율적 제품의 비중 증가 추세 |  * (추세) 일정 기간 정량적 자료의 변동 방향성을 의미하며, 본 가이드라인에서는 4개년 데이터의 연평균 성장률(CAGR)을 추세로 정의</t>
  </si>
  <si>
    <t>반도체-E-3</t>
  </si>
  <si>
    <t>KSSB 업종기반지표(반도체 S2 부속지침)로 별도 개발 예정</t>
  </si>
  <si>
    <t>SASB Semiconductors</t>
  </si>
  <si>
    <t>2_업종별 K-ESG 가이드라인(반도체) 진단항목</t>
  </si>
  <si>
    <t>물 부족 지역에서의 용수 사용량</t>
  </si>
  <si>
    <t>지난 4개년간 물부족지역 사업장 원단위 용수사용량 증가 추세 | 2단계: 변동 없음 | 3단계: 감소 추세 (미식별·미측정 시 0점)</t>
  </si>
  <si>
    <t>항목 수</t>
  </si>
  <si>
    <t>점수입력 완료수</t>
  </si>
  <si>
    <t>변동 없음</t>
  </si>
  <si>
    <t>Energy Star, EU Energy Label, 국내 에너지소비효율등급표시제도 등 공인 인증 또는 자체평가로 입증 가능한 에너지 효율 제품 비중을 측정. 설비(장비) 생산기업은 판매 장비의 에너지효율 비중으로 대체 측정 가능.</t>
  </si>
  <si>
    <t>평균점수(100점 환산)</t>
  </si>
  <si>
    <t>[자동채점] | 근거충분성: 불충분 | 근거: [지속가능경영보고서] 75p. 하나마이크론은 IEC 62474 신고물질을 사용하지 않으며, 제품에 사용되는 모든 부품과 원재료는 국제표준 및 기준을 준수하고 있습니다.(11번째 줄 부근) → 에너지 효율적 제품의 비중을 점검하거나 관리하고 있다는 정량적 데이터가 존재하지 않아 근거가 부족합니다. | 근거페이지: 사업보고서 29p, 368p / 지속가능경영보고서 21~23p, 55p, 57p, 75p, 77p</t>
  </si>
  <si>
    <t>완전대응(KSSB)</t>
  </si>
  <si>
    <t>(1단계) 지속가능경영에 에너지 효율 제품 언급 없음 
 그러나 다른 상품 라인업도 확인 필요</t>
  </si>
  <si>
    <t>감소 추세 (미식별·미측정 시 0점)</t>
  </si>
  <si>
    <t>[26년 현황] 에너지 효율적 제품의 정의·비중 데이터 부재 → 1단계(0점, 미산정).
  [개선방향] OSAT 특성상 '에너지 효율적 제품'을 자체 정의(예: 저전력 LPDDR·Flip Chip/Large Body 등 전력효율 개선 패키지, 고객 저전력 인증 제품)하고 매출 또는 품목 수 기준 비중을 3개년 이상 산정·공시하는 체계부터 구축. 브라질 LPDDR 양산(2026 하반기 계획, 기업가치제고 보고서 p.7)·서버/네트워크 비중 확대와 연계 가능.
  [필요 근거] 제품 분류기준, 품목별 매출·전력효율 데이터.</t>
  </si>
  <si>
    <t>반도체-E-4</t>
  </si>
  <si>
    <t>과불화탄소 배출량</t>
  </si>
  <si>
    <t>최근 개발 및 생산하는 전체 제품 중 에너지 효율적 제품(인증 취득 또는 고효율 제품) 비중의 증감 현황을 점검 및 관리하고 있습니까?</t>
  </si>
  <si>
    <t>GAP(KSSB)</t>
  </si>
  <si>
    <t>지난 4개년간 원단위 PFC 배출량 증가 추세 | 2단계: 변동 없음 | 3단계: 감소 추세 (미관리 시 0점)</t>
  </si>
  <si>
    <t>반도체 생산에 필요한 초순수(Ultra-pure Water) 사용량을 효과적으로 측정·모니터링·관리하고 있는지 점검</t>
  </si>
  <si>
    <t>원단위 초순수 사용량 = 전체 초순수 사용량 / 매출액(또는 생산량)</t>
  </si>
  <si>
    <t>감소 추세 (미관리 시 0점)</t>
  </si>
  <si>
    <t>반도체-E-5</t>
  </si>
  <si>
    <t>휘발성 유기화합물 배출량</t>
  </si>
  <si>
    <t>1단계 | 지난 4개년간 원단위 초순수 사용량 증가 추세 | 2단계 | 지난 4개년간 원단위 초순수 사용량 변동 없음 | 3단계 | 지난 4개년간 원단위 초순수 사용량 감소 추세  | *미산정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</si>
  <si>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지난 4개년간 원단위 VOC 배출량 증가 추세 | 2단계: 변동 없음 | 3단계: 감소 추세 (미관리 시 0점)</t>
  </si>
  <si>
    <t>KSSB 업종기반지표로 별도 개발 예정</t>
  </si>
  <si>
    <t>GRI 303, SASB Semiconductors</t>
  </si>
  <si>
    <t>초순수는 반도체 웨이퍼·마스크 세정에 필수적인 자원으로, 물부족·기후변화에 따른 공급비용 증가 리스크 관리 지표. 연평균성장률(CAGR)로 4개년 추세 판정.</t>
  </si>
  <si>
    <t>[자동채점] | 근거충분성: 부분적 | 근거: [지속가능경영보고서] 25p. 용수 재활용량(재활용률)은 2022년 234,948m³(31%), 2023년 206,019m³(28%), 2024년 165,185m³(26%) 로, 전년 대비 감소(15번째 줄 부근) → 초순수 사용량에 대한 별도의 원단위 데이터가 제시되지 않았으며, 용수 재활용량 및 재활용률이 감소하는 추세로 나타나 초순수 사용량 관리 측면에서 1단계에 해당함. | 근거페이지: 사업보고서 20p, 22p / 지속가능경영보고서 23p, 25p, 27p, 55~58p, 60~61p, 75p, 77p</t>
  </si>
  <si>
    <t>S-6-3</t>
  </si>
  <si>
    <t>지속가능경영에 초순수는 언급되지만 4개년 데이터 공시하지 않아 측정 불가, 2025년 내역까지 반영된2026 지속가능경영도 마찬가지</t>
  </si>
  <si>
    <t>협력사 ESG 협약사항</t>
  </si>
  <si>
    <t>[26년 현황] 초순수 재사용 설비는 운영 중이나 초순수 사용량 자체는 미공시 → 0점(미산정).
  [개선방향] 초순수 제조설비 유량계 데이터로 사업장별 초순수 사용량·원단위(㎥/억원)를 산정해 Data Book에 추가(3개년 이하도 추세 산정 가능). 재사용량(700~800㎥/day)과 함께 공시하면 감소추세 입증 여지.
  [필요 근거] 초순수 설비 운전일지, 사업장별 사용량.</t>
  </si>
  <si>
    <t>협력사의 ESG 추진에 필요한 교육 운영 지원 협약 체결</t>
  </si>
  <si>
    <t>웨이퍼 세정에 필수적인 원단위 초순수(UPW) 사용량을 측정하고 이에 대한 증감 현황을 점검 및 관리하고 있습니까?</t>
  </si>
  <si>
    <t>협력사의 ESG 추진에 필요한 기술 및 R&amp;D 지원 협약 체결</t>
  </si>
  <si>
    <t>조직의 사업장 중 물부족지역(Water-stressed areas)에 노출된 사업장의 원단위 용수 사용량을 점검</t>
  </si>
  <si>
    <t>협력사의 ESG 추진에 필요한 금융 및 자금 지원 협약 체결</t>
  </si>
  <si>
    <t>물부족지역 사업장 원단위 용수사용량 = 물부족지역 사업장 용수사용량 / 매출액(또는 생산량)</t>
  </si>
  <si>
    <t>협력사의 ESG 추진에 필요한 인허가 획득 지원 협약 체결</t>
  </si>
  <si>
    <t>1단계 | 지난 4개년간 물부족지역 사업장 원단위 용수사용량 증가 추세 | 2단계: 변동 없음 | 3단계 | 감소 추세 | *미식별·미측정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</si>
  <si>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CDP Water Security, SASB Semiconductors</t>
  </si>
  <si>
    <t>협력사의 ESG 추진에 필요한 설비/장치 도입 지원 협약 체결</t>
  </si>
  <si>
    <t>물부족지역 식별은 세계자원연구소(WRI Aqueduct), 세계자연기금(WWF Water Risk Filter) 등에서 확인 가능.</t>
  </si>
  <si>
    <t>[자동채점] | 근거충분성: 충분 | 근거: [지속가능경영보고서] 25p. 매출액 대비 전체 취수량은 2022년 85.5 (m³/억 원), 2023년 84.3 (m³/억 원), 2024년 59.33 (m³/억 원) 로 감소 추세를 보이고 있습니다.(10번째 줄 부근) → 물 부족 지역인 충남 아산 사업장을 포함한 전체 취수량의 매출액 대비 원단위가 2022년부터 2024년까지 지속적으로 감소하고 있어 3단계에 해당합니다. | 근거페이지: 사업보고서 20p, 22p / 지속가능경영보고서 23p, 25p, 27p, 55~58p, 62p, 75p, 77p</t>
  </si>
  <si>
    <t>지속가능경영 p25 "국내 사업장(하나마이크론 본사와 하나더블유엘에스)이 위치한 충남 아산은 ‘Medium-High’ 지역에 해당되며, 베트남 사업장(HANA Micron Vietnam Co., Ltd.와 HANA Micron Vina Co.,Ltd.)은 High(40-80%), 브라질 사업장(HT Micron Semicondutores S.A.와 HANA Electronics Industria E Comercio Ltda.)는 ‘Low(&lt;10%)’ 지역에 해당됩니다. 보고 범위 내 사업장에 물 스트레스가 높거나 극심한 지역은 없지만, 하나마이크론은 물 스트레스 수준을 지속 모니터링하여 해외 사업장 중 취수량이 많은 사업장을 대상으로 용수 재활용 설비를 구축하고 수자원 리스크가 최소화될 수 있도록 노력할 것입니다"
 물 부족 지역이 없어 측정 내역이 없으면 어떻게 해야 하는지?</t>
  </si>
  <si>
    <t>[26년 현황] 2026 SR에서 베트남을 물스트레스 'Extremely-High'로 식별하고 사업장별 취수량·원단위를 공시, 베트남 합산 원단위 195.8→86.5㎥/억원 감소 → 3단계(100점)로 상향(기존 0점).
  [개선방향] 점수 유지를 위해 원단위가 악화된 HANA Micron Vietnam(379→603㎥/억원, 매출 감소 영향)의 절대 취수량 관리 목표를 따로 설정하고, 물스트레스 지역 사업장 원단위를 별도 KPI로 공시.
  [필요 근거] 베트남 사업장별 취수·재이용 데이터, 물리스크 대응계획.</t>
  </si>
  <si>
    <t>물 부족 지역(Water-stressed areas)에 위치한 사업장을 식별하고, 해당 사업장의 원단위 용수 사용량 측정 및 증감 현황을 점검·관리하고 있습니까?</t>
  </si>
  <si>
    <t>반도체 식각·챔버세정 공정에서 발생하는 과불화탄소(PFCs, GWP 7,000) 배출을 관리하는지 확인</t>
  </si>
  <si>
    <t>'조직별 홈페이지' 上 지속가능경영보고서, TCFD 보고서, CDP 보고서 등</t>
  </si>
  <si>
    <t>원단위 대비 과불화탄소 배출량 비율 = 총 과불화탄소 배출량 (tCO₂-eq) / 매출액(또는 생산량)</t>
  </si>
  <si>
    <t>1단계 | 지난 4개년간 원단위 과불화탄소 배출량 증가 추세 | 2단계 | 변동 없음 | 3단계 | 감소 추세 |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</si>
  <si>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KSSB 업종기반지표로 별도 개발 예정(GHG Scope1 총량에는 포함)</t>
  </si>
  <si>
    <t>EU 불화온실가스 저감 규정(Regulation (EU) No 517/2014), 교토의정서 7대 온실가스에 해당.</t>
  </si>
  <si>
    <t>[자동채점] | 근거충분성: 불충분 | 근거: [지속가능경영보고서] 22p. 공정배출의 경우 반도체 분석실에서 육불화황(SF6) 가스 사용으로 인해 발생하지만, 전체 배출량에서 차지하는 비율은 0.01% 미만으로 미미한 수준입니다.(9번째 줄 부근) → 과불화탄소(PFCs) 배출량에 대한 별도의 정량적 관리 데이터나 4개년 추세 자료가 제시되지 않았으며, 공정배출의 비중이 미미하다는 정성적 언급만 존재하여 1단계로 판단함. | 근거페이지: 사업보고서 20p, 22p / 지속가능경영보고서 21~23p, 55p, 57p, 75p, 77p</t>
  </si>
  <si>
    <t>(1단계) 문서 내 과불화탄소 언급을 찾을 수 없음</t>
  </si>
  <si>
    <t>[26년 현황] PFCs 배출량·사용 여부 공시 없음(공정배출은 SF6만 언급) → 0점(미관리).
  [개선방향] ① 온실가스 인벤토리의 공정배출 가스 목록을 확인해 PFCs 사용 여부를 명시 ② 사용 시 사업장별 PFCs 배출량(tCO2eq)·원단위를 산정·공시, 미사용 시 '해당 없음(사용 가스: SF6)'을 근거와 함께 공시해 평가 제외 또는 만점 처리 협의. SF6 등 불소계 가스 전체(F-gas)로 공시 범위를 넓히면 KSSB 제2호 대응에도 유리.
  [필요 근거] 공정배출 가스 목록, 명세서 공정배출 산정 내역.</t>
  </si>
  <si>
    <t>Scope 1 온실가스(tCO₂-eq) 원단위를 기준으로 과불화탄소 배출량을 산정하고, 이에 대한 증감 현황을 점검·관리하고 있습니까?</t>
  </si>
  <si>
    <t>제품 생산과정에서 발생하는 휘발성유기화합물(VOC) 배출을 관리하는지 확인</t>
  </si>
  <si>
    <t>'조직별 홈페이지' 上 지속가능경영보고서, TCFD·CDP 보고서 등</t>
  </si>
  <si>
    <t>원단위 대비 휘발성 유기화합물 배출량 비율 = 총 휘발성 유기화합물 배출량(Metric ton) / 매출액(또는 생산량)</t>
  </si>
  <si>
    <t>1단계 | 지난 4개년간 원단위 VOC 배출량 증가 추세 | 2단계 | 변동 없음 | 3단계: 감소 추세 |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</si>
  <si>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국내 대기환경보전법 휘발성유기화합물 지정고시(37개 물질), 미국 EPA 40 CFR Part 51.100, RBA 행동규범 배출관리 요구사항 참고.</t>
  </si>
  <si>
    <t>[자동채점] | 근거충분성: 충분 | 근거: [지속가능경영보고서] 62p. 대기오염물질 (합계) | 배출량 ton | 0.52 | 0.42 | 0.06 | 원단위 ton/억 원 | 0.000086 | 0.000072 | 0.000007(3번째 줄 부근) → 제시된 3개년(2022~2024) 대기오염물질 원단위 배출량이 0.000086에서 0.000007로 지속적으로 감소하는 추세를 보여 3단계에 해당함. | 근거페이지: 사업보고서 20p, 22p / 지속가능경영보고서 22p, 57p, 62p, 75p, 77p</t>
  </si>
  <si>
    <t>(1단계) 지속가능경영 내 '휘발성 유기화합물'에 대한 내용을 찾을 수 없음.</t>
  </si>
  <si>
    <t>[26년 현황] 유기용제는 사용(폐유기용제 발생)하나 VOC 배출량 미공시 → 0점(미관리).
  [개선방향] 통합환경허가 자가측정 항목 중 VOC(또는 THC) 측정값과 용제 사용량 기반 물질수지로 사업장별 VOC 배출량·원단위를 산정해 3개년 이상 공시. 해외사업장(베트남)은 현지 규제 측정자료 활용.
  [필요 근거] VOC 측정성적서, 용제 구매·사용량 대장.</t>
  </si>
  <si>
    <t>Scope 1 원단위를 기준으로 휘발성 유기화합물 배출량(Metric ton)을 산정하고, 이에 대한 증감 현황을 점검·관리하고 있습니까?</t>
  </si>
  <si>
    <t>반도체-G-1</t>
  </si>
  <si>
    <t>반경쟁행위 위반사항 공시</t>
  </si>
  <si>
    <t>조직이 반경쟁행위(가격담합·시장지배력남용 등) 관련 법/규제를 준수하는지, 위반시 처벌수위별 감점으로 점검</t>
  </si>
  <si>
    <t>'전자공시시스템' 上 사업보고서, '조직별 홈페이지' 上 지속가능경영보고서</t>
  </si>
  <si>
    <t>∑(반경쟁행위 위반 건 × 처벌수위별 감점기준)</t>
  </si>
  <si>
    <t>감점형 (기본 100점에서 위반유형별 감점 차감, 최저 0점 제한) | 세부 배점 기준: 유형 1= -50점 / 유형 2 = -30점) / 유형 3 = -10점) | *감점 사항이 없을 경우 100점</t>
  </si>
  <si>
    <t>유형 1 (-50점) | 지난 4개년간 독점규제 및 공정거래 관련 법/규제 위반내역 중 처분이 확정된 건에 대해 처벌 수위가 사법상 형벌, 벌금, 과료인 경우 또는 국가를 당사자로 하는 계약에서 입찰참가자격을 제한당한 경우
유형 2 (-30점) | 지난 4개년간 독점규제 및 공정거래 관련 법/규제 위반내역 중 처분이 확정된 건에 대해 처벌 수위가 행정상 처분 중 금전적 처분에 해당하는 과태료, 과징금, 이행강제금 등인 경우
유형 3 (-10점) | 지난 4개년간 독점규제 및 공정거래 관련 법/규제 위반내역 중 처분이 확정된 건에 대해 처벌 수위가 행정상 처분 중 비금전적 처분에 해당하는 시정명령, 시정권고, 경고 등인 경우</t>
  </si>
  <si>
    <t>KSSB 규정 없음</t>
  </si>
  <si>
    <t>SASB Semiconductors, 공정거래법</t>
  </si>
  <si>
    <t>반도체 산업표준 제정 과정의 상호라이선스·특허풀 활용 등으로 가격담합 등 반독점 리스크가 상대적으로 높은 업종 특성 반영.</t>
  </si>
  <si>
    <t>[자동채점] | 근거충분성: 충분 | 근거: 위반사항 없음 | 근거페이지: 사업보고서 14~29p, 35p, 162p, 253p, 273p, 298~299p, 304~305p, 324p, 371p, 376p / 지속가능경영보고서 12~15p, 17~26p, 34p, 38p, 45p, 48~49p, 70p, 73p, 75p</t>
  </si>
  <si>
    <t>위반 사항 발견되지 않음
 그러나 "윤리강령 및 법규 위반사항 0건"은 국내사업장을 대상으로 해, 해외사업장의 정보에 대해서는 확인된 바 없음. (ESG 가이드라인 자체 문제)</t>
  </si>
  <si>
    <t>[26년 현황] 공정거래 관련 확정 처분 없음(반기보고서 제재 '해당없음', SR 법규 위반 0건) → 100점. 단 0건 공시 범위는 국내사업장.
  [개선방향] 현행 유지. 신설 투명경영위원회(내부거래·이해상충 심의)의 점검 결과와 해외법인 경쟁법 준수현황을 함께 공시해 근거 범위를 전사로 확장.
  [필요 근거] 법인별 공정거래 준수현황, 투명경영위원회 의사록.</t>
  </si>
  <si>
    <t>최근 독점규제 및 공정거래(반경쟁 행위) 관련 법·규제 위반으로 인해 사법상 처벌, 입찰참가자격 제한, 행정상 금전적·비금전적 처분이 확정된 내역이 있습니까?</t>
  </si>
  <si>
    <t>평균점수(반도체 제외, 100점 환산)</t>
  </si>
  <si>
    <t>전체(종합)</t>
  </si>
  <si>
    <t>3. 적용구분별 항목 수 (기본/추가/업종특화)</t>
  </si>
  <si>
    <t>평균점수</t>
  </si>
  <si>
    <t>4. 참고</t>
  </si>
  <si>
    <t>평균점수는 각 영역 내 모든 항목에 동일 가중치(1/N)를 부여한 단순평균이며, 복합가중형 항목은 수동입력된 값만 반영됩니다.</t>
  </si>
  <si>
    <t>조직의 ESG 전략에 따라 항목별 가중치를 달리 적용하려면 K-ESG v2.0 원문(38p "가중치 결정" 절) 방식을 참고해 별도 가중평균표를 구성하세요.</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</si>
</sst>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22">
    <font>
      <sz val="11.0"/>
      <color theme="1"/>
      <name val="Calibri"/>
      <scheme val="minor"/>
    </font>
    <font>
      <b/>
      <sz val="9.0"/>
      <color rgb="FFFFFFFF"/>
      <name val="Arial"/>
    </font>
    <font>
      <b/>
      <sz val="9.0"/>
      <color rgb="FFFFFFFF"/>
      <name val="Noto Sans"/>
    </font>
    <font>
      <b/>
      <sz val="20.0"/>
      <color rgb="FF1F4E78"/>
      <name val="Arial"/>
    </font>
    <font>
      <sz val="9.0"/>
      <color theme="1"/>
      <name val="Arial"/>
    </font>
    <font>
      <sz val="9.0"/>
      <color theme="1"/>
      <name val="Noto Sans"/>
    </font>
    <font>
      <i/>
      <sz val="11.0"/>
      <color rgb="FF555555"/>
      <name val="Arial"/>
    </font>
    <font>
      <b/>
      <sz val="12.0"/>
      <color rgb="FF1F4E78"/>
      <name val="Arial"/>
    </font>
    <font>
      <b/>
      <sz val="9.0"/>
      <color rgb="FF0000FF"/>
      <name val="Arial"/>
    </font>
    <font>
      <b/>
      <sz val="9.0"/>
      <color theme="1"/>
      <name val="Noto Sans"/>
    </font>
    <font>
      <sz val="11.0"/>
      <color theme="1"/>
      <name val="Calibri"/>
    </font>
    <font>
      <b/>
      <sz val="11.0"/>
      <color rgb="FF1F4E78"/>
      <name val="Arial"/>
    </font>
    <font>
      <sz val="9.0"/>
      <color rgb="FF777777"/>
      <name val="Noto Sans"/>
    </font>
    <font>
      <sz val="9.0"/>
      <color rgb="FF000000"/>
      <name val="Noto Sans"/>
    </font>
    <font>
      <b/>
      <sz val="12.0"/>
      <color rgb="FF000000"/>
      <name val="Noto Sans"/>
    </font>
    <font>
      <i/>
      <sz val="9.0"/>
      <color rgb="FF777777"/>
      <name val="Noto Sans"/>
    </font>
    <font>
      <b/>
      <sz val="16.0"/>
      <color rgb="FF1F4E78"/>
      <name val="Arial"/>
    </font>
    <font>
      <i/>
      <sz val="9.0"/>
      <color rgb="FFC00000"/>
      <name val="Noto Sans"/>
    </font>
    <font>
      <b/>
      <sz val="9.0"/>
      <color theme="1"/>
      <name val="Arial"/>
    </font>
    <font>
      <sz val="11.0"/>
      <color rgb="FF000000"/>
      <name val="Calibri"/>
    </font>
    <font>
      <i/>
      <sz val="9.0"/>
      <color rgb="FF777777"/>
      <name val="Arial"/>
    </font>
    <font>
      <color theme="1"/>
      <name val="Calibri"/>
    </font>
  </fonts>
  <fills count="18">
    <fill>
      <patternFill patternType="none"/>
    </fill>
    <fill>
      <patternFill patternType="lightGray"/>
    </fill>
    <fill>
      <patternFill patternType="solid">
        <fgColor rgb="FF1F4E78"/>
        <bgColor rgb="FF1F4E78"/>
      </patternFill>
    </fill>
    <fill>
      <patternFill patternType="solid">
        <fgColor rgb="FFF5F8FC"/>
        <bgColor rgb="FFF5F8FC"/>
      </patternFill>
    </fill>
    <fill>
      <patternFill patternType="solid">
        <fgColor rgb="FFFFFDE7"/>
        <bgColor rgb="FFFFFDE7"/>
      </patternFill>
    </fill>
    <fill>
      <patternFill patternType="solid">
        <fgColor rgb="FFFFF2CC"/>
        <bgColor rgb="FFFFF2CC"/>
      </patternFill>
    </fill>
    <fill>
      <patternFill patternType="solid">
        <fgColor rgb="FFFFEB9C"/>
        <bgColor rgb="FFFFEB9C"/>
      </patternFill>
    </fill>
    <fill>
      <patternFill patternType="solid">
        <fgColor rgb="FFF6B26B"/>
        <bgColor rgb="FFF6B26B"/>
      </patternFill>
    </fill>
    <fill>
      <patternFill patternType="solid">
        <fgColor rgb="FFFFFFFF"/>
        <bgColor rgb="FFFFFFFF"/>
      </patternFill>
    </fill>
    <fill>
      <patternFill patternType="solid">
        <fgColor rgb="FF6D9EEB"/>
        <bgColor rgb="FF6D9EEB"/>
      </patternFill>
    </fill>
    <fill>
      <patternFill patternType="solid">
        <fgColor rgb="FFC6EFCE"/>
        <bgColor rgb="FFC6EFCE"/>
      </patternFill>
    </fill>
    <fill>
      <patternFill patternType="solid">
        <fgColor rgb="FFD9E6F2"/>
        <bgColor rgb="FFD9E6F2"/>
      </patternFill>
    </fill>
    <fill>
      <patternFill patternType="solid">
        <fgColor rgb="FFB6D7A8"/>
        <bgColor rgb="FFB6D7A8"/>
      </patternFill>
    </fill>
    <fill>
      <patternFill patternType="solid">
        <fgColor rgb="FFE2EFD9"/>
        <bgColor rgb="FFE2EFD9"/>
      </patternFill>
    </fill>
    <fill>
      <patternFill patternType="solid">
        <fgColor rgb="FFFFC7CE"/>
        <bgColor rgb="FFFFC7CE"/>
      </patternFill>
    </fill>
    <fill>
      <patternFill patternType="solid">
        <fgColor rgb="FFFCE4D6"/>
        <bgColor rgb="FFFCE4D6"/>
      </patternFill>
    </fill>
    <fill>
      <patternFill patternType="solid">
        <fgColor rgb="FFD9D9D9"/>
        <bgColor rgb="FFD9D9D9"/>
      </patternFill>
    </fill>
    <fill>
      <patternFill patternType="solid">
        <fgColor theme="0"/>
        <bgColor theme="0"/>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top" wrapText="1"/>
    </xf>
    <xf borderId="1" fillId="2" fontId="2" numFmtId="0" xfId="0" applyAlignment="1" applyBorder="1" applyFill="1" applyFont="1">
      <alignment horizontal="center" shrinkToFit="0" vertical="center" wrapText="1"/>
    </xf>
    <xf borderId="0" fillId="0" fontId="3" numFmtId="0" xfId="0" applyFont="1"/>
    <xf borderId="1" fillId="2" fontId="1" numFmtId="0" xfId="0" applyAlignment="1" applyBorder="1" applyFill="1" applyFont="1">
      <alignment horizontal="center" shrinkToFit="0" vertical="top" wrapText="1"/>
    </xf>
    <xf borderId="1" fillId="3" fontId="4" numFmtId="0" xfId="0" applyAlignment="1" applyBorder="1" applyFill="1" applyFont="1">
      <alignment horizontal="left" shrinkToFit="0" vertical="top" wrapText="1"/>
    </xf>
    <xf borderId="1" fillId="2" fontId="1" numFmtId="0" xfId="0" applyAlignment="1" applyBorder="1" applyFill="1" applyFont="1">
      <alignment horizontal="center" vertical="center"/>
    </xf>
    <xf borderId="1" fillId="3" fontId="5" numFmtId="0" xfId="0" applyAlignment="1" applyBorder="1" applyFill="1" applyFont="1">
      <alignment horizontal="center" shrinkToFit="0" vertical="top" wrapText="1"/>
    </xf>
    <xf borderId="1" fillId="3" fontId="4" numFmtId="0" xfId="0" applyAlignment="1" applyBorder="1" applyFill="1" applyFont="1">
      <alignment horizontal="center" vertical="center"/>
    </xf>
    <xf borderId="1" fillId="3" fontId="5" numFmtId="0" xfId="0" applyAlignment="1" applyBorder="1" applyFill="1" applyFont="1">
      <alignment horizontal="left" shrinkToFit="0" vertical="top" wrapText="1"/>
    </xf>
    <xf borderId="0" fillId="0" fontId="6" numFmtId="0" xfId="0" applyFont="1"/>
    <xf borderId="1" fillId="2" fontId="2" numFmtId="0" xfId="0" applyAlignment="1" applyBorder="1" applyFill="1" applyFont="1">
      <alignment horizontal="center" vertical="center"/>
    </xf>
    <xf borderId="1" fillId="0" fontId="4" numFmtId="0" xfId="0" applyAlignment="1" applyBorder="1" applyFont="1">
      <alignment horizontal="left" shrinkToFit="0" vertical="top" wrapText="1"/>
    </xf>
    <xf borderId="1" fillId="3" fontId="4" numFmtId="0" xfId="0" applyAlignment="1" applyBorder="1" applyFill="1" applyFont="1">
      <alignment horizontal="center" shrinkToFit="0" vertical="top" wrapText="1"/>
    </xf>
    <xf borderId="0" fillId="0" fontId="7" numFmtId="0" xfId="0" applyFont="1"/>
    <xf borderId="1" fillId="0" fontId="4" numFmtId="0" xfId="0" applyAlignment="1" applyBorder="1" applyFont="1">
      <alignment horizontal="center" vertical="center"/>
    </xf>
    <xf borderId="0" fillId="2" fontId="2" numFmtId="0" xfId="0" applyAlignment="1" applyFill="1" applyFont="1">
      <alignment horizontal="center" vertical="center"/>
    </xf>
    <xf borderId="0" fillId="0" fontId="5" numFmtId="0" xfId="0" applyAlignment="1" applyFont="1">
      <alignment shrinkToFit="0" vertical="top" wrapText="1"/>
    </xf>
    <xf borderId="1" fillId="4" fontId="8" numFmtId="0" xfId="0" applyAlignment="1" applyBorder="1" applyFill="1" applyFont="1">
      <alignment horizontal="left" shrinkToFit="0" vertical="top" wrapText="1"/>
    </xf>
    <xf borderId="1" fillId="0" fontId="5" numFmtId="0" xfId="0" applyAlignment="1" applyBorder="1" applyFont="1">
      <alignment horizontal="left" shrinkToFit="0" vertical="top" wrapText="1"/>
    </xf>
    <xf borderId="2" fillId="2" fontId="2" numFmtId="0" xfId="0" applyAlignment="1" applyBorder="1" applyFill="1" applyFont="1">
      <alignment horizontal="center" shrinkToFit="0" vertical="center" wrapText="1"/>
    </xf>
    <xf borderId="0" fillId="0" fontId="7" numFmtId="0" xfId="0" applyAlignment="1" applyFont="1">
      <alignment shrinkToFit="0" vertical="top" wrapText="1"/>
    </xf>
    <xf borderId="0" fillId="0" fontId="4" numFmtId="0" xfId="0" applyFont="1"/>
    <xf borderId="1" fillId="5" fontId="9" numFmtId="0" xfId="0" applyAlignment="1" applyBorder="1" applyFill="1" applyFont="1">
      <alignment horizontal="center" shrinkToFit="0" vertical="top" wrapText="1"/>
    </xf>
    <xf borderId="0" fillId="0" fontId="4" numFmtId="0" xfId="0" applyAlignment="1" applyFont="1">
      <alignment shrinkToFit="0" vertical="top" wrapText="1"/>
    </xf>
    <xf borderId="1" fillId="0" fontId="5" numFmtId="0" xfId="0" applyAlignment="1" applyBorder="1" applyFont="1">
      <alignment horizontal="center" shrinkToFit="0" vertical="top" wrapText="1"/>
    </xf>
    <xf borderId="1" fillId="6" fontId="5" numFmtId="0" xfId="0" applyAlignment="1" applyBorder="1" applyFill="1" applyFont="1">
      <alignment horizontal="center" shrinkToFit="0" vertical="top" wrapText="1"/>
    </xf>
    <xf borderId="1" fillId="0" fontId="4" numFmtId="0" xfId="0" applyAlignment="1" applyBorder="1" applyFont="1">
      <alignment horizontal="center" shrinkToFit="0" vertical="top" wrapText="1"/>
    </xf>
    <xf borderId="0" fillId="0" fontId="5" numFmtId="0" xfId="0" applyFont="1"/>
    <xf borderId="1" fillId="5" fontId="8" numFmtId="0" xfId="0" applyAlignment="1" applyBorder="1" applyFill="1" applyFont="1">
      <alignment horizontal="center" shrinkToFit="0" vertical="center" wrapText="0"/>
    </xf>
    <xf borderId="1" fillId="3" fontId="10" numFmtId="0" xfId="0" applyAlignment="1" applyBorder="1" applyFill="1" applyFont="1">
      <alignment vertical="center"/>
    </xf>
    <xf borderId="1" fillId="5" fontId="11" numFmtId="1" xfId="0" applyAlignment="1" applyBorder="1" applyFill="1" applyFont="1" applyNumberFormat="1">
      <alignment horizontal="center" shrinkToFit="0" vertical="center" wrapText="0"/>
    </xf>
    <xf borderId="1" fillId="3" fontId="5" numFmtId="0" xfId="0" applyAlignment="1" applyBorder="1" applyFill="1" applyFont="1">
      <alignment shrinkToFit="0" vertical="top" wrapText="1"/>
    </xf>
    <xf borderId="0" fillId="0" fontId="12" numFmtId="0" xfId="0" applyFont="1"/>
    <xf borderId="0" fillId="3" fontId="13" numFmtId="0" xfId="0" applyAlignment="1" applyFill="1" applyFont="1">
      <alignment horizontal="left" shrinkToFit="0" vertical="top" wrapText="0"/>
    </xf>
    <xf borderId="0" fillId="7" fontId="14" numFmtId="0" xfId="0" applyAlignment="1" applyFill="1" applyFont="1">
      <alignment horizontal="center" vertical="center"/>
    </xf>
    <xf borderId="0" fillId="8" fontId="13" numFmtId="0" xfId="0" applyAlignment="1" applyFill="1" applyFont="1">
      <alignment horizontal="left" shrinkToFit="0" vertical="top" wrapText="0"/>
    </xf>
    <xf borderId="0" fillId="0" fontId="5" numFmtId="0" xfId="0" applyAlignment="1" applyFont="1">
      <alignment horizontal="left" shrinkToFit="0" vertical="top" wrapText="1"/>
    </xf>
    <xf borderId="0" fillId="0" fontId="15" numFmtId="0" xfId="0" applyFont="1"/>
    <xf borderId="1" fillId="4" fontId="8" numFmtId="0" xfId="0" applyAlignment="1" applyBorder="1" applyFill="1" applyFont="1">
      <alignment horizontal="center" shrinkToFit="0" vertical="center" wrapText="0"/>
    </xf>
    <xf borderId="1" fillId="0" fontId="11" numFmtId="1" xfId="0" applyAlignment="1" applyBorder="1" applyFont="1" applyNumberFormat="1">
      <alignment horizontal="center" shrinkToFit="0" vertical="center" wrapText="0"/>
    </xf>
    <xf borderId="1" fillId="0" fontId="5" numFmtId="0" xfId="0" applyAlignment="1" applyBorder="1" applyFont="1">
      <alignment shrinkToFit="0" vertical="top" wrapText="1"/>
    </xf>
    <xf borderId="0" fillId="0" fontId="13" numFmtId="0" xfId="0" applyAlignment="1" applyFont="1">
      <alignment horizontal="left" vertical="top"/>
    </xf>
    <xf borderId="0" fillId="9" fontId="14" numFmtId="0" xfId="0" applyAlignment="1" applyFill="1" applyFont="1">
      <alignment horizontal="center" vertical="center"/>
    </xf>
    <xf borderId="0" fillId="0" fontId="13" numFmtId="0" xfId="0" applyAlignment="1" applyFont="1">
      <alignment horizontal="left" shrinkToFit="0" vertical="top" wrapText="0"/>
    </xf>
    <xf borderId="1" fillId="3" fontId="11" numFmtId="1" xfId="0" applyAlignment="1" applyBorder="1" applyFill="1" applyFont="1" applyNumberFormat="1">
      <alignment horizontal="center" shrinkToFit="0" vertical="center" wrapText="0"/>
    </xf>
    <xf borderId="0" fillId="3" fontId="13" numFmtId="0" xfId="0" applyAlignment="1" applyFill="1" applyFont="1">
      <alignment horizontal="left" vertical="top"/>
    </xf>
    <xf borderId="0" fillId="5" fontId="13" numFmtId="0" xfId="0" applyAlignment="1" applyFill="1" applyFont="1">
      <alignment horizontal="left" vertical="top"/>
    </xf>
    <xf borderId="1" fillId="10" fontId="5" numFmtId="0" xfId="0" applyAlignment="1" applyBorder="1" applyFill="1" applyFont="1">
      <alignment horizontal="center" shrinkToFit="0" vertical="top" wrapText="1"/>
    </xf>
    <xf borderId="1" fillId="11" fontId="9" numFmtId="0" xfId="0" applyAlignment="1" applyBorder="1" applyFill="1" applyFont="1">
      <alignment horizontal="center" shrinkToFit="0" vertical="top" wrapText="1"/>
    </xf>
    <xf borderId="0" fillId="0" fontId="16" numFmtId="0" xfId="0" applyFont="1"/>
    <xf borderId="0" fillId="0" fontId="17" numFmtId="0" xfId="0" applyFont="1"/>
    <xf borderId="0" fillId="12" fontId="14" numFmtId="0" xfId="0" applyAlignment="1" applyFill="1" applyFont="1">
      <alignment horizontal="center" vertical="center"/>
    </xf>
    <xf borderId="1" fillId="5" fontId="9" numFmtId="0" xfId="0" applyAlignment="1" applyBorder="1" applyFill="1" applyFont="1">
      <alignment horizontal="center" vertical="center"/>
    </xf>
    <xf borderId="1" fillId="0" fontId="4" numFmtId="9" xfId="0" applyAlignment="1" applyBorder="1" applyFont="1" applyNumberFormat="1">
      <alignment horizontal="center" vertical="center"/>
    </xf>
    <xf borderId="1" fillId="11" fontId="9" numFmtId="0" xfId="0" applyAlignment="1" applyBorder="1" applyFill="1" applyFont="1">
      <alignment horizontal="center" vertical="center"/>
    </xf>
    <xf borderId="1" fillId="13" fontId="9" numFmtId="0" xfId="0" applyAlignment="1" applyBorder="1" applyFill="1" applyFont="1">
      <alignment horizontal="center" vertical="center"/>
    </xf>
    <xf borderId="1" fillId="14" fontId="4" numFmtId="0" xfId="0" applyAlignment="1" applyBorder="1" applyFill="1" applyFont="1">
      <alignment horizontal="center" shrinkToFit="0" vertical="top" wrapText="1"/>
    </xf>
    <xf borderId="1" fillId="15" fontId="9" numFmtId="0" xfId="0" applyAlignment="1" applyBorder="1" applyFill="1" applyFont="1">
      <alignment horizontal="center" vertical="center"/>
    </xf>
    <xf borderId="1" fillId="16" fontId="9" numFmtId="0" xfId="0" applyAlignment="1" applyBorder="1" applyFill="1" applyFont="1">
      <alignment horizontal="center" vertical="center"/>
    </xf>
    <xf borderId="1" fillId="16" fontId="18" numFmtId="9" xfId="0" applyAlignment="1" applyBorder="1" applyFill="1" applyFont="1" applyNumberFormat="1">
      <alignment horizontal="center" vertical="center"/>
    </xf>
    <xf borderId="1" fillId="3" fontId="15" numFmtId="0" xfId="0" applyAlignment="1" applyBorder="1" applyFill="1" applyFont="1">
      <alignment horizontal="center" shrinkToFit="0" vertical="center" wrapText="0"/>
    </xf>
    <xf borderId="1" fillId="4" fontId="8" numFmtId="0" xfId="0" applyAlignment="1" applyBorder="1" applyFill="1" applyFont="1">
      <alignment horizontal="center" vertical="center"/>
    </xf>
    <xf borderId="1" fillId="5" fontId="8" numFmtId="164" xfId="0" applyAlignment="1" applyBorder="1" applyFill="1" applyFont="1" applyNumberFormat="1">
      <alignment horizontal="center" readingOrder="0" shrinkToFit="0" vertical="center" wrapText="0"/>
    </xf>
    <xf borderId="0" fillId="5" fontId="13" numFmtId="0" xfId="0" applyAlignment="1" applyFill="1" applyFont="1">
      <alignment horizontal="left" shrinkToFit="0" vertical="top" wrapText="0"/>
    </xf>
    <xf borderId="1" fillId="15" fontId="9" numFmtId="0" xfId="0" applyAlignment="1" applyBorder="1" applyFill="1" applyFont="1">
      <alignment horizontal="center" shrinkToFit="0" vertical="top" wrapText="1"/>
    </xf>
    <xf borderId="0" fillId="17" fontId="5" numFmtId="0" xfId="0" applyAlignment="1" applyFill="1" applyFont="1">
      <alignment horizontal="left" shrinkToFit="0" vertical="top" wrapText="1"/>
    </xf>
    <xf borderId="1" fillId="4" fontId="19" numFmtId="0" xfId="0" applyAlignment="1" applyBorder="1" applyFill="1" applyFont="1">
      <alignment horizontal="center" shrinkToFit="0" vertical="center" wrapText="0"/>
    </xf>
    <xf borderId="1" fillId="3" fontId="19" numFmtId="1" xfId="0" applyAlignment="1" applyBorder="1" applyFill="1" applyFont="1" applyNumberFormat="1">
      <alignment horizontal="right" shrinkToFit="0" vertical="center" wrapText="0"/>
    </xf>
    <xf borderId="1" fillId="14" fontId="4" numFmtId="0" xfId="0" applyAlignment="1" applyBorder="1" applyFill="1" applyFont="1">
      <alignment horizontal="left" shrinkToFit="0" vertical="top" wrapText="1"/>
    </xf>
    <xf borderId="1" fillId="4" fontId="8" numFmtId="1" xfId="0" applyAlignment="1" applyBorder="1" applyFill="1" applyFont="1" applyNumberFormat="1">
      <alignment horizontal="center" shrinkToFit="0" vertical="center" wrapText="0"/>
    </xf>
    <xf borderId="0" fillId="0" fontId="20" numFmtId="0" xfId="0" applyFont="1"/>
    <xf borderId="1" fillId="3" fontId="11" numFmtId="1" xfId="0" applyAlignment="1" applyBorder="1" applyFill="1" applyFont="1" applyNumberFormat="1">
      <alignment horizontal="center" readingOrder="0" shrinkToFit="0" vertical="center" wrapText="0"/>
    </xf>
    <xf borderId="0" fillId="0" fontId="18" numFmtId="0" xfId="0" applyFont="1"/>
    <xf borderId="0" fillId="0" fontId="18" numFmtId="9" xfId="0" applyFont="1" applyNumberFormat="1"/>
    <xf borderId="1" fillId="0" fontId="4" numFmtId="164" xfId="0" applyAlignment="1" applyBorder="1" applyFont="1" applyNumberFormat="1">
      <alignment horizontal="center" vertical="center"/>
    </xf>
    <xf borderId="0" fillId="0" fontId="19" numFmtId="0" xfId="0" applyAlignment="1" applyFont="1">
      <alignment shrinkToFit="0" vertical="center" wrapText="0"/>
    </xf>
    <xf borderId="0" fillId="0" fontId="10" numFmtId="0" xfId="0" applyAlignment="1" applyFont="1">
      <alignment vertical="center"/>
    </xf>
    <xf borderId="0" fillId="0" fontId="10" numFmtId="0" xfId="0" applyAlignment="1" applyFont="1">
      <alignment vertical="bottom"/>
    </xf>
    <xf borderId="0" fillId="0" fontId="21" numFmtId="0" xfId="0" applyAlignment="1" applyFont="1">
      <alignment vertical="center"/>
    </xf>
    <xf borderId="0" fillId="0" fontId="16"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5" numFmtId="0" xfId="0" applyAlignment="1" applyFont="1">
      <alignment vertical="bottom"/>
    </xf>
    <xf borderId="0" fillId="0" fontId="18" numFmtId="0" xfId="0" applyAlignment="1" applyFont="1">
      <alignment horizontal="right" vertical="bottom"/>
    </xf>
    <xf borderId="0" fillId="0" fontId="18" numFmtId="9" xfId="0" applyAlignment="1" applyFont="1" applyNumberFormat="1">
      <alignment horizontal="right" vertical="bottom"/>
    </xf>
    <xf borderId="1" fillId="2" fontId="2" numFmtId="0" xfId="0" applyAlignment="1" applyBorder="1" applyFill="1" applyFont="1">
      <alignment horizontal="center" vertical="top"/>
    </xf>
    <xf borderId="1" fillId="5" fontId="9" numFmtId="0" xfId="0" applyAlignment="1" applyBorder="1" applyFill="1" applyFont="1">
      <alignment horizontal="center"/>
    </xf>
    <xf borderId="1" fillId="0" fontId="4" numFmtId="0" xfId="0" applyAlignment="1" applyBorder="1" applyFont="1">
      <alignment horizontal="center"/>
    </xf>
    <xf borderId="1" fillId="16" fontId="18" numFmtId="164" xfId="0" applyAlignment="1" applyBorder="1" applyFill="1" applyFont="1" applyNumberFormat="1">
      <alignment horizontal="center" vertical="center"/>
    </xf>
    <xf borderId="1" fillId="0" fontId="5" numFmtId="0" xfId="0" applyAlignment="1" applyBorder="1" applyFont="1">
      <alignment horizontal="center" vertical="center"/>
    </xf>
    <xf borderId="1" fillId="0" fontId="4" numFmtId="164" xfId="0" applyAlignment="1" applyBorder="1" applyFont="1" applyNumberFormat="1">
      <alignment horizontal="center"/>
    </xf>
    <xf borderId="1" fillId="0" fontId="4" numFmtId="165" xfId="0" applyAlignment="1" applyBorder="1" applyFont="1" applyNumberFormat="1">
      <alignment horizontal="center" vertical="bottom"/>
    </xf>
    <xf borderId="1" fillId="11" fontId="9" numFmtId="0" xfId="0" applyAlignment="1" applyBorder="1" applyFill="1" applyFont="1">
      <alignment horizontal="center"/>
    </xf>
    <xf borderId="1" fillId="13" fontId="9" numFmtId="0" xfId="0" applyAlignment="1" applyBorder="1" applyFill="1" applyFont="1">
      <alignment horizontal="center"/>
    </xf>
    <xf borderId="1" fillId="15" fontId="9" numFmtId="0" xfId="0" applyAlignment="1" applyBorder="1" applyFill="1" applyFont="1">
      <alignment horizontal="center"/>
    </xf>
    <xf borderId="1" fillId="16" fontId="9" numFmtId="0" xfId="0" applyAlignment="1" applyBorder="1" applyFill="1" applyFont="1">
      <alignment horizontal="center"/>
    </xf>
    <xf borderId="1" fillId="16" fontId="18" numFmtId="164" xfId="0" applyAlignment="1" applyBorder="1" applyFill="1" applyFont="1" applyNumberFormat="1">
      <alignment horizontal="center"/>
    </xf>
    <xf borderId="1" fillId="16" fontId="18" numFmtId="165" xfId="0" applyAlignment="1" applyBorder="1" applyFill="1" applyFont="1" applyNumberFormat="1">
      <alignment horizontal="center" vertical="bottom"/>
    </xf>
    <xf borderId="1" fillId="0" fontId="5" numFmtId="0" xfId="0" applyAlignment="1" applyBorder="1" applyFont="1">
      <alignment horizontal="center"/>
    </xf>
    <xf borderId="0" fillId="0" fontId="15" numFmtId="0" xfId="0" applyAlignment="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sheetViews>
  <sheetFormatPr customHeight="1" defaultColWidth="14.43" defaultRowHeight="15.0"/>
  <cols>
    <col customWidth="1" min="1" max="1" width="3.0"/>
    <col customWidth="1" min="2" max="2" width="100.0"/>
    <col customWidth="1" min="3" max="26" width="8.71"/>
  </cols>
  <sheetData>
    <row r="1" ht="14.25" customHeight="1"/>
    <row r="2" ht="39.75" customHeight="1">
      <c r="B2" s="4" t="s">
        <v>1</v>
      </c>
    </row>
    <row r="3" ht="16.5" customHeight="1">
      <c r="B3" s="11" t="s">
        <v>32</v>
      </c>
    </row>
    <row r="4" ht="14.25" customHeight="1"/>
    <row r="5" ht="18.75" customHeight="1">
      <c r="B5" s="15" t="s">
        <v>46</v>
      </c>
    </row>
    <row r="6" ht="15.75" customHeight="1">
      <c r="B6" s="18" t="s">
        <v>56</v>
      </c>
    </row>
    <row r="7" ht="15.75" customHeight="1">
      <c r="B7" s="18"/>
    </row>
    <row r="8" ht="15.75" customHeight="1">
      <c r="B8" s="22" t="s">
        <v>61</v>
      </c>
    </row>
    <row r="9" ht="15.0" customHeight="1">
      <c r="B9" s="23" t="s">
        <v>66</v>
      </c>
    </row>
    <row r="10" ht="18.75" customHeight="1">
      <c r="B10" s="23" t="s">
        <v>72</v>
      </c>
    </row>
    <row r="11" ht="15.75" customHeight="1">
      <c r="B11" s="25" t="s">
        <v>76</v>
      </c>
    </row>
    <row r="12" ht="15.75" customHeight="1">
      <c r="B12" s="25" t="s">
        <v>80</v>
      </c>
    </row>
    <row r="13" ht="15.75" customHeight="1">
      <c r="B13" s="22"/>
    </row>
    <row r="14" ht="15.75" customHeight="1">
      <c r="B14" s="22" t="s">
        <v>88</v>
      </c>
    </row>
    <row r="15" ht="15.75" customHeight="1">
      <c r="B15" s="25" t="s">
        <v>91</v>
      </c>
    </row>
    <row r="16" ht="15.75" customHeight="1">
      <c r="B16" s="25" t="s">
        <v>93</v>
      </c>
    </row>
    <row r="17" ht="15.75" customHeight="1">
      <c r="B17" s="25" t="s">
        <v>96</v>
      </c>
    </row>
    <row r="18" ht="15.75" customHeight="1">
      <c r="B18" s="25" t="s">
        <v>100</v>
      </c>
    </row>
    <row r="19" ht="15.75" customHeight="1">
      <c r="B19" s="25" t="s">
        <v>104</v>
      </c>
    </row>
    <row r="20" ht="15.0" customHeight="1">
      <c r="B20" s="29" t="s">
        <v>106</v>
      </c>
    </row>
    <row r="21" ht="18.75" customHeight="1">
      <c r="B21" s="29"/>
    </row>
    <row r="22" ht="15.75" customHeight="1">
      <c r="B22" s="22" t="s">
        <v>112</v>
      </c>
    </row>
    <row r="23" ht="15.75" customHeight="1">
      <c r="B23" s="25" t="s">
        <v>115</v>
      </c>
    </row>
    <row r="24" ht="15.75" customHeight="1">
      <c r="B24" s="18" t="s">
        <v>117</v>
      </c>
    </row>
    <row r="25" ht="15.75" customHeight="1">
      <c r="B25" s="18"/>
    </row>
    <row r="26" ht="15.75" customHeight="1">
      <c r="B26" s="22" t="s">
        <v>120</v>
      </c>
    </row>
    <row r="27" ht="15.75" customHeight="1">
      <c r="B27" s="25" t="s">
        <v>122</v>
      </c>
    </row>
    <row r="28" ht="15.75" customHeight="1">
      <c r="B28" s="25" t="s">
        <v>123</v>
      </c>
    </row>
    <row r="29" ht="15.75" customHeight="1">
      <c r="B29" s="25" t="s">
        <v>126</v>
      </c>
    </row>
    <row r="30" ht="15.75" customHeight="1">
      <c r="B30" s="18" t="s">
        <v>131</v>
      </c>
    </row>
    <row r="31" ht="15.75" customHeight="1">
      <c r="B31" s="18"/>
    </row>
    <row r="32" ht="14.25" customHeight="1"/>
    <row r="33" ht="18.75" customHeight="1">
      <c r="B33" s="34" t="s">
        <v>139</v>
      </c>
    </row>
    <row r="34" ht="15.75" customHeight="1">
      <c r="B34" s="18"/>
    </row>
    <row r="35" ht="15.75" customHeight="1">
      <c r="B35" s="18"/>
    </row>
    <row r="36" ht="15.75" customHeight="1">
      <c r="B36" s="18"/>
    </row>
    <row r="37" ht="15.75" customHeight="1">
      <c r="B37" s="18"/>
    </row>
    <row r="38" ht="15.75" customHeight="1">
      <c r="B38" s="18"/>
    </row>
    <row r="39" ht="15.75" customHeight="1">
      <c r="B39" s="18"/>
    </row>
    <row r="40" ht="14.25" customHeight="1"/>
    <row r="41" ht="18.75" customHeight="1">
      <c r="B41" s="15"/>
    </row>
    <row r="42" ht="15.75" customHeight="1">
      <c r="B42" s="18"/>
    </row>
    <row r="43" ht="15.75" customHeight="1">
      <c r="B43" s="18"/>
    </row>
    <row r="44" ht="15.75" customHeight="1">
      <c r="B44" s="18"/>
    </row>
    <row r="45" ht="15.75" customHeight="1">
      <c r="B45" s="18"/>
    </row>
    <row r="46" ht="15.75" customHeight="1">
      <c r="B46" s="18"/>
    </row>
    <row r="47" ht="15.75" customHeight="1">
      <c r="B47" s="18"/>
    </row>
    <row r="48" ht="15.75" customHeight="1">
      <c r="B48" s="18"/>
    </row>
    <row r="49" ht="15.0" customHeight="1">
      <c r="B49" s="29"/>
    </row>
    <row r="50" ht="15.0" customHeight="1">
      <c r="B50" s="29"/>
    </row>
    <row r="51" ht="15.0" customHeight="1"/>
    <row r="52" ht="18.75" customHeight="1">
      <c r="B52" s="15"/>
    </row>
    <row r="53" ht="15.0" customHeight="1">
      <c r="B53" s="29"/>
    </row>
    <row r="54" ht="15.0" customHeight="1">
      <c r="B54" s="29"/>
    </row>
    <row r="55" ht="15.0" customHeight="1">
      <c r="B55" s="29"/>
    </row>
    <row r="56" ht="15.0" customHeight="1">
      <c r="B56" s="29"/>
    </row>
    <row r="57" ht="15.0" customHeight="1">
      <c r="B57" s="29"/>
    </row>
    <row r="58" ht="15.0" customHeight="1">
      <c r="B58" s="29"/>
    </row>
    <row r="59" ht="14.25" customHeight="1"/>
    <row r="60" ht="14.25" customHeight="1"/>
    <row r="61" ht="15.0" customHeight="1">
      <c r="B61" s="39"/>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12.0"/>
    <col customWidth="1" min="3" max="3" width="16.0"/>
    <col customWidth="1" min="4" max="4" width="8.0"/>
    <col customWidth="1" min="5" max="5" width="16.0"/>
    <col customWidth="1" min="6" max="6" width="22.0"/>
    <col customWidth="1" min="7" max="7" width="34.0"/>
    <col customWidth="1" min="8" max="8" width="26.0"/>
    <col customWidth="1" min="9" max="9" width="12.0"/>
    <col customWidth="1" min="10" max="10" width="16.0"/>
    <col customWidth="1" min="11" max="11" width="26.0"/>
    <col customWidth="1" min="12" max="12" width="10.0"/>
    <col customWidth="1" min="13" max="13" width="8.0"/>
    <col customWidth="1" min="14" max="14" width="26.0"/>
    <col customWidth="1" min="15" max="15" width="46.0"/>
    <col customWidth="1" min="16" max="16" width="12.0"/>
    <col customWidth="1" min="17" max="17" width="30.0"/>
    <col customWidth="1" min="18" max="18" width="24.0"/>
    <col customWidth="1" min="19" max="19" width="18.29"/>
    <col customWidth="1" min="20" max="20" width="12.0"/>
    <col customWidth="1" min="21" max="23" width="10.0"/>
    <col customWidth="1" min="24" max="24" width="12.0"/>
    <col customWidth="1" min="25" max="25" width="34.0"/>
    <col customWidth="1" min="26" max="27" width="45.0"/>
    <col customWidth="1" min="28" max="28" width="19.14"/>
    <col customWidth="1" min="29" max="29" width="41.14"/>
    <col customWidth="1" min="30" max="30" width="42.0"/>
    <col customWidth="1" min="31" max="31" width="18.0"/>
  </cols>
  <sheetData>
    <row r="1" ht="45.75" customHeight="1">
      <c r="A1" s="1"/>
      <c r="B1" s="3" t="s">
        <v>0</v>
      </c>
      <c r="C1" s="3" t="s">
        <v>6</v>
      </c>
      <c r="D1" s="3" t="s">
        <v>7</v>
      </c>
      <c r="E1" s="3" t="s">
        <v>9</v>
      </c>
      <c r="F1" s="3" t="s">
        <v>11</v>
      </c>
      <c r="G1" s="3" t="s">
        <v>13</v>
      </c>
      <c r="H1" s="3" t="s">
        <v>14</v>
      </c>
      <c r="I1" s="3" t="s">
        <v>16</v>
      </c>
      <c r="J1" s="3" t="s">
        <v>18</v>
      </c>
      <c r="K1" s="3" t="s">
        <v>20</v>
      </c>
      <c r="L1" s="3" t="s">
        <v>23</v>
      </c>
      <c r="M1" s="3" t="s">
        <v>25</v>
      </c>
      <c r="N1" s="3" t="s">
        <v>27</v>
      </c>
      <c r="O1" s="3" t="s">
        <v>28</v>
      </c>
      <c r="P1" s="1" t="s">
        <v>30</v>
      </c>
      <c r="Q1" s="1" t="s">
        <v>31</v>
      </c>
      <c r="R1" s="3" t="s">
        <v>33</v>
      </c>
      <c r="S1" s="3" t="s">
        <v>34</v>
      </c>
      <c r="T1" s="7" t="s">
        <v>35</v>
      </c>
      <c r="U1" s="1" t="s">
        <v>37</v>
      </c>
      <c r="V1" s="1" t="s">
        <v>38</v>
      </c>
      <c r="W1" s="1" t="s">
        <v>39</v>
      </c>
      <c r="X1" s="12" t="s">
        <v>42</v>
      </c>
      <c r="Y1" s="3" t="s">
        <v>47</v>
      </c>
      <c r="Z1" s="3" t="s">
        <v>48</v>
      </c>
      <c r="AA1" s="17" t="s">
        <v>51</v>
      </c>
      <c r="AB1" s="17" t="s">
        <v>58</v>
      </c>
      <c r="AC1" s="17" t="s">
        <v>59</v>
      </c>
      <c r="AD1" s="21" t="s">
        <v>60</v>
      </c>
      <c r="AE1" s="21" t="s">
        <v>63</v>
      </c>
    </row>
    <row r="2" ht="91.5" customHeight="1">
      <c r="A2" s="9">
        <v>1.0</v>
      </c>
      <c r="B2" s="6" t="s">
        <v>29</v>
      </c>
      <c r="C2" s="10" t="s">
        <v>68</v>
      </c>
      <c r="D2" s="24" t="s">
        <v>71</v>
      </c>
      <c r="E2" s="10" t="s">
        <v>77</v>
      </c>
      <c r="F2" s="6" t="s">
        <v>36</v>
      </c>
      <c r="G2" s="10" t="s">
        <v>79</v>
      </c>
      <c r="H2" s="10" t="s">
        <v>81</v>
      </c>
      <c r="I2" s="10" t="s">
        <v>82</v>
      </c>
      <c r="J2" s="6" t="s">
        <v>83</v>
      </c>
      <c r="K2" s="6" t="s">
        <v>83</v>
      </c>
      <c r="L2" s="8" t="s">
        <v>86</v>
      </c>
      <c r="M2" s="9">
        <v>5.0</v>
      </c>
      <c r="N2" s="10" t="s">
        <v>90</v>
      </c>
      <c r="O2" s="6" t="s">
        <v>92</v>
      </c>
      <c r="P2" s="27" t="s">
        <v>94</v>
      </c>
      <c r="Q2" s="6" t="s">
        <v>97</v>
      </c>
      <c r="R2" s="6" t="s">
        <v>99</v>
      </c>
      <c r="S2" s="6" t="s">
        <v>101</v>
      </c>
      <c r="T2" s="30">
        <v>4.0</v>
      </c>
      <c r="U2" s="31"/>
      <c r="V2" s="31"/>
      <c r="W2" s="31"/>
      <c r="X2" s="32">
        <v>75.0</v>
      </c>
      <c r="Y2" s="6" t="s">
        <v>130</v>
      </c>
      <c r="Z2" s="33" t="s">
        <v>135</v>
      </c>
      <c r="AA2" s="35" t="s">
        <v>140</v>
      </c>
      <c r="AB2" s="36" t="s">
        <v>145</v>
      </c>
      <c r="AC2" s="37" t="s">
        <v>150</v>
      </c>
      <c r="AD2" s="38" t="s">
        <v>155</v>
      </c>
      <c r="AE2" s="38" t="s">
        <v>160</v>
      </c>
    </row>
    <row r="3" ht="91.5" customHeight="1">
      <c r="A3" s="9">
        <v>2.0</v>
      </c>
      <c r="B3" s="13" t="s">
        <v>73</v>
      </c>
      <c r="C3" s="20" t="s">
        <v>68</v>
      </c>
      <c r="D3" s="24" t="s">
        <v>71</v>
      </c>
      <c r="E3" s="20" t="s">
        <v>77</v>
      </c>
      <c r="F3" s="13" t="s">
        <v>74</v>
      </c>
      <c r="G3" s="20" t="s">
        <v>169</v>
      </c>
      <c r="H3" s="13" t="s">
        <v>170</v>
      </c>
      <c r="I3" s="20" t="s">
        <v>171</v>
      </c>
      <c r="J3" s="13" t="s">
        <v>83</v>
      </c>
      <c r="K3" s="13" t="s">
        <v>83</v>
      </c>
      <c r="L3" s="26" t="s">
        <v>86</v>
      </c>
      <c r="M3" s="16">
        <v>3.0</v>
      </c>
      <c r="N3" s="20" t="s">
        <v>181</v>
      </c>
      <c r="O3" s="13" t="s">
        <v>182</v>
      </c>
      <c r="P3" s="27" t="s">
        <v>94</v>
      </c>
      <c r="Q3" s="13" t="s">
        <v>184</v>
      </c>
      <c r="R3" s="13" t="s">
        <v>99</v>
      </c>
      <c r="S3" s="13" t="s">
        <v>101</v>
      </c>
      <c r="T3" s="40">
        <v>3.0</v>
      </c>
      <c r="U3" s="31"/>
      <c r="V3" s="31"/>
      <c r="W3" s="31"/>
      <c r="X3" s="41">
        <v>100.0</v>
      </c>
      <c r="Y3" s="13" t="s">
        <v>194</v>
      </c>
      <c r="Z3" s="42" t="s">
        <v>198</v>
      </c>
      <c r="AA3" s="43" t="s">
        <v>201</v>
      </c>
      <c r="AB3" s="44" t="s">
        <v>204</v>
      </c>
      <c r="AC3" s="45" t="s">
        <v>209</v>
      </c>
      <c r="AD3" s="38" t="s">
        <v>211</v>
      </c>
      <c r="AE3" s="38" t="s">
        <v>213</v>
      </c>
    </row>
    <row r="4" ht="147.0" customHeight="1">
      <c r="A4" s="9">
        <v>3.0</v>
      </c>
      <c r="B4" s="6" t="s">
        <v>85</v>
      </c>
      <c r="C4" s="10" t="s">
        <v>68</v>
      </c>
      <c r="D4" s="24" t="s">
        <v>71</v>
      </c>
      <c r="E4" s="10" t="s">
        <v>77</v>
      </c>
      <c r="F4" s="6" t="s">
        <v>87</v>
      </c>
      <c r="G4" s="6" t="s">
        <v>216</v>
      </c>
      <c r="H4" s="10" t="s">
        <v>217</v>
      </c>
      <c r="I4" s="10" t="s">
        <v>82</v>
      </c>
      <c r="J4" s="10" t="s">
        <v>219</v>
      </c>
      <c r="K4" s="6" t="s">
        <v>221</v>
      </c>
      <c r="L4" s="8" t="s">
        <v>86</v>
      </c>
      <c r="M4" s="9">
        <v>5.0</v>
      </c>
      <c r="N4" s="10" t="s">
        <v>90</v>
      </c>
      <c r="O4" s="6" t="s">
        <v>233</v>
      </c>
      <c r="P4" s="27" t="s">
        <v>94</v>
      </c>
      <c r="Q4" s="6" t="s">
        <v>235</v>
      </c>
      <c r="R4" s="6" t="s">
        <v>236</v>
      </c>
      <c r="S4" s="6" t="s">
        <v>101</v>
      </c>
      <c r="T4" s="40">
        <v>3.0</v>
      </c>
      <c r="U4" s="31"/>
      <c r="V4" s="31"/>
      <c r="W4" s="31"/>
      <c r="X4" s="46">
        <v>50.0</v>
      </c>
      <c r="Y4" s="10" t="s">
        <v>252</v>
      </c>
      <c r="Z4" s="33" t="s">
        <v>253</v>
      </c>
      <c r="AA4" s="47" t="s">
        <v>256</v>
      </c>
      <c r="AB4" s="36" t="s">
        <v>145</v>
      </c>
      <c r="AC4" s="48" t="s">
        <v>262</v>
      </c>
      <c r="AD4" s="38" t="s">
        <v>264</v>
      </c>
      <c r="AE4" s="38" t="s">
        <v>160</v>
      </c>
    </row>
    <row r="5" ht="126.75" customHeight="1">
      <c r="A5" s="9">
        <v>4.0</v>
      </c>
      <c r="B5" s="13" t="s">
        <v>111</v>
      </c>
      <c r="C5" s="20" t="s">
        <v>68</v>
      </c>
      <c r="D5" s="24" t="s">
        <v>71</v>
      </c>
      <c r="E5" s="20" t="s">
        <v>270</v>
      </c>
      <c r="F5" s="13" t="s">
        <v>113</v>
      </c>
      <c r="G5" s="20" t="s">
        <v>271</v>
      </c>
      <c r="H5" s="20" t="s">
        <v>217</v>
      </c>
      <c r="I5" s="20" t="s">
        <v>82</v>
      </c>
      <c r="J5" s="13" t="s">
        <v>83</v>
      </c>
      <c r="K5" s="13" t="s">
        <v>83</v>
      </c>
      <c r="L5" s="26" t="s">
        <v>86</v>
      </c>
      <c r="M5" s="16">
        <v>5.0</v>
      </c>
      <c r="N5" s="20" t="s">
        <v>90</v>
      </c>
      <c r="O5" s="13" t="s">
        <v>278</v>
      </c>
      <c r="P5" s="27" t="s">
        <v>94</v>
      </c>
      <c r="Q5" s="13" t="s">
        <v>280</v>
      </c>
      <c r="R5" s="13" t="s">
        <v>281</v>
      </c>
      <c r="S5" s="13" t="s">
        <v>101</v>
      </c>
      <c r="T5" s="40">
        <v>5.0</v>
      </c>
      <c r="U5" s="31"/>
      <c r="V5" s="31"/>
      <c r="W5" s="31"/>
      <c r="X5" s="41">
        <v>100.0</v>
      </c>
      <c r="Y5" s="20" t="s">
        <v>287</v>
      </c>
      <c r="Z5" s="42" t="s">
        <v>291</v>
      </c>
      <c r="AA5" s="43" t="s">
        <v>293</v>
      </c>
      <c r="AB5" s="44" t="s">
        <v>204</v>
      </c>
      <c r="AC5" s="45" t="s">
        <v>294</v>
      </c>
      <c r="AD5" s="38" t="s">
        <v>295</v>
      </c>
      <c r="AE5" s="38" t="s">
        <v>160</v>
      </c>
    </row>
    <row r="6" ht="138.0" customHeight="1">
      <c r="A6" s="9">
        <v>5.0</v>
      </c>
      <c r="B6" s="6" t="s">
        <v>132</v>
      </c>
      <c r="C6" s="10" t="s">
        <v>68</v>
      </c>
      <c r="D6" s="24" t="s">
        <v>71</v>
      </c>
      <c r="E6" s="10" t="s">
        <v>299</v>
      </c>
      <c r="F6" s="6" t="s">
        <v>133</v>
      </c>
      <c r="G6" s="10" t="s">
        <v>301</v>
      </c>
      <c r="H6" s="6" t="s">
        <v>303</v>
      </c>
      <c r="I6" s="10" t="s">
        <v>82</v>
      </c>
      <c r="J6" s="6" t="s">
        <v>83</v>
      </c>
      <c r="K6" s="6" t="s">
        <v>83</v>
      </c>
      <c r="L6" s="8" t="s">
        <v>308</v>
      </c>
      <c r="M6" s="9">
        <v>5.0</v>
      </c>
      <c r="N6" s="10" t="s">
        <v>310</v>
      </c>
      <c r="O6" s="10" t="s">
        <v>312</v>
      </c>
      <c r="P6" s="49" t="s">
        <v>313</v>
      </c>
      <c r="Q6" s="6" t="s">
        <v>315</v>
      </c>
      <c r="R6" s="6" t="s">
        <v>316</v>
      </c>
      <c r="S6" s="6" t="s">
        <v>101</v>
      </c>
      <c r="T6" s="40">
        <v>5.0</v>
      </c>
      <c r="U6" s="31"/>
      <c r="V6" s="31"/>
      <c r="W6" s="31"/>
      <c r="X6" s="46">
        <v>100.0</v>
      </c>
      <c r="Y6" s="10" t="s">
        <v>323</v>
      </c>
      <c r="Z6" s="33" t="s">
        <v>326</v>
      </c>
      <c r="AA6" s="47" t="s">
        <v>329</v>
      </c>
      <c r="AB6" s="44" t="s">
        <v>204</v>
      </c>
      <c r="AC6" s="35" t="s">
        <v>330</v>
      </c>
      <c r="AD6" s="38" t="s">
        <v>332</v>
      </c>
      <c r="AE6" s="38" t="s">
        <v>334</v>
      </c>
    </row>
    <row r="7" ht="91.5" customHeight="1">
      <c r="A7" s="9">
        <v>6.0</v>
      </c>
      <c r="B7" s="13" t="s">
        <v>156</v>
      </c>
      <c r="C7" s="20" t="s">
        <v>68</v>
      </c>
      <c r="D7" s="50" t="s">
        <v>338</v>
      </c>
      <c r="E7" s="20" t="s">
        <v>341</v>
      </c>
      <c r="F7" s="20" t="s">
        <v>158</v>
      </c>
      <c r="G7" s="20" t="s">
        <v>343</v>
      </c>
      <c r="H7" s="20" t="s">
        <v>344</v>
      </c>
      <c r="I7" s="20" t="s">
        <v>82</v>
      </c>
      <c r="J7" s="13" t="s">
        <v>83</v>
      </c>
      <c r="K7" s="13" t="s">
        <v>83</v>
      </c>
      <c r="L7" s="26" t="s">
        <v>86</v>
      </c>
      <c r="M7" s="16">
        <v>5.0</v>
      </c>
      <c r="N7" s="20" t="s">
        <v>90</v>
      </c>
      <c r="O7" s="13" t="s">
        <v>350</v>
      </c>
      <c r="P7" s="27" t="s">
        <v>94</v>
      </c>
      <c r="Q7" s="13" t="s">
        <v>353</v>
      </c>
      <c r="R7" s="13" t="s">
        <v>354</v>
      </c>
      <c r="S7" s="13" t="s">
        <v>101</v>
      </c>
      <c r="T7" s="40">
        <v>5.0</v>
      </c>
      <c r="U7" s="31"/>
      <c r="V7" s="31"/>
      <c r="W7" s="31"/>
      <c r="X7" s="41">
        <v>100.0</v>
      </c>
      <c r="Y7" s="20" t="s">
        <v>359</v>
      </c>
      <c r="Z7" s="42" t="s">
        <v>362</v>
      </c>
      <c r="AA7" s="43" t="s">
        <v>364</v>
      </c>
      <c r="AB7" s="44" t="s">
        <v>204</v>
      </c>
      <c r="AC7" s="45" t="s">
        <v>368</v>
      </c>
      <c r="AD7" s="38" t="s">
        <v>370</v>
      </c>
      <c r="AE7" s="38" t="s">
        <v>160</v>
      </c>
    </row>
    <row r="8" ht="91.5" customHeight="1">
      <c r="A8" s="9">
        <v>7.0</v>
      </c>
      <c r="B8" s="6" t="s">
        <v>176</v>
      </c>
      <c r="C8" s="10" t="s">
        <v>68</v>
      </c>
      <c r="D8" s="50" t="s">
        <v>338</v>
      </c>
      <c r="E8" s="10" t="s">
        <v>341</v>
      </c>
      <c r="F8" s="10" t="s">
        <v>177</v>
      </c>
      <c r="G8" s="10" t="s">
        <v>374</v>
      </c>
      <c r="H8" s="10" t="s">
        <v>376</v>
      </c>
      <c r="I8" s="10" t="s">
        <v>82</v>
      </c>
      <c r="J8" s="6" t="s">
        <v>83</v>
      </c>
      <c r="K8" s="6" t="s">
        <v>83</v>
      </c>
      <c r="L8" s="8" t="s">
        <v>308</v>
      </c>
      <c r="M8" s="9">
        <v>5.0</v>
      </c>
      <c r="N8" s="10" t="s">
        <v>310</v>
      </c>
      <c r="O8" s="10" t="s">
        <v>378</v>
      </c>
      <c r="P8" s="27" t="s">
        <v>94</v>
      </c>
      <c r="Q8" s="6" t="s">
        <v>381</v>
      </c>
      <c r="R8" s="6" t="s">
        <v>388</v>
      </c>
      <c r="S8" s="6" t="s">
        <v>101</v>
      </c>
      <c r="T8" s="40">
        <v>4.0</v>
      </c>
      <c r="U8" s="31"/>
      <c r="V8" s="31"/>
      <c r="W8" s="31"/>
      <c r="X8" s="46">
        <v>75.0</v>
      </c>
      <c r="Y8" s="10" t="s">
        <v>395</v>
      </c>
      <c r="Z8" s="33" t="s">
        <v>399</v>
      </c>
      <c r="AA8" s="47" t="s">
        <v>401</v>
      </c>
      <c r="AB8" s="53" t="s">
        <v>402</v>
      </c>
      <c r="AC8" s="35" t="s">
        <v>408</v>
      </c>
      <c r="AD8" s="38" t="s">
        <v>409</v>
      </c>
      <c r="AE8" s="38" t="s">
        <v>334</v>
      </c>
    </row>
    <row r="9" ht="159.0" customHeight="1">
      <c r="A9" s="9">
        <v>8.0</v>
      </c>
      <c r="B9" s="13" t="s">
        <v>225</v>
      </c>
      <c r="C9" s="20" t="s">
        <v>68</v>
      </c>
      <c r="D9" s="50" t="s">
        <v>338</v>
      </c>
      <c r="E9" s="20" t="s">
        <v>413</v>
      </c>
      <c r="F9" s="20" t="s">
        <v>227</v>
      </c>
      <c r="G9" s="20" t="s">
        <v>417</v>
      </c>
      <c r="H9" s="20" t="s">
        <v>419</v>
      </c>
      <c r="I9" s="20" t="s">
        <v>171</v>
      </c>
      <c r="J9" s="20" t="s">
        <v>423</v>
      </c>
      <c r="K9" s="20" t="s">
        <v>424</v>
      </c>
      <c r="L9" s="26" t="s">
        <v>86</v>
      </c>
      <c r="M9" s="16">
        <v>3.0</v>
      </c>
      <c r="N9" s="20" t="s">
        <v>181</v>
      </c>
      <c r="O9" s="13" t="s">
        <v>426</v>
      </c>
      <c r="P9" s="49" t="s">
        <v>313</v>
      </c>
      <c r="Q9" s="13" t="s">
        <v>428</v>
      </c>
      <c r="R9" s="13" t="s">
        <v>430</v>
      </c>
      <c r="S9" s="13" t="s">
        <v>101</v>
      </c>
      <c r="T9" s="40">
        <v>3.0</v>
      </c>
      <c r="U9" s="31"/>
      <c r="V9" s="31"/>
      <c r="W9" s="31"/>
      <c r="X9" s="32">
        <v>100.0</v>
      </c>
      <c r="Y9" s="13" t="s">
        <v>434</v>
      </c>
      <c r="Z9" s="42" t="s">
        <v>436</v>
      </c>
      <c r="AA9" s="43" t="s">
        <v>438</v>
      </c>
      <c r="AB9" s="36" t="s">
        <v>145</v>
      </c>
      <c r="AC9" s="48" t="s">
        <v>441</v>
      </c>
      <c r="AD9" s="38" t="s">
        <v>443</v>
      </c>
      <c r="AE9" s="38" t="s">
        <v>213</v>
      </c>
    </row>
    <row r="10" ht="140.25" customHeight="1">
      <c r="A10" s="9">
        <v>9.0</v>
      </c>
      <c r="B10" s="13" t="s">
        <v>240</v>
      </c>
      <c r="C10" s="20" t="s">
        <v>68</v>
      </c>
      <c r="D10" s="50" t="s">
        <v>338</v>
      </c>
      <c r="E10" s="20" t="s">
        <v>413</v>
      </c>
      <c r="F10" s="20" t="s">
        <v>241</v>
      </c>
      <c r="G10" s="20" t="s">
        <v>449</v>
      </c>
      <c r="H10" s="20" t="s">
        <v>450</v>
      </c>
      <c r="I10" s="20" t="s">
        <v>82</v>
      </c>
      <c r="J10" s="13" t="s">
        <v>83</v>
      </c>
      <c r="K10" s="13" t="s">
        <v>83</v>
      </c>
      <c r="L10" s="26" t="s">
        <v>308</v>
      </c>
      <c r="M10" s="16">
        <v>5.0</v>
      </c>
      <c r="N10" s="10" t="s">
        <v>310</v>
      </c>
      <c r="O10" s="20" t="s">
        <v>454</v>
      </c>
      <c r="P10" s="49" t="s">
        <v>313</v>
      </c>
      <c r="Q10" s="13" t="s">
        <v>456</v>
      </c>
      <c r="R10" s="13" t="s">
        <v>457</v>
      </c>
      <c r="S10" s="13" t="s">
        <v>101</v>
      </c>
      <c r="T10" s="40">
        <v>5.0</v>
      </c>
      <c r="U10" s="31"/>
      <c r="V10" s="31"/>
      <c r="W10" s="31"/>
      <c r="X10" s="41">
        <v>100.0</v>
      </c>
      <c r="Y10" s="20" t="s">
        <v>461</v>
      </c>
      <c r="Z10" s="42" t="s">
        <v>464</v>
      </c>
      <c r="AA10" s="43" t="s">
        <v>467</v>
      </c>
      <c r="AB10" s="44" t="s">
        <v>204</v>
      </c>
      <c r="AC10" s="45" t="s">
        <v>472</v>
      </c>
      <c r="AD10" s="38" t="s">
        <v>473</v>
      </c>
      <c r="AE10" s="38" t="s">
        <v>334</v>
      </c>
    </row>
    <row r="11" ht="91.5" customHeight="1">
      <c r="A11" s="9">
        <v>10.0</v>
      </c>
      <c r="B11" s="6" t="s">
        <v>255</v>
      </c>
      <c r="C11" s="10" t="s">
        <v>68</v>
      </c>
      <c r="D11" s="50" t="s">
        <v>338</v>
      </c>
      <c r="E11" s="10" t="s">
        <v>477</v>
      </c>
      <c r="F11" s="10" t="s">
        <v>257</v>
      </c>
      <c r="G11" s="10" t="s">
        <v>479</v>
      </c>
      <c r="H11" s="10" t="s">
        <v>481</v>
      </c>
      <c r="I11" s="20" t="s">
        <v>171</v>
      </c>
      <c r="J11" s="10" t="s">
        <v>423</v>
      </c>
      <c r="K11" s="10" t="s">
        <v>482</v>
      </c>
      <c r="L11" s="8" t="s">
        <v>86</v>
      </c>
      <c r="M11" s="9">
        <v>3.0</v>
      </c>
      <c r="N11" s="10" t="s">
        <v>181</v>
      </c>
      <c r="O11" s="6" t="s">
        <v>487</v>
      </c>
      <c r="P11" s="27" t="s">
        <v>94</v>
      </c>
      <c r="Q11" s="6" t="s">
        <v>489</v>
      </c>
      <c r="R11" s="6" t="s">
        <v>490</v>
      </c>
      <c r="S11" s="6" t="s">
        <v>101</v>
      </c>
      <c r="T11" s="40">
        <v>3.0</v>
      </c>
      <c r="U11" s="31"/>
      <c r="V11" s="31"/>
      <c r="W11" s="31"/>
      <c r="X11" s="46">
        <v>100.0</v>
      </c>
      <c r="Y11" s="10" t="s">
        <v>494</v>
      </c>
      <c r="Z11" s="33" t="s">
        <v>498</v>
      </c>
      <c r="AA11" s="47" t="s">
        <v>499</v>
      </c>
      <c r="AB11" s="44" t="s">
        <v>204</v>
      </c>
      <c r="AC11" s="35" t="s">
        <v>501</v>
      </c>
      <c r="AD11" s="38" t="s">
        <v>502</v>
      </c>
      <c r="AE11" s="38" t="s">
        <v>213</v>
      </c>
    </row>
    <row r="12" ht="91.5" customHeight="1">
      <c r="A12" s="9">
        <v>11.0</v>
      </c>
      <c r="B12" s="6" t="s">
        <v>276</v>
      </c>
      <c r="C12" s="10" t="s">
        <v>68</v>
      </c>
      <c r="D12" s="50" t="s">
        <v>338</v>
      </c>
      <c r="E12" s="10" t="s">
        <v>506</v>
      </c>
      <c r="F12" s="10" t="s">
        <v>277</v>
      </c>
      <c r="G12" s="10" t="s">
        <v>508</v>
      </c>
      <c r="H12" s="10" t="s">
        <v>509</v>
      </c>
      <c r="I12" s="20" t="s">
        <v>171</v>
      </c>
      <c r="J12" s="10" t="s">
        <v>423</v>
      </c>
      <c r="K12" s="10" t="s">
        <v>515</v>
      </c>
      <c r="L12" s="8" t="s">
        <v>86</v>
      </c>
      <c r="M12" s="9">
        <v>3.0</v>
      </c>
      <c r="N12" s="10" t="s">
        <v>181</v>
      </c>
      <c r="O12" s="6" t="s">
        <v>518</v>
      </c>
      <c r="P12" s="58" t="s">
        <v>410</v>
      </c>
      <c r="Q12" s="6" t="s">
        <v>534</v>
      </c>
      <c r="R12" s="6" t="s">
        <v>535</v>
      </c>
      <c r="S12" s="6" t="s">
        <v>101</v>
      </c>
      <c r="T12" s="40">
        <v>3.0</v>
      </c>
      <c r="U12" s="31"/>
      <c r="V12" s="31"/>
      <c r="W12" s="31"/>
      <c r="X12" s="46">
        <v>100.0</v>
      </c>
      <c r="Y12" s="6" t="s">
        <v>539</v>
      </c>
      <c r="Z12" s="33" t="s">
        <v>541</v>
      </c>
      <c r="AA12" s="47" t="s">
        <v>544</v>
      </c>
      <c r="AB12" s="44" t="s">
        <v>204</v>
      </c>
      <c r="AC12" s="35" t="s">
        <v>548</v>
      </c>
      <c r="AD12" s="38" t="s">
        <v>549</v>
      </c>
      <c r="AE12" s="38" t="s">
        <v>213</v>
      </c>
    </row>
    <row r="13" ht="91.5" customHeight="1">
      <c r="A13" s="9">
        <v>12.0</v>
      </c>
      <c r="B13" s="6" t="s">
        <v>302</v>
      </c>
      <c r="C13" s="10" t="s">
        <v>68</v>
      </c>
      <c r="D13" s="50" t="s">
        <v>338</v>
      </c>
      <c r="E13" s="10" t="s">
        <v>553</v>
      </c>
      <c r="F13" s="10" t="s">
        <v>304</v>
      </c>
      <c r="G13" s="10" t="s">
        <v>556</v>
      </c>
      <c r="H13" s="10" t="s">
        <v>558</v>
      </c>
      <c r="I13" s="20" t="s">
        <v>171</v>
      </c>
      <c r="J13" s="10" t="s">
        <v>423</v>
      </c>
      <c r="K13" s="10" t="s">
        <v>562</v>
      </c>
      <c r="L13" s="8" t="s">
        <v>86</v>
      </c>
      <c r="M13" s="9">
        <v>3.0</v>
      </c>
      <c r="N13" s="10" t="s">
        <v>181</v>
      </c>
      <c r="O13" s="6" t="s">
        <v>567</v>
      </c>
      <c r="P13" s="58" t="s">
        <v>410</v>
      </c>
      <c r="Q13" s="6" t="s">
        <v>534</v>
      </c>
      <c r="R13" s="6" t="s">
        <v>569</v>
      </c>
      <c r="S13" s="6" t="s">
        <v>101</v>
      </c>
      <c r="T13" s="40">
        <v>1.0</v>
      </c>
      <c r="U13" s="31"/>
      <c r="V13" s="31"/>
      <c r="W13" s="31"/>
      <c r="X13" s="46">
        <v>0.0</v>
      </c>
      <c r="Y13" s="10" t="s">
        <v>576</v>
      </c>
      <c r="Z13" s="33" t="s">
        <v>578</v>
      </c>
      <c r="AA13" s="47" t="s">
        <v>581</v>
      </c>
      <c r="AB13" s="36" t="s">
        <v>145</v>
      </c>
      <c r="AC13" s="48" t="s">
        <v>584</v>
      </c>
      <c r="AD13" s="38" t="s">
        <v>586</v>
      </c>
      <c r="AE13" s="38" t="s">
        <v>213</v>
      </c>
    </row>
    <row r="14" ht="91.5" customHeight="1">
      <c r="A14" s="9">
        <v>13.0</v>
      </c>
      <c r="B14" s="6" t="s">
        <v>333</v>
      </c>
      <c r="C14" s="10" t="s">
        <v>68</v>
      </c>
      <c r="D14" s="50" t="s">
        <v>338</v>
      </c>
      <c r="E14" s="10" t="s">
        <v>591</v>
      </c>
      <c r="F14" s="10" t="s">
        <v>335</v>
      </c>
      <c r="G14" s="10" t="s">
        <v>594</v>
      </c>
      <c r="H14" s="10" t="s">
        <v>596</v>
      </c>
      <c r="I14" s="20" t="s">
        <v>171</v>
      </c>
      <c r="J14" s="10" t="s">
        <v>423</v>
      </c>
      <c r="K14" s="10" t="s">
        <v>598</v>
      </c>
      <c r="L14" s="8" t="s">
        <v>86</v>
      </c>
      <c r="M14" s="9">
        <v>3.0</v>
      </c>
      <c r="N14" s="10" t="s">
        <v>181</v>
      </c>
      <c r="O14" s="6" t="s">
        <v>603</v>
      </c>
      <c r="P14" s="58" t="s">
        <v>410</v>
      </c>
      <c r="Q14" s="6" t="s">
        <v>605</v>
      </c>
      <c r="R14" s="6" t="s">
        <v>607</v>
      </c>
      <c r="S14" s="6" t="s">
        <v>101</v>
      </c>
      <c r="T14" s="40">
        <v>1.0</v>
      </c>
      <c r="U14" s="31"/>
      <c r="V14" s="31"/>
      <c r="W14" s="31"/>
      <c r="X14" s="46">
        <v>0.0</v>
      </c>
      <c r="Y14" s="10" t="s">
        <v>612</v>
      </c>
      <c r="Z14" s="33" t="s">
        <v>614</v>
      </c>
      <c r="AA14" s="43" t="s">
        <v>617</v>
      </c>
      <c r="AB14" s="36" t="s">
        <v>145</v>
      </c>
      <c r="AC14" s="35" t="s">
        <v>620</v>
      </c>
      <c r="AD14" s="38" t="s">
        <v>621</v>
      </c>
      <c r="AE14" s="38" t="s">
        <v>213</v>
      </c>
    </row>
    <row r="15" ht="91.5" customHeight="1">
      <c r="A15" s="9">
        <v>14.0</v>
      </c>
      <c r="B15" s="13" t="s">
        <v>346</v>
      </c>
      <c r="C15" s="20" t="s">
        <v>68</v>
      </c>
      <c r="D15" s="50" t="s">
        <v>338</v>
      </c>
      <c r="E15" s="20" t="s">
        <v>591</v>
      </c>
      <c r="F15" s="20" t="s">
        <v>348</v>
      </c>
      <c r="G15" s="20" t="s">
        <v>630</v>
      </c>
      <c r="H15" s="20" t="s">
        <v>631</v>
      </c>
      <c r="I15" s="20" t="s">
        <v>171</v>
      </c>
      <c r="J15" s="20" t="s">
        <v>423</v>
      </c>
      <c r="K15" s="20" t="s">
        <v>634</v>
      </c>
      <c r="L15" s="26" t="s">
        <v>86</v>
      </c>
      <c r="M15" s="16">
        <v>3.0</v>
      </c>
      <c r="N15" s="20" t="s">
        <v>181</v>
      </c>
      <c r="O15" s="13" t="s">
        <v>640</v>
      </c>
      <c r="P15" s="58" t="s">
        <v>410</v>
      </c>
      <c r="Q15" s="13" t="s">
        <v>605</v>
      </c>
      <c r="R15" s="13" t="s">
        <v>641</v>
      </c>
      <c r="S15" s="13" t="s">
        <v>101</v>
      </c>
      <c r="T15" s="40">
        <v>1.0</v>
      </c>
      <c r="U15" s="31"/>
      <c r="V15" s="31"/>
      <c r="W15" s="31"/>
      <c r="X15" s="41">
        <v>0.0</v>
      </c>
      <c r="Y15" s="20" t="s">
        <v>649</v>
      </c>
      <c r="Z15" s="42" t="s">
        <v>651</v>
      </c>
      <c r="AA15" s="43" t="s">
        <v>617</v>
      </c>
      <c r="AB15" s="36" t="s">
        <v>145</v>
      </c>
      <c r="AC15" s="45" t="s">
        <v>654</v>
      </c>
      <c r="AD15" s="38" t="s">
        <v>656</v>
      </c>
      <c r="AE15" s="38" t="s">
        <v>213</v>
      </c>
    </row>
    <row r="16" ht="91.5" customHeight="1">
      <c r="A16" s="9">
        <v>15.0</v>
      </c>
      <c r="B16" s="6" t="s">
        <v>660</v>
      </c>
      <c r="C16" s="10" t="s">
        <v>68</v>
      </c>
      <c r="D16" s="50" t="s">
        <v>338</v>
      </c>
      <c r="E16" s="10" t="s">
        <v>663</v>
      </c>
      <c r="F16" s="10" t="s">
        <v>663</v>
      </c>
      <c r="G16" s="10" t="s">
        <v>666</v>
      </c>
      <c r="H16" s="10" t="s">
        <v>667</v>
      </c>
      <c r="I16" s="20" t="s">
        <v>171</v>
      </c>
      <c r="J16" s="10" t="s">
        <v>423</v>
      </c>
      <c r="K16" s="6" t="s">
        <v>671</v>
      </c>
      <c r="L16" s="8" t="s">
        <v>673</v>
      </c>
      <c r="M16" s="9">
        <v>3.0</v>
      </c>
      <c r="N16" s="10" t="s">
        <v>675</v>
      </c>
      <c r="O16" s="10" t="s">
        <v>679</v>
      </c>
      <c r="P16" s="27" t="s">
        <v>94</v>
      </c>
      <c r="Q16" s="6" t="s">
        <v>681</v>
      </c>
      <c r="R16" s="6" t="s">
        <v>685</v>
      </c>
      <c r="S16" s="6" t="s">
        <v>101</v>
      </c>
      <c r="T16" s="62" t="s">
        <v>688</v>
      </c>
      <c r="U16" s="63">
        <v>0.0</v>
      </c>
      <c r="V16" s="63">
        <v>0.0</v>
      </c>
      <c r="W16" s="63">
        <v>0.0</v>
      </c>
      <c r="X16" s="46">
        <v>100.0</v>
      </c>
      <c r="Y16" s="10" t="s">
        <v>708</v>
      </c>
      <c r="Z16" s="33" t="s">
        <v>711</v>
      </c>
      <c r="AA16" s="47" t="s">
        <v>712</v>
      </c>
      <c r="AB16" s="53" t="s">
        <v>402</v>
      </c>
      <c r="AC16" s="35" t="s">
        <v>715</v>
      </c>
      <c r="AD16" s="38" t="s">
        <v>717</v>
      </c>
      <c r="AE16" s="38" t="s">
        <v>721</v>
      </c>
    </row>
    <row r="17" ht="91.5" customHeight="1">
      <c r="A17" s="9">
        <v>16.0</v>
      </c>
      <c r="B17" s="6" t="s">
        <v>383</v>
      </c>
      <c r="C17" s="10" t="s">
        <v>68</v>
      </c>
      <c r="D17" s="50" t="s">
        <v>338</v>
      </c>
      <c r="E17" s="10" t="s">
        <v>726</v>
      </c>
      <c r="F17" s="10" t="s">
        <v>385</v>
      </c>
      <c r="G17" s="10" t="s">
        <v>728</v>
      </c>
      <c r="H17" s="10" t="s">
        <v>731</v>
      </c>
      <c r="I17" s="10" t="s">
        <v>734</v>
      </c>
      <c r="J17" s="6" t="s">
        <v>83</v>
      </c>
      <c r="K17" s="6" t="s">
        <v>83</v>
      </c>
      <c r="L17" s="8" t="s">
        <v>86</v>
      </c>
      <c r="M17" s="9">
        <v>5.0</v>
      </c>
      <c r="N17" s="10" t="s">
        <v>90</v>
      </c>
      <c r="O17" s="6" t="s">
        <v>743</v>
      </c>
      <c r="P17" s="49" t="s">
        <v>313</v>
      </c>
      <c r="Q17" s="6" t="s">
        <v>746</v>
      </c>
      <c r="R17" s="6" t="s">
        <v>749</v>
      </c>
      <c r="S17" s="6" t="s">
        <v>101</v>
      </c>
      <c r="T17" s="40">
        <v>1.0</v>
      </c>
      <c r="U17" s="31"/>
      <c r="V17" s="31"/>
      <c r="W17" s="31"/>
      <c r="X17" s="46">
        <v>0.0</v>
      </c>
      <c r="Y17" s="6" t="s">
        <v>758</v>
      </c>
      <c r="Z17" s="33" t="s">
        <v>763</v>
      </c>
      <c r="AA17" s="47" t="s">
        <v>766</v>
      </c>
      <c r="AB17" s="36" t="s">
        <v>145</v>
      </c>
      <c r="AC17" s="35" t="s">
        <v>770</v>
      </c>
      <c r="AD17" s="38" t="s">
        <v>771</v>
      </c>
      <c r="AE17" s="38" t="s">
        <v>160</v>
      </c>
    </row>
    <row r="18" ht="167.25" customHeight="1">
      <c r="A18" s="9">
        <v>17.0</v>
      </c>
      <c r="B18" s="6" t="s">
        <v>778</v>
      </c>
      <c r="C18" s="10" t="s">
        <v>68</v>
      </c>
      <c r="D18" s="50" t="s">
        <v>338</v>
      </c>
      <c r="E18" s="10" t="s">
        <v>726</v>
      </c>
      <c r="F18" s="10" t="s">
        <v>782</v>
      </c>
      <c r="G18" s="10" t="s">
        <v>784</v>
      </c>
      <c r="H18" s="10" t="s">
        <v>787</v>
      </c>
      <c r="I18" s="10" t="s">
        <v>734</v>
      </c>
      <c r="J18" s="10" t="s">
        <v>423</v>
      </c>
      <c r="K18" s="6" t="s">
        <v>789</v>
      </c>
      <c r="L18" s="8" t="s">
        <v>791</v>
      </c>
      <c r="M18" s="9"/>
      <c r="N18" s="10" t="s">
        <v>795</v>
      </c>
      <c r="O18" s="10" t="s">
        <v>799</v>
      </c>
      <c r="P18" s="49" t="s">
        <v>313</v>
      </c>
      <c r="Q18" s="6" t="s">
        <v>801</v>
      </c>
      <c r="R18" s="6" t="s">
        <v>803</v>
      </c>
      <c r="S18" s="6" t="s">
        <v>101</v>
      </c>
      <c r="T18" s="62" t="s">
        <v>805</v>
      </c>
      <c r="U18" s="31"/>
      <c r="V18" s="31"/>
      <c r="W18" s="31"/>
      <c r="X18" s="64">
        <v>62.5</v>
      </c>
      <c r="Y18" s="10" t="s">
        <v>815</v>
      </c>
      <c r="Z18" s="33" t="s">
        <v>818</v>
      </c>
      <c r="AA18" s="47" t="s">
        <v>824</v>
      </c>
      <c r="AB18" s="36" t="s">
        <v>145</v>
      </c>
      <c r="AC18" s="65" t="s">
        <v>826</v>
      </c>
      <c r="AD18" s="38" t="s">
        <v>828</v>
      </c>
      <c r="AE18" s="38" t="s">
        <v>830</v>
      </c>
    </row>
    <row r="19" ht="111.75" customHeight="1">
      <c r="A19" s="9">
        <v>18.0</v>
      </c>
      <c r="B19" s="6" t="s">
        <v>832</v>
      </c>
      <c r="C19" s="10" t="s">
        <v>68</v>
      </c>
      <c r="D19" s="66" t="s">
        <v>545</v>
      </c>
      <c r="E19" s="10" t="s">
        <v>837</v>
      </c>
      <c r="F19" s="10" t="s">
        <v>838</v>
      </c>
      <c r="G19" s="10" t="s">
        <v>839</v>
      </c>
      <c r="H19" s="10" t="s">
        <v>841</v>
      </c>
      <c r="I19" s="10" t="s">
        <v>82</v>
      </c>
      <c r="J19" s="6" t="s">
        <v>83</v>
      </c>
      <c r="K19" s="6" t="s">
        <v>83</v>
      </c>
      <c r="L19" s="8" t="s">
        <v>791</v>
      </c>
      <c r="M19" s="9"/>
      <c r="N19" s="10" t="s">
        <v>849</v>
      </c>
      <c r="O19" s="10" t="s">
        <v>850</v>
      </c>
      <c r="P19" s="49" t="s">
        <v>313</v>
      </c>
      <c r="Q19" s="6" t="s">
        <v>853</v>
      </c>
      <c r="R19" s="6" t="s">
        <v>854</v>
      </c>
      <c r="S19" s="6" t="s">
        <v>101</v>
      </c>
      <c r="T19" s="62" t="s">
        <v>805</v>
      </c>
      <c r="U19" s="31"/>
      <c r="V19" s="31"/>
      <c r="W19" s="31"/>
      <c r="X19" s="46">
        <v>100.0</v>
      </c>
      <c r="Y19" s="6" t="s">
        <v>858</v>
      </c>
      <c r="Z19" s="33" t="s">
        <v>861</v>
      </c>
      <c r="AA19" s="47" t="s">
        <v>865</v>
      </c>
      <c r="AB19" s="36" t="s">
        <v>145</v>
      </c>
      <c r="AC19" s="65" t="s">
        <v>869</v>
      </c>
      <c r="AD19" s="38" t="s">
        <v>870</v>
      </c>
      <c r="AE19" s="38" t="s">
        <v>871</v>
      </c>
    </row>
    <row r="20" ht="91.5" customHeight="1">
      <c r="A20" s="9">
        <v>19.0</v>
      </c>
      <c r="B20" s="6" t="s">
        <v>873</v>
      </c>
      <c r="C20" s="10" t="s">
        <v>68</v>
      </c>
      <c r="D20" s="66" t="s">
        <v>545</v>
      </c>
      <c r="E20" s="10" t="s">
        <v>837</v>
      </c>
      <c r="F20" s="10" t="s">
        <v>876</v>
      </c>
      <c r="G20" s="10" t="s">
        <v>877</v>
      </c>
      <c r="H20" s="10" t="s">
        <v>879</v>
      </c>
      <c r="I20" s="10" t="s">
        <v>880</v>
      </c>
      <c r="J20" s="6" t="s">
        <v>83</v>
      </c>
      <c r="K20" s="6" t="s">
        <v>83</v>
      </c>
      <c r="L20" s="8" t="s">
        <v>86</v>
      </c>
      <c r="M20" s="9">
        <v>5.0</v>
      </c>
      <c r="N20" s="10" t="s">
        <v>90</v>
      </c>
      <c r="O20" s="6" t="s">
        <v>882</v>
      </c>
      <c r="P20" s="27" t="s">
        <v>94</v>
      </c>
      <c r="Q20" s="6" t="s">
        <v>885</v>
      </c>
      <c r="R20" s="10" t="s">
        <v>886</v>
      </c>
      <c r="S20" s="6" t="s">
        <v>101</v>
      </c>
      <c r="T20" s="40">
        <v>1.0</v>
      </c>
      <c r="U20" s="31"/>
      <c r="V20" s="31"/>
      <c r="W20" s="31"/>
      <c r="X20" s="41">
        <v>0.0</v>
      </c>
      <c r="Y20" s="10" t="s">
        <v>894</v>
      </c>
      <c r="Z20" s="33" t="s">
        <v>895</v>
      </c>
      <c r="AA20" s="43" t="s">
        <v>896</v>
      </c>
      <c r="AB20" s="36" t="s">
        <v>145</v>
      </c>
      <c r="AC20" s="45" t="s">
        <v>898</v>
      </c>
      <c r="AD20" s="67" t="s">
        <v>899</v>
      </c>
      <c r="AE20" s="67" t="s">
        <v>160</v>
      </c>
    </row>
    <row r="21" ht="91.5" customHeight="1">
      <c r="A21" s="9">
        <v>20.0</v>
      </c>
      <c r="B21" s="6" t="s">
        <v>166</v>
      </c>
      <c r="C21" s="10" t="s">
        <v>68</v>
      </c>
      <c r="D21" s="66" t="s">
        <v>545</v>
      </c>
      <c r="E21" s="10" t="s">
        <v>837</v>
      </c>
      <c r="F21" s="10" t="s">
        <v>906</v>
      </c>
      <c r="G21" s="10" t="s">
        <v>908</v>
      </c>
      <c r="H21" s="10" t="s">
        <v>910</v>
      </c>
      <c r="I21" s="10" t="s">
        <v>880</v>
      </c>
      <c r="J21" s="6" t="s">
        <v>83</v>
      </c>
      <c r="K21" s="6" t="s">
        <v>83</v>
      </c>
      <c r="L21" s="8" t="s">
        <v>86</v>
      </c>
      <c r="M21" s="9">
        <v>5.0</v>
      </c>
      <c r="N21" s="10" t="s">
        <v>90</v>
      </c>
      <c r="O21" s="6" t="s">
        <v>913</v>
      </c>
      <c r="P21" s="58" t="s">
        <v>410</v>
      </c>
      <c r="Q21" s="6" t="s">
        <v>916</v>
      </c>
      <c r="R21" s="10" t="s">
        <v>918</v>
      </c>
      <c r="S21" s="6" t="s">
        <v>101</v>
      </c>
      <c r="T21" s="40">
        <v>1.0</v>
      </c>
      <c r="U21" s="31"/>
      <c r="V21" s="31"/>
      <c r="W21" s="31"/>
      <c r="X21" s="46">
        <v>0.0</v>
      </c>
      <c r="Y21" s="10" t="s">
        <v>926</v>
      </c>
      <c r="Z21" s="33" t="s">
        <v>929</v>
      </c>
      <c r="AA21" s="47" t="s">
        <v>930</v>
      </c>
      <c r="AB21" s="36" t="s">
        <v>145</v>
      </c>
      <c r="AC21" s="35" t="s">
        <v>931</v>
      </c>
      <c r="AD21" s="38" t="s">
        <v>932</v>
      </c>
      <c r="AE21" s="38" t="s">
        <v>160</v>
      </c>
    </row>
    <row r="22" ht="91.5" customHeight="1">
      <c r="A22" s="9">
        <v>21.0</v>
      </c>
      <c r="B22" s="13" t="s">
        <v>188</v>
      </c>
      <c r="C22" s="20" t="s">
        <v>68</v>
      </c>
      <c r="D22" s="66" t="s">
        <v>545</v>
      </c>
      <c r="E22" s="20" t="s">
        <v>837</v>
      </c>
      <c r="F22" s="20" t="s">
        <v>936</v>
      </c>
      <c r="G22" s="20" t="s">
        <v>939</v>
      </c>
      <c r="H22" s="20" t="s">
        <v>910</v>
      </c>
      <c r="I22" s="20" t="s">
        <v>880</v>
      </c>
      <c r="J22" s="13" t="s">
        <v>83</v>
      </c>
      <c r="K22" s="20" t="s">
        <v>942</v>
      </c>
      <c r="L22" s="26" t="s">
        <v>86</v>
      </c>
      <c r="M22" s="16">
        <v>5.0</v>
      </c>
      <c r="N22" s="20" t="s">
        <v>90</v>
      </c>
      <c r="O22" s="13" t="s">
        <v>945</v>
      </c>
      <c r="P22" s="27" t="s">
        <v>94</v>
      </c>
      <c r="Q22" s="13" t="s">
        <v>946</v>
      </c>
      <c r="R22" s="13" t="s">
        <v>948</v>
      </c>
      <c r="S22" s="13" t="s">
        <v>101</v>
      </c>
      <c r="T22" s="40">
        <v>1.0</v>
      </c>
      <c r="U22" s="31"/>
      <c r="V22" s="31"/>
      <c r="W22" s="31"/>
      <c r="X22" s="41">
        <v>0.0</v>
      </c>
      <c r="Y22" s="20" t="s">
        <v>955</v>
      </c>
      <c r="Z22" s="42" t="s">
        <v>956</v>
      </c>
      <c r="AA22" s="43" t="s">
        <v>958</v>
      </c>
      <c r="AB22" s="36" t="s">
        <v>145</v>
      </c>
      <c r="AC22" s="65" t="s">
        <v>961</v>
      </c>
      <c r="AD22" s="38" t="s">
        <v>962</v>
      </c>
      <c r="AE22" s="38" t="s">
        <v>160</v>
      </c>
    </row>
    <row r="23" ht="91.5" customHeight="1">
      <c r="A23" s="9">
        <v>22.0</v>
      </c>
      <c r="B23" s="6" t="s">
        <v>764</v>
      </c>
      <c r="C23" s="10" t="s">
        <v>68</v>
      </c>
      <c r="D23" s="66" t="s">
        <v>545</v>
      </c>
      <c r="E23" s="10" t="s">
        <v>837</v>
      </c>
      <c r="F23" s="10" t="s">
        <v>964</v>
      </c>
      <c r="G23" s="10" t="s">
        <v>968</v>
      </c>
      <c r="H23" s="10" t="s">
        <v>970</v>
      </c>
      <c r="I23" s="10" t="s">
        <v>82</v>
      </c>
      <c r="J23" s="6" t="s">
        <v>83</v>
      </c>
      <c r="K23" s="6" t="s">
        <v>83</v>
      </c>
      <c r="L23" s="8" t="s">
        <v>86</v>
      </c>
      <c r="M23" s="9">
        <v>3.0</v>
      </c>
      <c r="N23" s="10" t="s">
        <v>181</v>
      </c>
      <c r="O23" s="6" t="s">
        <v>972</v>
      </c>
      <c r="P23" s="49" t="s">
        <v>313</v>
      </c>
      <c r="Q23" s="6" t="s">
        <v>974</v>
      </c>
      <c r="R23" s="10" t="s">
        <v>975</v>
      </c>
      <c r="S23" s="6" t="s">
        <v>101</v>
      </c>
      <c r="T23" s="40">
        <v>1.0</v>
      </c>
      <c r="U23" s="31"/>
      <c r="V23" s="31"/>
      <c r="W23" s="31"/>
      <c r="X23" s="46">
        <v>0.0</v>
      </c>
      <c r="Y23" s="10" t="s">
        <v>980</v>
      </c>
      <c r="Z23" s="33" t="s">
        <v>981</v>
      </c>
      <c r="AA23" s="47" t="s">
        <v>983</v>
      </c>
      <c r="AB23" s="36" t="s">
        <v>145</v>
      </c>
      <c r="AC23" s="65" t="s">
        <v>986</v>
      </c>
      <c r="AD23" s="38" t="s">
        <v>987</v>
      </c>
      <c r="AE23" s="38" t="s">
        <v>213</v>
      </c>
    </row>
    <row r="24" ht="91.5" customHeight="1">
      <c r="A24" s="9">
        <v>23.0</v>
      </c>
      <c r="B24" s="13" t="s">
        <v>990</v>
      </c>
      <c r="C24" s="20" t="s">
        <v>68</v>
      </c>
      <c r="D24" s="66" t="s">
        <v>545</v>
      </c>
      <c r="E24" s="20" t="s">
        <v>991</v>
      </c>
      <c r="F24" s="20" t="s">
        <v>992</v>
      </c>
      <c r="G24" s="20" t="s">
        <v>994</v>
      </c>
      <c r="H24" s="20" t="s">
        <v>995</v>
      </c>
      <c r="I24" s="20" t="s">
        <v>82</v>
      </c>
      <c r="J24" s="13" t="s">
        <v>83</v>
      </c>
      <c r="K24" s="20" t="s">
        <v>998</v>
      </c>
      <c r="L24" s="26" t="s">
        <v>86</v>
      </c>
      <c r="M24" s="16">
        <v>5.0</v>
      </c>
      <c r="N24" s="20" t="s">
        <v>90</v>
      </c>
      <c r="O24" s="13" t="s">
        <v>1002</v>
      </c>
      <c r="P24" s="27" t="s">
        <v>94</v>
      </c>
      <c r="Q24" s="13" t="s">
        <v>1005</v>
      </c>
      <c r="R24" s="13" t="s">
        <v>1007</v>
      </c>
      <c r="S24" s="13" t="s">
        <v>101</v>
      </c>
      <c r="T24" s="40">
        <v>5.0</v>
      </c>
      <c r="U24" s="31"/>
      <c r="V24" s="31"/>
      <c r="W24" s="31"/>
      <c r="X24" s="41">
        <v>100.0</v>
      </c>
      <c r="Y24" s="20" t="s">
        <v>1010</v>
      </c>
      <c r="Z24" s="42" t="s">
        <v>1012</v>
      </c>
      <c r="AA24" s="43" t="s">
        <v>1014</v>
      </c>
      <c r="AB24" s="44" t="s">
        <v>204</v>
      </c>
      <c r="AC24" s="45" t="s">
        <v>1016</v>
      </c>
      <c r="AD24" s="38" t="s">
        <v>1018</v>
      </c>
      <c r="AE24" s="38" t="s">
        <v>160</v>
      </c>
    </row>
    <row r="25" ht="91.5" customHeight="1">
      <c r="A25" s="9">
        <v>24.0</v>
      </c>
      <c r="B25" s="6" t="s">
        <v>1019</v>
      </c>
      <c r="C25" s="10" t="s">
        <v>68</v>
      </c>
      <c r="D25" s="66" t="s">
        <v>545</v>
      </c>
      <c r="E25" s="10" t="s">
        <v>991</v>
      </c>
      <c r="F25" s="10" t="s">
        <v>1023</v>
      </c>
      <c r="G25" s="10" t="s">
        <v>1025</v>
      </c>
      <c r="H25" s="10" t="s">
        <v>995</v>
      </c>
      <c r="I25" s="10" t="s">
        <v>82</v>
      </c>
      <c r="J25" s="6" t="s">
        <v>83</v>
      </c>
      <c r="K25" s="10" t="s">
        <v>1026</v>
      </c>
      <c r="L25" s="8" t="s">
        <v>86</v>
      </c>
      <c r="M25" s="9">
        <v>5.0</v>
      </c>
      <c r="N25" s="10" t="s">
        <v>90</v>
      </c>
      <c r="O25" s="6" t="s">
        <v>1028</v>
      </c>
      <c r="P25" s="58" t="s">
        <v>410</v>
      </c>
      <c r="Q25" s="6" t="s">
        <v>916</v>
      </c>
      <c r="R25" s="10" t="s">
        <v>918</v>
      </c>
      <c r="S25" s="6" t="s">
        <v>101</v>
      </c>
      <c r="T25" s="40">
        <v>5.0</v>
      </c>
      <c r="U25" s="31"/>
      <c r="V25" s="31"/>
      <c r="W25" s="31"/>
      <c r="X25" s="46">
        <v>100.0</v>
      </c>
      <c r="Y25" s="10" t="s">
        <v>1034</v>
      </c>
      <c r="Z25" s="33" t="s">
        <v>1037</v>
      </c>
      <c r="AA25" s="47" t="s">
        <v>1014</v>
      </c>
      <c r="AB25" s="44" t="s">
        <v>204</v>
      </c>
      <c r="AC25" s="35" t="s">
        <v>1039</v>
      </c>
      <c r="AD25" s="38" t="s">
        <v>1040</v>
      </c>
      <c r="AE25" s="38" t="s">
        <v>160</v>
      </c>
    </row>
    <row r="26" ht="91.5" customHeight="1">
      <c r="A26" s="9">
        <v>25.0</v>
      </c>
      <c r="B26" s="13" t="s">
        <v>953</v>
      </c>
      <c r="C26" s="20" t="s">
        <v>68</v>
      </c>
      <c r="D26" s="66" t="s">
        <v>545</v>
      </c>
      <c r="E26" s="20" t="s">
        <v>991</v>
      </c>
      <c r="F26" s="20" t="s">
        <v>1044</v>
      </c>
      <c r="G26" s="20" t="s">
        <v>1045</v>
      </c>
      <c r="H26" s="20" t="s">
        <v>1046</v>
      </c>
      <c r="I26" s="20" t="s">
        <v>82</v>
      </c>
      <c r="J26" s="13" t="s">
        <v>83</v>
      </c>
      <c r="K26" s="13" t="s">
        <v>83</v>
      </c>
      <c r="L26" s="26" t="s">
        <v>308</v>
      </c>
      <c r="M26" s="16">
        <v>5.0</v>
      </c>
      <c r="N26" s="10" t="s">
        <v>310</v>
      </c>
      <c r="O26" s="20" t="s">
        <v>1051</v>
      </c>
      <c r="P26" s="27" t="s">
        <v>94</v>
      </c>
      <c r="Q26" s="13" t="s">
        <v>1053</v>
      </c>
      <c r="R26" s="20" t="s">
        <v>918</v>
      </c>
      <c r="S26" s="13" t="s">
        <v>101</v>
      </c>
      <c r="T26" s="30">
        <v>1.0</v>
      </c>
      <c r="U26" s="31"/>
      <c r="V26" s="31"/>
      <c r="W26" s="31"/>
      <c r="X26" s="32">
        <v>0.0</v>
      </c>
      <c r="Y26" s="20" t="s">
        <v>1057</v>
      </c>
      <c r="Z26" s="42" t="s">
        <v>1060</v>
      </c>
      <c r="AA26" s="43" t="s">
        <v>1061</v>
      </c>
      <c r="AB26" s="36" t="s">
        <v>145</v>
      </c>
      <c r="AC26" s="65" t="s">
        <v>1064</v>
      </c>
      <c r="AD26" s="38" t="s">
        <v>1065</v>
      </c>
      <c r="AE26" s="38" t="s">
        <v>334</v>
      </c>
    </row>
    <row r="27" ht="91.5" customHeight="1">
      <c r="A27" s="9">
        <v>26.0</v>
      </c>
      <c r="B27" s="6" t="s">
        <v>928</v>
      </c>
      <c r="C27" s="10" t="s">
        <v>68</v>
      </c>
      <c r="D27" s="66" t="s">
        <v>545</v>
      </c>
      <c r="E27" s="10" t="s">
        <v>991</v>
      </c>
      <c r="F27" s="10" t="s">
        <v>1070</v>
      </c>
      <c r="G27" s="10" t="s">
        <v>1072</v>
      </c>
      <c r="H27" s="10" t="s">
        <v>995</v>
      </c>
      <c r="I27" s="10" t="s">
        <v>880</v>
      </c>
      <c r="J27" s="6" t="s">
        <v>83</v>
      </c>
      <c r="K27" s="10" t="s">
        <v>1075</v>
      </c>
      <c r="L27" s="8" t="s">
        <v>86</v>
      </c>
      <c r="M27" s="9">
        <v>3.0</v>
      </c>
      <c r="N27" s="10" t="s">
        <v>181</v>
      </c>
      <c r="O27" s="6" t="s">
        <v>1077</v>
      </c>
      <c r="P27" s="58" t="s">
        <v>410</v>
      </c>
      <c r="Q27" s="6" t="s">
        <v>916</v>
      </c>
      <c r="R27" s="10" t="s">
        <v>918</v>
      </c>
      <c r="S27" s="6" t="s">
        <v>101</v>
      </c>
      <c r="T27" s="68">
        <v>1.0</v>
      </c>
      <c r="U27" s="31"/>
      <c r="V27" s="31"/>
      <c r="W27" s="31"/>
      <c r="X27" s="69">
        <v>0.0</v>
      </c>
      <c r="Y27" s="10" t="s">
        <v>1088</v>
      </c>
      <c r="Z27" s="33" t="s">
        <v>1092</v>
      </c>
      <c r="AA27" s="47" t="s">
        <v>1093</v>
      </c>
      <c r="AB27" s="53" t="s">
        <v>402</v>
      </c>
      <c r="AC27" s="35" t="s">
        <v>1094</v>
      </c>
      <c r="AD27" s="38" t="s">
        <v>1095</v>
      </c>
      <c r="AE27" s="38" t="s">
        <v>213</v>
      </c>
    </row>
    <row r="28" ht="91.5" customHeight="1">
      <c r="A28" s="9">
        <v>27.0</v>
      </c>
      <c r="B28" s="13" t="s">
        <v>53</v>
      </c>
      <c r="C28" s="20" t="s">
        <v>68</v>
      </c>
      <c r="D28" s="66" t="s">
        <v>545</v>
      </c>
      <c r="E28" s="20" t="s">
        <v>1099</v>
      </c>
      <c r="F28" s="20" t="s">
        <v>1081</v>
      </c>
      <c r="G28" s="20" t="s">
        <v>1101</v>
      </c>
      <c r="H28" s="20" t="s">
        <v>1103</v>
      </c>
      <c r="I28" s="20" t="s">
        <v>82</v>
      </c>
      <c r="J28" s="13" t="s">
        <v>83</v>
      </c>
      <c r="K28" s="13" t="s">
        <v>83</v>
      </c>
      <c r="L28" s="26" t="s">
        <v>86</v>
      </c>
      <c r="M28" s="16">
        <v>5.0</v>
      </c>
      <c r="N28" s="20" t="s">
        <v>90</v>
      </c>
      <c r="O28" s="13" t="s">
        <v>1106</v>
      </c>
      <c r="P28" s="58" t="s">
        <v>410</v>
      </c>
      <c r="Q28" s="13" t="s">
        <v>1108</v>
      </c>
      <c r="R28" s="20" t="s">
        <v>918</v>
      </c>
      <c r="S28" s="13" t="s">
        <v>101</v>
      </c>
      <c r="T28" s="40">
        <v>2.0</v>
      </c>
      <c r="U28" s="31"/>
      <c r="V28" s="31"/>
      <c r="W28" s="31"/>
      <c r="X28" s="41">
        <v>25.0</v>
      </c>
      <c r="Y28" s="20" t="s">
        <v>1113</v>
      </c>
      <c r="Z28" s="42" t="s">
        <v>1115</v>
      </c>
      <c r="AA28" s="43" t="s">
        <v>1117</v>
      </c>
      <c r="AB28" s="36" t="s">
        <v>145</v>
      </c>
      <c r="AC28" s="45" t="s">
        <v>1119</v>
      </c>
      <c r="AD28" s="38" t="s">
        <v>1121</v>
      </c>
      <c r="AE28" s="38" t="s">
        <v>160</v>
      </c>
    </row>
    <row r="29" ht="105.75" customHeight="1">
      <c r="A29" s="9">
        <v>28.0</v>
      </c>
      <c r="B29" s="6" t="s">
        <v>114</v>
      </c>
      <c r="C29" s="10" t="s">
        <v>68</v>
      </c>
      <c r="D29" s="66" t="s">
        <v>545</v>
      </c>
      <c r="E29" s="10" t="s">
        <v>1099</v>
      </c>
      <c r="F29" s="10" t="s">
        <v>110</v>
      </c>
      <c r="G29" s="10" t="s">
        <v>1124</v>
      </c>
      <c r="H29" s="10" t="s">
        <v>1127</v>
      </c>
      <c r="I29" s="10" t="s">
        <v>82</v>
      </c>
      <c r="J29" s="6" t="s">
        <v>83</v>
      </c>
      <c r="K29" s="6" t="s">
        <v>83</v>
      </c>
      <c r="L29" s="8" t="s">
        <v>308</v>
      </c>
      <c r="M29" s="9">
        <v>5.0</v>
      </c>
      <c r="N29" s="10" t="s">
        <v>310</v>
      </c>
      <c r="O29" s="10" t="s">
        <v>1131</v>
      </c>
      <c r="P29" s="58" t="s">
        <v>410</v>
      </c>
      <c r="Q29" s="6" t="s">
        <v>916</v>
      </c>
      <c r="R29" s="10" t="s">
        <v>918</v>
      </c>
      <c r="S29" s="6" t="s">
        <v>101</v>
      </c>
      <c r="T29" s="40">
        <v>1.0</v>
      </c>
      <c r="U29" s="31"/>
      <c r="V29" s="31"/>
      <c r="W29" s="31"/>
      <c r="X29" s="46">
        <v>0.0</v>
      </c>
      <c r="Y29" s="10" t="s">
        <v>1137</v>
      </c>
      <c r="Z29" s="33" t="s">
        <v>1139</v>
      </c>
      <c r="AA29" s="47" t="s">
        <v>1140</v>
      </c>
      <c r="AB29" s="36" t="s">
        <v>145</v>
      </c>
      <c r="AC29" s="35" t="s">
        <v>1144</v>
      </c>
      <c r="AD29" s="38" t="s">
        <v>1145</v>
      </c>
      <c r="AE29" s="38" t="s">
        <v>334</v>
      </c>
    </row>
    <row r="30" ht="91.5" customHeight="1">
      <c r="A30" s="9">
        <v>29.0</v>
      </c>
      <c r="B30" s="13" t="s">
        <v>105</v>
      </c>
      <c r="C30" s="20" t="s">
        <v>68</v>
      </c>
      <c r="D30" s="66" t="s">
        <v>545</v>
      </c>
      <c r="E30" s="20" t="s">
        <v>1099</v>
      </c>
      <c r="F30" s="20" t="s">
        <v>1147</v>
      </c>
      <c r="G30" s="20" t="s">
        <v>1150</v>
      </c>
      <c r="H30" s="20" t="s">
        <v>1152</v>
      </c>
      <c r="I30" s="20" t="s">
        <v>82</v>
      </c>
      <c r="J30" s="13" t="s">
        <v>83</v>
      </c>
      <c r="K30" s="13" t="s">
        <v>83</v>
      </c>
      <c r="L30" s="26" t="s">
        <v>791</v>
      </c>
      <c r="M30" s="16"/>
      <c r="N30" s="20" t="s">
        <v>1156</v>
      </c>
      <c r="O30" s="20" t="s">
        <v>1158</v>
      </c>
      <c r="P30" s="58" t="s">
        <v>410</v>
      </c>
      <c r="Q30" s="13" t="s">
        <v>916</v>
      </c>
      <c r="R30" s="20" t="s">
        <v>918</v>
      </c>
      <c r="S30" s="13" t="s">
        <v>101</v>
      </c>
      <c r="T30" s="62" t="s">
        <v>805</v>
      </c>
      <c r="U30" s="31"/>
      <c r="V30" s="31"/>
      <c r="W30" s="31"/>
      <c r="X30" s="71">
        <v>40.0</v>
      </c>
      <c r="Y30" s="20" t="s">
        <v>1164</v>
      </c>
      <c r="Z30" s="42" t="s">
        <v>1168</v>
      </c>
      <c r="AA30" s="43" t="s">
        <v>1169</v>
      </c>
      <c r="AB30" s="36" t="s">
        <v>145</v>
      </c>
      <c r="AC30" s="45" t="s">
        <v>1171</v>
      </c>
      <c r="AD30" s="38" t="s">
        <v>1172</v>
      </c>
      <c r="AE30" s="38" t="s">
        <v>1173</v>
      </c>
    </row>
    <row r="31" ht="91.5" customHeight="1">
      <c r="A31" s="9">
        <v>30.0</v>
      </c>
      <c r="B31" s="6" t="s">
        <v>127</v>
      </c>
      <c r="C31" s="10" t="s">
        <v>68</v>
      </c>
      <c r="D31" s="66" t="s">
        <v>545</v>
      </c>
      <c r="E31" s="10" t="s">
        <v>1099</v>
      </c>
      <c r="F31" s="10" t="s">
        <v>1126</v>
      </c>
      <c r="G31" s="10" t="s">
        <v>1178</v>
      </c>
      <c r="H31" s="10" t="s">
        <v>1179</v>
      </c>
      <c r="I31" s="10" t="s">
        <v>82</v>
      </c>
      <c r="J31" s="6" t="s">
        <v>83</v>
      </c>
      <c r="K31" s="6" t="s">
        <v>83</v>
      </c>
      <c r="L31" s="8" t="s">
        <v>86</v>
      </c>
      <c r="M31" s="9">
        <v>3.0</v>
      </c>
      <c r="N31" s="10" t="s">
        <v>181</v>
      </c>
      <c r="O31" s="6" t="s">
        <v>1183</v>
      </c>
      <c r="P31" s="58" t="s">
        <v>410</v>
      </c>
      <c r="Q31" s="6" t="s">
        <v>916</v>
      </c>
      <c r="R31" s="10" t="s">
        <v>1187</v>
      </c>
      <c r="S31" s="6" t="s">
        <v>101</v>
      </c>
      <c r="T31" s="40">
        <v>3.0</v>
      </c>
      <c r="U31" s="31"/>
      <c r="V31" s="31"/>
      <c r="W31" s="31"/>
      <c r="X31" s="46">
        <v>100.0</v>
      </c>
      <c r="Y31" s="10" t="s">
        <v>1194</v>
      </c>
      <c r="Z31" s="33" t="s">
        <v>1197</v>
      </c>
      <c r="AA31" s="47" t="s">
        <v>1198</v>
      </c>
      <c r="AB31" s="44" t="s">
        <v>204</v>
      </c>
      <c r="AC31" s="35" t="s">
        <v>1200</v>
      </c>
      <c r="AD31" s="38" t="s">
        <v>1201</v>
      </c>
      <c r="AE31" s="38" t="s">
        <v>213</v>
      </c>
    </row>
    <row r="32" ht="91.5" customHeight="1">
      <c r="A32" s="9">
        <v>31.0</v>
      </c>
      <c r="B32" s="13" t="s">
        <v>159</v>
      </c>
      <c r="C32" s="20" t="s">
        <v>68</v>
      </c>
      <c r="D32" s="66" t="s">
        <v>545</v>
      </c>
      <c r="E32" s="20" t="s">
        <v>1203</v>
      </c>
      <c r="F32" s="20" t="s">
        <v>1136</v>
      </c>
      <c r="G32" s="20" t="s">
        <v>1205</v>
      </c>
      <c r="H32" s="20" t="s">
        <v>1207</v>
      </c>
      <c r="I32" s="20" t="s">
        <v>82</v>
      </c>
      <c r="J32" s="13" t="s">
        <v>83</v>
      </c>
      <c r="K32" s="13" t="s">
        <v>83</v>
      </c>
      <c r="L32" s="26" t="s">
        <v>308</v>
      </c>
      <c r="M32" s="16">
        <v>5.0</v>
      </c>
      <c r="N32" s="10" t="s">
        <v>310</v>
      </c>
      <c r="O32" s="20" t="s">
        <v>1214</v>
      </c>
      <c r="P32" s="27" t="s">
        <v>94</v>
      </c>
      <c r="Q32" s="13" t="s">
        <v>1215</v>
      </c>
      <c r="R32" s="13" t="s">
        <v>1216</v>
      </c>
      <c r="S32" s="13" t="s">
        <v>101</v>
      </c>
      <c r="T32" s="40">
        <v>5.0</v>
      </c>
      <c r="U32" s="31"/>
      <c r="V32" s="31"/>
      <c r="W32" s="31"/>
      <c r="X32" s="41">
        <v>100.0</v>
      </c>
      <c r="Y32" s="20" t="s">
        <v>1221</v>
      </c>
      <c r="Z32" s="42" t="s">
        <v>1223</v>
      </c>
      <c r="AA32" s="43" t="s">
        <v>1224</v>
      </c>
      <c r="AB32" s="36" t="s">
        <v>145</v>
      </c>
      <c r="AC32" s="45" t="s">
        <v>1225</v>
      </c>
      <c r="AD32" s="38" t="s">
        <v>1228</v>
      </c>
      <c r="AE32" s="38" t="s">
        <v>334</v>
      </c>
    </row>
    <row r="33" ht="91.5" customHeight="1">
      <c r="A33" s="9">
        <v>32.0</v>
      </c>
      <c r="B33" s="6" t="s">
        <v>199</v>
      </c>
      <c r="C33" s="10" t="s">
        <v>68</v>
      </c>
      <c r="D33" s="66" t="s">
        <v>545</v>
      </c>
      <c r="E33" s="10" t="s">
        <v>1232</v>
      </c>
      <c r="F33" s="10" t="s">
        <v>1157</v>
      </c>
      <c r="G33" s="10" t="s">
        <v>1234</v>
      </c>
      <c r="H33" s="10" t="s">
        <v>1235</v>
      </c>
      <c r="I33" s="10" t="s">
        <v>82</v>
      </c>
      <c r="J33" s="6" t="s">
        <v>83</v>
      </c>
      <c r="K33" s="6" t="s">
        <v>83</v>
      </c>
      <c r="L33" s="8" t="s">
        <v>86</v>
      </c>
      <c r="M33" s="9">
        <v>5.0</v>
      </c>
      <c r="N33" s="10" t="s">
        <v>90</v>
      </c>
      <c r="O33" s="6" t="s">
        <v>1240</v>
      </c>
      <c r="P33" s="27" t="s">
        <v>94</v>
      </c>
      <c r="Q33" s="6" t="s">
        <v>1241</v>
      </c>
      <c r="R33" s="10" t="s">
        <v>1242</v>
      </c>
      <c r="S33" s="6" t="s">
        <v>101</v>
      </c>
      <c r="T33" s="30">
        <v>2.0</v>
      </c>
      <c r="U33" s="31"/>
      <c r="V33" s="31"/>
      <c r="W33" s="31"/>
      <c r="X33" s="32">
        <v>25.0</v>
      </c>
      <c r="Y33" s="10" t="s">
        <v>1246</v>
      </c>
      <c r="Z33" s="33" t="s">
        <v>1249</v>
      </c>
      <c r="AA33" s="47" t="s">
        <v>1250</v>
      </c>
      <c r="AB33" s="53" t="s">
        <v>402</v>
      </c>
      <c r="AC33" s="65" t="s">
        <v>1253</v>
      </c>
      <c r="AD33" s="38" t="s">
        <v>1254</v>
      </c>
      <c r="AE33" s="38" t="s">
        <v>160</v>
      </c>
    </row>
    <row r="34" ht="91.5" customHeight="1">
      <c r="A34" s="9">
        <v>33.0</v>
      </c>
      <c r="B34" s="13" t="s">
        <v>206</v>
      </c>
      <c r="C34" s="20" t="s">
        <v>68</v>
      </c>
      <c r="D34" s="66" t="s">
        <v>545</v>
      </c>
      <c r="E34" s="20" t="s">
        <v>1232</v>
      </c>
      <c r="F34" s="20" t="s">
        <v>1174</v>
      </c>
      <c r="G34" s="20" t="s">
        <v>1257</v>
      </c>
      <c r="H34" s="20" t="s">
        <v>1258</v>
      </c>
      <c r="I34" s="20" t="s">
        <v>82</v>
      </c>
      <c r="J34" s="13" t="s">
        <v>83</v>
      </c>
      <c r="K34" s="13" t="s">
        <v>83</v>
      </c>
      <c r="L34" s="26" t="s">
        <v>86</v>
      </c>
      <c r="M34" s="16">
        <v>3.0</v>
      </c>
      <c r="N34" s="20" t="s">
        <v>181</v>
      </c>
      <c r="O34" s="13" t="s">
        <v>1260</v>
      </c>
      <c r="P34" s="27" t="s">
        <v>94</v>
      </c>
      <c r="Q34" s="13" t="s">
        <v>1262</v>
      </c>
      <c r="R34" s="13" t="s">
        <v>1263</v>
      </c>
      <c r="S34" s="13" t="s">
        <v>101</v>
      </c>
      <c r="T34" s="40">
        <v>1.0</v>
      </c>
      <c r="U34" s="31"/>
      <c r="V34" s="31"/>
      <c r="W34" s="31"/>
      <c r="X34" s="41">
        <v>0.0</v>
      </c>
      <c r="Y34" s="20" t="s">
        <v>1267</v>
      </c>
      <c r="Z34" s="42" t="s">
        <v>1269</v>
      </c>
      <c r="AA34" s="43" t="s">
        <v>1270</v>
      </c>
      <c r="AB34" s="36" t="s">
        <v>145</v>
      </c>
      <c r="AC34" s="45" t="s">
        <v>1272</v>
      </c>
      <c r="AD34" s="38" t="s">
        <v>1273</v>
      </c>
      <c r="AE34" s="38" t="s">
        <v>213</v>
      </c>
    </row>
    <row r="35" ht="91.5" customHeight="1">
      <c r="A35" s="9">
        <v>34.0</v>
      </c>
      <c r="B35" s="6" t="s">
        <v>1274</v>
      </c>
      <c r="C35" s="10" t="s">
        <v>68</v>
      </c>
      <c r="D35" s="66" t="s">
        <v>545</v>
      </c>
      <c r="E35" s="10" t="s">
        <v>1276</v>
      </c>
      <c r="F35" s="10" t="s">
        <v>1276</v>
      </c>
      <c r="G35" s="10" t="s">
        <v>1277</v>
      </c>
      <c r="H35" s="10" t="s">
        <v>667</v>
      </c>
      <c r="I35" s="20" t="s">
        <v>171</v>
      </c>
      <c r="J35" s="6" t="s">
        <v>83</v>
      </c>
      <c r="K35" s="6" t="s">
        <v>1279</v>
      </c>
      <c r="L35" s="8" t="s">
        <v>673</v>
      </c>
      <c r="M35" s="9">
        <v>3.0</v>
      </c>
      <c r="N35" s="10" t="s">
        <v>675</v>
      </c>
      <c r="O35" s="10" t="s">
        <v>1283</v>
      </c>
      <c r="P35" s="27" t="s">
        <v>94</v>
      </c>
      <c r="Q35" s="6" t="s">
        <v>1215</v>
      </c>
      <c r="R35" s="6" t="s">
        <v>354</v>
      </c>
      <c r="S35" s="6" t="s">
        <v>101</v>
      </c>
      <c r="T35" s="62" t="s">
        <v>688</v>
      </c>
      <c r="U35" s="63">
        <v>0.0</v>
      </c>
      <c r="V35" s="63">
        <v>0.0</v>
      </c>
      <c r="W35" s="63">
        <v>0.0</v>
      </c>
      <c r="X35" s="73">
        <v>90.0</v>
      </c>
      <c r="Y35" s="10" t="s">
        <v>1294</v>
      </c>
      <c r="Z35" s="33" t="s">
        <v>1295</v>
      </c>
      <c r="AA35" s="47" t="s">
        <v>1297</v>
      </c>
      <c r="AB35" s="44" t="s">
        <v>204</v>
      </c>
      <c r="AC35" s="35" t="s">
        <v>1299</v>
      </c>
      <c r="AD35" s="38" t="s">
        <v>1300</v>
      </c>
      <c r="AE35" s="38" t="s">
        <v>721</v>
      </c>
    </row>
    <row r="36" ht="192.0" customHeight="1">
      <c r="A36" s="9">
        <v>35.0</v>
      </c>
      <c r="B36" s="13" t="s">
        <v>148</v>
      </c>
      <c r="C36" s="20" t="s">
        <v>1303</v>
      </c>
      <c r="D36" s="66" t="s">
        <v>545</v>
      </c>
      <c r="E36" s="20" t="s">
        <v>1304</v>
      </c>
      <c r="F36" s="20" t="s">
        <v>1305</v>
      </c>
      <c r="G36" s="20" t="s">
        <v>1308</v>
      </c>
      <c r="H36" s="20" t="s">
        <v>667</v>
      </c>
      <c r="I36" s="20" t="s">
        <v>1309</v>
      </c>
      <c r="J36" s="13" t="s">
        <v>83</v>
      </c>
      <c r="K36" s="13" t="s">
        <v>83</v>
      </c>
      <c r="L36" s="26" t="s">
        <v>308</v>
      </c>
      <c r="M36" s="16">
        <v>5.0</v>
      </c>
      <c r="N36" s="10" t="s">
        <v>310</v>
      </c>
      <c r="O36" s="20" t="s">
        <v>1314</v>
      </c>
      <c r="P36" s="27" t="s">
        <v>94</v>
      </c>
      <c r="Q36" s="13" t="s">
        <v>1315</v>
      </c>
      <c r="R36" s="13" t="s">
        <v>1317</v>
      </c>
      <c r="S36" s="13" t="s">
        <v>1318</v>
      </c>
      <c r="T36" s="40">
        <v>1.0</v>
      </c>
      <c r="U36" s="31"/>
      <c r="V36" s="31"/>
      <c r="W36" s="31"/>
      <c r="X36" s="41">
        <v>0.0</v>
      </c>
      <c r="Y36" s="20" t="s">
        <v>1321</v>
      </c>
      <c r="Z36" s="42" t="s">
        <v>1322</v>
      </c>
      <c r="AA36" s="43" t="s">
        <v>1324</v>
      </c>
      <c r="AB36" s="36" t="s">
        <v>145</v>
      </c>
      <c r="AC36" s="45" t="s">
        <v>1326</v>
      </c>
      <c r="AD36" s="38" t="s">
        <v>1327</v>
      </c>
      <c r="AE36" s="38" t="s">
        <v>334</v>
      </c>
    </row>
    <row r="37" ht="168.0" customHeight="1">
      <c r="A37" s="9">
        <v>36.0</v>
      </c>
      <c r="B37" s="6" t="s">
        <v>1328</v>
      </c>
      <c r="C37" s="10" t="s">
        <v>1303</v>
      </c>
      <c r="D37" s="66" t="s">
        <v>545</v>
      </c>
      <c r="E37" s="10" t="s">
        <v>1203</v>
      </c>
      <c r="F37" s="10" t="s">
        <v>1330</v>
      </c>
      <c r="G37" s="10" t="s">
        <v>1331</v>
      </c>
      <c r="H37" s="10" t="s">
        <v>1332</v>
      </c>
      <c r="I37" s="10" t="s">
        <v>1334</v>
      </c>
      <c r="J37" s="10" t="s">
        <v>1335</v>
      </c>
      <c r="K37" s="6" t="s">
        <v>83</v>
      </c>
      <c r="L37" s="8" t="s">
        <v>673</v>
      </c>
      <c r="M37" s="9">
        <v>3.0</v>
      </c>
      <c r="N37" s="10" t="s">
        <v>1336</v>
      </c>
      <c r="O37" s="10" t="s">
        <v>1338</v>
      </c>
      <c r="P37" s="27" t="s">
        <v>94</v>
      </c>
      <c r="Q37" s="6" t="s">
        <v>1215</v>
      </c>
      <c r="R37" s="6" t="s">
        <v>1340</v>
      </c>
      <c r="S37" s="6" t="s">
        <v>1318</v>
      </c>
      <c r="T37" s="62" t="s">
        <v>688</v>
      </c>
      <c r="U37" s="63">
        <v>0.0</v>
      </c>
      <c r="V37" s="63">
        <v>0.0</v>
      </c>
      <c r="W37" s="63">
        <v>0.0</v>
      </c>
      <c r="X37" s="46">
        <v>100.0</v>
      </c>
      <c r="Y37" s="10" t="s">
        <v>1346</v>
      </c>
      <c r="Z37" s="33" t="s">
        <v>1347</v>
      </c>
      <c r="AA37" s="47" t="s">
        <v>1349</v>
      </c>
      <c r="AB37" s="44" t="s">
        <v>204</v>
      </c>
      <c r="AC37" s="35" t="s">
        <v>1351</v>
      </c>
      <c r="AD37" s="38" t="s">
        <v>1352</v>
      </c>
      <c r="AE37" s="38" t="s">
        <v>721</v>
      </c>
    </row>
    <row r="38" ht="91.5" customHeight="1">
      <c r="A38" s="9">
        <v>37.0</v>
      </c>
      <c r="B38" s="20" t="s">
        <v>1343</v>
      </c>
      <c r="C38" s="20" t="s">
        <v>1355</v>
      </c>
      <c r="D38" s="50" t="s">
        <v>338</v>
      </c>
      <c r="E38" s="20" t="s">
        <v>1357</v>
      </c>
      <c r="F38" s="20" t="s">
        <v>1344</v>
      </c>
      <c r="G38" s="20" t="s">
        <v>1358</v>
      </c>
      <c r="H38" s="13" t="s">
        <v>1359</v>
      </c>
      <c r="I38" s="20" t="s">
        <v>171</v>
      </c>
      <c r="J38" s="20" t="s">
        <v>423</v>
      </c>
      <c r="K38" s="13" t="s">
        <v>1362</v>
      </c>
      <c r="L38" s="26" t="s">
        <v>86</v>
      </c>
      <c r="M38" s="16">
        <v>3.0</v>
      </c>
      <c r="N38" s="20" t="s">
        <v>181</v>
      </c>
      <c r="O38" s="13" t="s">
        <v>1364</v>
      </c>
      <c r="P38" s="58" t="s">
        <v>410</v>
      </c>
      <c r="Q38" s="13" t="s">
        <v>1366</v>
      </c>
      <c r="R38" s="13" t="s">
        <v>1367</v>
      </c>
      <c r="S38" s="13" t="s">
        <v>1368</v>
      </c>
      <c r="T38" s="40">
        <v>1.0</v>
      </c>
      <c r="U38" s="31"/>
      <c r="V38" s="31"/>
      <c r="W38" s="31"/>
      <c r="X38" s="41">
        <v>0.0</v>
      </c>
      <c r="Y38" s="13" t="s">
        <v>1374</v>
      </c>
      <c r="Z38" s="42" t="s">
        <v>1376</v>
      </c>
      <c r="AA38" s="43" t="s">
        <v>1378</v>
      </c>
      <c r="AB38" s="53" t="s">
        <v>402</v>
      </c>
      <c r="AC38" s="45" t="s">
        <v>1380</v>
      </c>
      <c r="AD38" s="38" t="s">
        <v>1383</v>
      </c>
      <c r="AE38" s="38" t="s">
        <v>213</v>
      </c>
    </row>
    <row r="39" ht="91.5" customHeight="1">
      <c r="A39" s="9">
        <v>38.0</v>
      </c>
      <c r="B39" s="10" t="s">
        <v>1353</v>
      </c>
      <c r="C39" s="10" t="s">
        <v>1355</v>
      </c>
      <c r="D39" s="50" t="s">
        <v>338</v>
      </c>
      <c r="E39" s="10" t="s">
        <v>506</v>
      </c>
      <c r="F39" s="10" t="s">
        <v>1354</v>
      </c>
      <c r="G39" s="10" t="s">
        <v>1386</v>
      </c>
      <c r="H39" s="6" t="s">
        <v>1359</v>
      </c>
      <c r="I39" s="20" t="s">
        <v>171</v>
      </c>
      <c r="J39" s="10" t="s">
        <v>423</v>
      </c>
      <c r="K39" s="10" t="s">
        <v>1387</v>
      </c>
      <c r="L39" s="8" t="s">
        <v>86</v>
      </c>
      <c r="M39" s="9">
        <v>3.0</v>
      </c>
      <c r="N39" s="10" t="s">
        <v>181</v>
      </c>
      <c r="O39" s="6" t="s">
        <v>1391</v>
      </c>
      <c r="P39" s="58" t="s">
        <v>410</v>
      </c>
      <c r="Q39" s="6" t="s">
        <v>1393</v>
      </c>
      <c r="R39" s="6" t="s">
        <v>1394</v>
      </c>
      <c r="S39" s="6" t="s">
        <v>1368</v>
      </c>
      <c r="T39" s="40">
        <v>1.0</v>
      </c>
      <c r="U39" s="31"/>
      <c r="V39" s="31"/>
      <c r="W39" s="31"/>
      <c r="X39" s="46">
        <v>0.0</v>
      </c>
      <c r="Y39" s="10" t="s">
        <v>1395</v>
      </c>
      <c r="Z39" s="33" t="s">
        <v>1396</v>
      </c>
      <c r="AA39" s="47" t="s">
        <v>1398</v>
      </c>
      <c r="AB39" s="53" t="s">
        <v>402</v>
      </c>
      <c r="AC39" s="35" t="s">
        <v>1400</v>
      </c>
      <c r="AD39" s="38" t="s">
        <v>1402</v>
      </c>
      <c r="AE39" s="38" t="s">
        <v>213</v>
      </c>
    </row>
    <row r="40" ht="138.0" customHeight="1">
      <c r="A40" s="9">
        <v>39.0</v>
      </c>
      <c r="B40" s="20" t="s">
        <v>1365</v>
      </c>
      <c r="C40" s="20" t="s">
        <v>1355</v>
      </c>
      <c r="D40" s="50" t="s">
        <v>338</v>
      </c>
      <c r="E40" s="20" t="s">
        <v>506</v>
      </c>
      <c r="F40" s="20" t="s">
        <v>1369</v>
      </c>
      <c r="G40" s="20" t="s">
        <v>1404</v>
      </c>
      <c r="H40" s="13" t="s">
        <v>1359</v>
      </c>
      <c r="I40" s="20" t="s">
        <v>171</v>
      </c>
      <c r="J40" s="20" t="s">
        <v>423</v>
      </c>
      <c r="K40" s="20" t="s">
        <v>1406</v>
      </c>
      <c r="L40" s="26" t="s">
        <v>86</v>
      </c>
      <c r="M40" s="16">
        <v>3.0</v>
      </c>
      <c r="N40" s="20" t="s">
        <v>181</v>
      </c>
      <c r="O40" s="13" t="s">
        <v>1408</v>
      </c>
      <c r="P40" s="58" t="s">
        <v>410</v>
      </c>
      <c r="Q40" s="13" t="s">
        <v>1393</v>
      </c>
      <c r="R40" s="13" t="s">
        <v>1409</v>
      </c>
      <c r="S40" s="13" t="s">
        <v>1368</v>
      </c>
      <c r="T40" s="40">
        <v>3.0</v>
      </c>
      <c r="U40" s="31"/>
      <c r="V40" s="31"/>
      <c r="W40" s="31"/>
      <c r="X40" s="41">
        <v>100.0</v>
      </c>
      <c r="Y40" s="20" t="s">
        <v>1411</v>
      </c>
      <c r="Z40" s="42" t="s">
        <v>1412</v>
      </c>
      <c r="AA40" s="43" t="s">
        <v>1413</v>
      </c>
      <c r="AB40" s="44" t="s">
        <v>204</v>
      </c>
      <c r="AC40" s="45" t="s">
        <v>1414</v>
      </c>
      <c r="AD40" s="38" t="s">
        <v>1415</v>
      </c>
      <c r="AE40" s="38" t="s">
        <v>213</v>
      </c>
    </row>
    <row r="41" ht="91.5" customHeight="1">
      <c r="A41" s="9">
        <v>40.0</v>
      </c>
      <c r="B41" s="10" t="s">
        <v>1381</v>
      </c>
      <c r="C41" s="10" t="s">
        <v>1355</v>
      </c>
      <c r="D41" s="50" t="s">
        <v>338</v>
      </c>
      <c r="E41" s="10" t="s">
        <v>591</v>
      </c>
      <c r="F41" s="10" t="s">
        <v>1382</v>
      </c>
      <c r="G41" s="10" t="s">
        <v>1416</v>
      </c>
      <c r="H41" s="6" t="s">
        <v>1417</v>
      </c>
      <c r="I41" s="20" t="s">
        <v>171</v>
      </c>
      <c r="J41" s="10" t="s">
        <v>423</v>
      </c>
      <c r="K41" s="10" t="s">
        <v>1418</v>
      </c>
      <c r="L41" s="8" t="s">
        <v>86</v>
      </c>
      <c r="M41" s="9">
        <v>3.0</v>
      </c>
      <c r="N41" s="10" t="s">
        <v>181</v>
      </c>
      <c r="O41" s="6" t="s">
        <v>1419</v>
      </c>
      <c r="P41" s="58" t="s">
        <v>410</v>
      </c>
      <c r="Q41" s="6" t="s">
        <v>1420</v>
      </c>
      <c r="R41" s="6" t="s">
        <v>1367</v>
      </c>
      <c r="S41" s="6" t="s">
        <v>1368</v>
      </c>
      <c r="T41" s="40">
        <v>1.0</v>
      </c>
      <c r="U41" s="31"/>
      <c r="V41" s="31"/>
      <c r="W41" s="31"/>
      <c r="X41" s="46">
        <v>0.0</v>
      </c>
      <c r="Y41" s="6" t="s">
        <v>1421</v>
      </c>
      <c r="Z41" s="33" t="s">
        <v>1422</v>
      </c>
      <c r="AA41" s="47" t="s">
        <v>1423</v>
      </c>
      <c r="AB41" s="53" t="s">
        <v>402</v>
      </c>
      <c r="AC41" s="35" t="s">
        <v>1424</v>
      </c>
      <c r="AD41" s="38" t="s">
        <v>1425</v>
      </c>
      <c r="AE41" s="38" t="s">
        <v>213</v>
      </c>
    </row>
    <row r="42" ht="91.5" customHeight="1">
      <c r="A42" s="9">
        <v>41.0</v>
      </c>
      <c r="B42" s="20" t="s">
        <v>1389</v>
      </c>
      <c r="C42" s="20" t="s">
        <v>1355</v>
      </c>
      <c r="D42" s="50" t="s">
        <v>338</v>
      </c>
      <c r="E42" s="20" t="s">
        <v>591</v>
      </c>
      <c r="F42" s="20" t="s">
        <v>1390</v>
      </c>
      <c r="G42" s="20" t="s">
        <v>1426</v>
      </c>
      <c r="H42" s="13" t="s">
        <v>1427</v>
      </c>
      <c r="I42" s="20" t="s">
        <v>171</v>
      </c>
      <c r="J42" s="20" t="s">
        <v>423</v>
      </c>
      <c r="K42" s="20" t="s">
        <v>1428</v>
      </c>
      <c r="L42" s="26" t="s">
        <v>86</v>
      </c>
      <c r="M42" s="16">
        <v>3.0</v>
      </c>
      <c r="N42" s="20" t="s">
        <v>181</v>
      </c>
      <c r="O42" s="13" t="s">
        <v>1429</v>
      </c>
      <c r="P42" s="58" t="s">
        <v>410</v>
      </c>
      <c r="Q42" s="13" t="s">
        <v>1393</v>
      </c>
      <c r="R42" s="13" t="s">
        <v>1367</v>
      </c>
      <c r="S42" s="13" t="s">
        <v>1368</v>
      </c>
      <c r="T42" s="40">
        <v>1.0</v>
      </c>
      <c r="U42" s="31"/>
      <c r="V42" s="31"/>
      <c r="W42" s="31"/>
      <c r="X42" s="41">
        <v>0.0</v>
      </c>
      <c r="Y42" s="20" t="s">
        <v>1430</v>
      </c>
      <c r="Z42" s="42" t="s">
        <v>1431</v>
      </c>
      <c r="AA42" s="43" t="s">
        <v>1432</v>
      </c>
      <c r="AB42" s="53" t="s">
        <v>402</v>
      </c>
      <c r="AC42" s="45" t="s">
        <v>1433</v>
      </c>
      <c r="AD42" s="38" t="s">
        <v>1434</v>
      </c>
      <c r="AE42" s="38" t="s">
        <v>213</v>
      </c>
    </row>
    <row r="43" ht="91.5" customHeight="1">
      <c r="A43" s="9">
        <v>42.0</v>
      </c>
      <c r="B43" s="10" t="s">
        <v>1435</v>
      </c>
      <c r="C43" s="10" t="s">
        <v>1355</v>
      </c>
      <c r="D43" s="66" t="s">
        <v>545</v>
      </c>
      <c r="E43" s="10" t="s">
        <v>1203</v>
      </c>
      <c r="F43" s="10" t="s">
        <v>1436</v>
      </c>
      <c r="G43" s="10" t="s">
        <v>1437</v>
      </c>
      <c r="H43" s="6" t="s">
        <v>1438</v>
      </c>
      <c r="I43" s="20" t="s">
        <v>171</v>
      </c>
      <c r="J43" s="10" t="s">
        <v>423</v>
      </c>
      <c r="K43" s="6" t="s">
        <v>1439</v>
      </c>
      <c r="L43" s="8" t="s">
        <v>673</v>
      </c>
      <c r="M43" s="9">
        <v>3.0</v>
      </c>
      <c r="N43" s="10" t="s">
        <v>1440</v>
      </c>
      <c r="O43" s="10" t="s">
        <v>1441</v>
      </c>
      <c r="P43" s="58" t="s">
        <v>410</v>
      </c>
      <c r="Q43" s="6" t="s">
        <v>1442</v>
      </c>
      <c r="R43" s="6" t="s">
        <v>1443</v>
      </c>
      <c r="S43" s="6" t="s">
        <v>1368</v>
      </c>
      <c r="T43" s="62" t="s">
        <v>688</v>
      </c>
      <c r="U43" s="63">
        <v>0.0</v>
      </c>
      <c r="V43" s="63">
        <v>0.0</v>
      </c>
      <c r="W43" s="63">
        <v>0.0</v>
      </c>
      <c r="X43" s="46">
        <v>100.0</v>
      </c>
      <c r="Y43" s="10" t="s">
        <v>1444</v>
      </c>
      <c r="Z43" s="33" t="s">
        <v>1445</v>
      </c>
      <c r="AA43" s="47" t="s">
        <v>1446</v>
      </c>
      <c r="AB43" s="44" t="s">
        <v>204</v>
      </c>
      <c r="AC43" s="35" t="s">
        <v>1447</v>
      </c>
      <c r="AD43" s="38" t="s">
        <v>1448</v>
      </c>
      <c r="AE43" s="38" t="s">
        <v>721</v>
      </c>
    </row>
    <row r="44" ht="14.25" customHeight="1">
      <c r="T44" s="77"/>
      <c r="U44" s="78"/>
      <c r="V44" s="78"/>
      <c r="W44" s="78"/>
      <c r="X44" s="77"/>
      <c r="Z44" s="79"/>
      <c r="AB44" s="80"/>
    </row>
    <row r="45" ht="14.25" customHeight="1">
      <c r="T45" s="77"/>
      <c r="U45" s="78"/>
      <c r="V45" s="78"/>
      <c r="W45" s="78"/>
      <c r="X45" s="77"/>
      <c r="Z45" s="79"/>
      <c r="AB45" s="80"/>
    </row>
    <row r="46" ht="14.25" customHeight="1">
      <c r="T46" s="77"/>
      <c r="U46" s="78"/>
      <c r="V46" s="78"/>
      <c r="W46" s="78"/>
      <c r="X46" s="77"/>
      <c r="Z46" s="79"/>
      <c r="AB46" s="80"/>
    </row>
    <row r="47" ht="14.25" customHeight="1">
      <c r="T47" s="77"/>
      <c r="U47" s="78"/>
      <c r="V47" s="78"/>
      <c r="W47" s="78"/>
      <c r="X47" s="77"/>
      <c r="Z47" s="79"/>
      <c r="AB47" s="80"/>
    </row>
    <row r="48" ht="14.25" customHeight="1">
      <c r="T48" s="77"/>
      <c r="U48" s="78"/>
      <c r="V48" s="78"/>
      <c r="W48" s="78"/>
      <c r="X48" s="77"/>
      <c r="Z48" s="79"/>
      <c r="AB48" s="80"/>
    </row>
    <row r="49" ht="14.25" customHeight="1">
      <c r="T49" s="77"/>
      <c r="U49" s="78"/>
      <c r="V49" s="78"/>
      <c r="W49" s="78"/>
      <c r="X49" s="77"/>
      <c r="Z49" s="79"/>
      <c r="AB49" s="80"/>
    </row>
    <row r="50" ht="14.25" customHeight="1">
      <c r="T50" s="77"/>
      <c r="U50" s="78"/>
      <c r="V50" s="78"/>
      <c r="W50" s="78"/>
      <c r="X50" s="77"/>
      <c r="Z50" s="79"/>
      <c r="AB50" s="80"/>
    </row>
    <row r="51" ht="14.25" customHeight="1">
      <c r="T51" s="77"/>
      <c r="U51" s="78"/>
      <c r="V51" s="78"/>
      <c r="W51" s="78"/>
      <c r="X51" s="77"/>
      <c r="Z51" s="79"/>
      <c r="AB51" s="80"/>
    </row>
    <row r="52" ht="14.25" customHeight="1">
      <c r="T52" s="77"/>
      <c r="U52" s="78"/>
      <c r="V52" s="78"/>
      <c r="W52" s="78"/>
      <c r="X52" s="77"/>
      <c r="Z52" s="79"/>
      <c r="AB52" s="80"/>
    </row>
    <row r="53" ht="14.25" customHeight="1">
      <c r="T53" s="77"/>
      <c r="U53" s="78"/>
      <c r="V53" s="78"/>
      <c r="W53" s="78"/>
      <c r="X53" s="77"/>
      <c r="Z53" s="79"/>
      <c r="AB53" s="80"/>
    </row>
    <row r="54" ht="14.25" customHeight="1">
      <c r="T54" s="77"/>
      <c r="U54" s="78"/>
      <c r="V54" s="78"/>
      <c r="W54" s="78"/>
      <c r="X54" s="77"/>
      <c r="Z54" s="79"/>
      <c r="AB54" s="80"/>
    </row>
    <row r="55" ht="14.25" customHeight="1">
      <c r="T55" s="77"/>
      <c r="U55" s="78"/>
      <c r="V55" s="78"/>
      <c r="W55" s="78"/>
      <c r="X55" s="77"/>
      <c r="Z55" s="79"/>
      <c r="AB55" s="80"/>
    </row>
    <row r="56" ht="14.25" customHeight="1">
      <c r="T56" s="77"/>
      <c r="U56" s="78"/>
      <c r="V56" s="78"/>
      <c r="W56" s="78"/>
      <c r="X56" s="77"/>
      <c r="Z56" s="79"/>
      <c r="AB56" s="80"/>
    </row>
    <row r="57" ht="14.25" customHeight="1">
      <c r="T57" s="77"/>
      <c r="U57" s="78"/>
      <c r="V57" s="78"/>
      <c r="W57" s="78"/>
      <c r="X57" s="77"/>
      <c r="Z57" s="79"/>
      <c r="AB57" s="80"/>
    </row>
    <row r="58" ht="14.25" customHeight="1">
      <c r="T58" s="77"/>
      <c r="U58" s="78"/>
      <c r="V58" s="78"/>
      <c r="W58" s="78"/>
      <c r="X58" s="77"/>
      <c r="Z58" s="79"/>
      <c r="AB58" s="80"/>
    </row>
    <row r="59" ht="14.25" customHeight="1">
      <c r="T59" s="77"/>
      <c r="U59" s="78"/>
      <c r="V59" s="78"/>
      <c r="W59" s="78"/>
      <c r="X59" s="77"/>
      <c r="Z59" s="79"/>
      <c r="AB59" s="80"/>
    </row>
    <row r="60" ht="14.25" customHeight="1">
      <c r="T60" s="77"/>
      <c r="U60" s="78"/>
      <c r="V60" s="78"/>
      <c r="W60" s="78"/>
      <c r="X60" s="77"/>
      <c r="Z60" s="79"/>
      <c r="AB60" s="80"/>
    </row>
    <row r="61" ht="14.25" customHeight="1">
      <c r="T61" s="77"/>
      <c r="U61" s="78"/>
      <c r="V61" s="78"/>
      <c r="W61" s="78"/>
      <c r="X61" s="77"/>
      <c r="Z61" s="79"/>
      <c r="AB61" s="80"/>
    </row>
    <row r="62" ht="14.25" customHeight="1">
      <c r="T62" s="77"/>
      <c r="U62" s="78"/>
      <c r="V62" s="78"/>
      <c r="W62" s="78"/>
      <c r="X62" s="77"/>
      <c r="Z62" s="79"/>
      <c r="AB62" s="80"/>
    </row>
    <row r="63" ht="14.25" customHeight="1">
      <c r="T63" s="77"/>
      <c r="U63" s="78"/>
      <c r="V63" s="78"/>
      <c r="W63" s="78"/>
      <c r="X63" s="77"/>
      <c r="Z63" s="79"/>
      <c r="AB63" s="80"/>
    </row>
    <row r="64" ht="14.25" customHeight="1">
      <c r="T64" s="77"/>
      <c r="U64" s="78"/>
      <c r="V64" s="78"/>
      <c r="W64" s="78"/>
      <c r="X64" s="77"/>
      <c r="Z64" s="79"/>
      <c r="AB64" s="80"/>
    </row>
    <row r="65" ht="14.25" customHeight="1">
      <c r="T65" s="77"/>
      <c r="U65" s="78"/>
      <c r="V65" s="78"/>
      <c r="W65" s="78"/>
      <c r="X65" s="77"/>
      <c r="Z65" s="79"/>
      <c r="AB65" s="80"/>
    </row>
    <row r="66" ht="14.25" customHeight="1">
      <c r="T66" s="77"/>
      <c r="U66" s="78"/>
      <c r="V66" s="78"/>
      <c r="W66" s="78"/>
      <c r="X66" s="77"/>
      <c r="Z66" s="79"/>
      <c r="AB66" s="80"/>
    </row>
    <row r="67" ht="14.25" customHeight="1">
      <c r="T67" s="77"/>
      <c r="U67" s="78"/>
      <c r="V67" s="78"/>
      <c r="W67" s="78"/>
      <c r="X67" s="77"/>
      <c r="Z67" s="79"/>
      <c r="AB67" s="80"/>
    </row>
    <row r="68" ht="14.25" customHeight="1">
      <c r="T68" s="77"/>
      <c r="U68" s="78"/>
      <c r="V68" s="78"/>
      <c r="W68" s="78"/>
      <c r="X68" s="77"/>
      <c r="Z68" s="79"/>
      <c r="AB68" s="80"/>
    </row>
    <row r="69" ht="14.25" customHeight="1">
      <c r="T69" s="77"/>
      <c r="U69" s="78"/>
      <c r="V69" s="78"/>
      <c r="W69" s="78"/>
      <c r="X69" s="77"/>
      <c r="Z69" s="79"/>
      <c r="AB69" s="80"/>
    </row>
    <row r="70" ht="14.25" customHeight="1">
      <c r="T70" s="77"/>
      <c r="U70" s="78"/>
      <c r="V70" s="78"/>
      <c r="W70" s="78"/>
      <c r="X70" s="77"/>
      <c r="Z70" s="79"/>
      <c r="AB70" s="80"/>
    </row>
    <row r="71" ht="14.25" customHeight="1">
      <c r="T71" s="77"/>
      <c r="U71" s="78"/>
      <c r="V71" s="78"/>
      <c r="W71" s="78"/>
      <c r="X71" s="77"/>
      <c r="Z71" s="79"/>
      <c r="AB71" s="80"/>
    </row>
    <row r="72" ht="14.25" customHeight="1">
      <c r="T72" s="77"/>
      <c r="U72" s="78"/>
      <c r="V72" s="78"/>
      <c r="W72" s="78"/>
      <c r="X72" s="77"/>
      <c r="Z72" s="79"/>
      <c r="AB72" s="80"/>
    </row>
    <row r="73" ht="14.25" customHeight="1">
      <c r="T73" s="77"/>
      <c r="U73" s="78"/>
      <c r="V73" s="78"/>
      <c r="W73" s="78"/>
      <c r="X73" s="77"/>
      <c r="Z73" s="79"/>
      <c r="AB73" s="80"/>
    </row>
    <row r="74" ht="14.25" customHeight="1">
      <c r="T74" s="77"/>
      <c r="U74" s="78"/>
      <c r="V74" s="78"/>
      <c r="W74" s="78"/>
      <c r="X74" s="77"/>
      <c r="Z74" s="79"/>
      <c r="AB74" s="80"/>
    </row>
    <row r="75" ht="14.25" customHeight="1">
      <c r="T75" s="77"/>
      <c r="U75" s="78"/>
      <c r="V75" s="78"/>
      <c r="W75" s="78"/>
      <c r="X75" s="77"/>
      <c r="Z75" s="79"/>
      <c r="AB75" s="80"/>
    </row>
    <row r="76" ht="14.25" customHeight="1">
      <c r="T76" s="77"/>
      <c r="U76" s="78"/>
      <c r="V76" s="78"/>
      <c r="W76" s="78"/>
      <c r="X76" s="77"/>
      <c r="Z76" s="79"/>
      <c r="AB76" s="80"/>
    </row>
    <row r="77" ht="14.25" customHeight="1">
      <c r="T77" s="77"/>
      <c r="U77" s="78"/>
      <c r="V77" s="78"/>
      <c r="W77" s="78"/>
      <c r="X77" s="77"/>
      <c r="Z77" s="79"/>
      <c r="AB77" s="80"/>
    </row>
    <row r="78" ht="14.25" customHeight="1">
      <c r="T78" s="77"/>
      <c r="U78" s="78"/>
      <c r="V78" s="78"/>
      <c r="W78" s="78"/>
      <c r="X78" s="77"/>
      <c r="Z78" s="79"/>
      <c r="AB78" s="80"/>
    </row>
    <row r="79" ht="14.25" customHeight="1">
      <c r="T79" s="77"/>
      <c r="U79" s="78"/>
      <c r="V79" s="78"/>
      <c r="W79" s="78"/>
      <c r="X79" s="77"/>
      <c r="Z79" s="79"/>
      <c r="AB79" s="80"/>
    </row>
    <row r="80" ht="14.25" customHeight="1">
      <c r="T80" s="77"/>
      <c r="U80" s="78"/>
      <c r="V80" s="78"/>
      <c r="W80" s="78"/>
      <c r="X80" s="77"/>
      <c r="Z80" s="79"/>
      <c r="AB80" s="80"/>
    </row>
    <row r="81" ht="14.25" customHeight="1">
      <c r="T81" s="77"/>
      <c r="U81" s="78"/>
      <c r="V81" s="78"/>
      <c r="W81" s="78"/>
      <c r="X81" s="77"/>
      <c r="Z81" s="79"/>
      <c r="AB81" s="80"/>
    </row>
    <row r="82" ht="14.25" customHeight="1">
      <c r="T82" s="77"/>
      <c r="U82" s="78"/>
      <c r="V82" s="78"/>
      <c r="W82" s="78"/>
      <c r="X82" s="77"/>
      <c r="Z82" s="79"/>
      <c r="AB82" s="80"/>
    </row>
    <row r="83" ht="14.25" customHeight="1">
      <c r="T83" s="77"/>
      <c r="U83" s="78"/>
      <c r="V83" s="78"/>
      <c r="W83" s="78"/>
      <c r="X83" s="77"/>
      <c r="Z83" s="79"/>
      <c r="AB83" s="80"/>
    </row>
    <row r="84" ht="14.25" customHeight="1">
      <c r="T84" s="77"/>
      <c r="U84" s="78"/>
      <c r="V84" s="78"/>
      <c r="W84" s="78"/>
      <c r="X84" s="77"/>
      <c r="Z84" s="79"/>
      <c r="AB84" s="80"/>
    </row>
    <row r="85" ht="14.25" customHeight="1">
      <c r="T85" s="77"/>
      <c r="U85" s="78"/>
      <c r="V85" s="78"/>
      <c r="W85" s="78"/>
      <c r="X85" s="77"/>
      <c r="Z85" s="79"/>
      <c r="AB85" s="80"/>
    </row>
    <row r="86" ht="14.25" customHeight="1">
      <c r="T86" s="77"/>
      <c r="U86" s="78"/>
      <c r="V86" s="78"/>
      <c r="W86" s="78"/>
      <c r="X86" s="77"/>
      <c r="Z86" s="79"/>
      <c r="AB86" s="80"/>
    </row>
    <row r="87" ht="14.25" customHeight="1">
      <c r="T87" s="77"/>
      <c r="U87" s="78"/>
      <c r="V87" s="78"/>
      <c r="W87" s="78"/>
      <c r="X87" s="77"/>
      <c r="Z87" s="79"/>
      <c r="AB87" s="80"/>
    </row>
    <row r="88" ht="14.25" customHeight="1">
      <c r="T88" s="77"/>
      <c r="U88" s="78"/>
      <c r="V88" s="78"/>
      <c r="W88" s="78"/>
      <c r="X88" s="77"/>
      <c r="Z88" s="79"/>
      <c r="AB88" s="80"/>
    </row>
    <row r="89" ht="14.25" customHeight="1">
      <c r="T89" s="77"/>
      <c r="U89" s="78"/>
      <c r="V89" s="78"/>
      <c r="W89" s="78"/>
      <c r="X89" s="77"/>
      <c r="Z89" s="79"/>
      <c r="AB89" s="80"/>
    </row>
    <row r="90" ht="14.25" customHeight="1">
      <c r="T90" s="77"/>
      <c r="U90" s="78"/>
      <c r="V90" s="78"/>
      <c r="W90" s="78"/>
      <c r="X90" s="77"/>
      <c r="Z90" s="79"/>
      <c r="AB90" s="80"/>
    </row>
    <row r="91" ht="14.25" customHeight="1">
      <c r="T91" s="77"/>
      <c r="U91" s="78"/>
      <c r="V91" s="78"/>
      <c r="W91" s="78"/>
      <c r="X91" s="77"/>
      <c r="Z91" s="79"/>
      <c r="AB91" s="80"/>
    </row>
    <row r="92" ht="14.25" customHeight="1">
      <c r="T92" s="77"/>
      <c r="U92" s="78"/>
      <c r="V92" s="78"/>
      <c r="W92" s="78"/>
      <c r="X92" s="77"/>
      <c r="Z92" s="79"/>
      <c r="AB92" s="80"/>
    </row>
    <row r="93" ht="14.25" customHeight="1">
      <c r="T93" s="77"/>
      <c r="U93" s="78"/>
      <c r="V93" s="78"/>
      <c r="W93" s="78"/>
      <c r="X93" s="77"/>
      <c r="Z93" s="79"/>
      <c r="AB93" s="80"/>
    </row>
    <row r="94" ht="14.25" customHeight="1">
      <c r="T94" s="77"/>
      <c r="U94" s="78"/>
      <c r="V94" s="78"/>
      <c r="W94" s="78"/>
      <c r="X94" s="77"/>
      <c r="Z94" s="79"/>
      <c r="AB94" s="80"/>
    </row>
    <row r="95" ht="14.25" customHeight="1">
      <c r="T95" s="77"/>
      <c r="U95" s="78"/>
      <c r="V95" s="78"/>
      <c r="W95" s="78"/>
      <c r="X95" s="77"/>
      <c r="Z95" s="79"/>
      <c r="AB95" s="80"/>
    </row>
    <row r="96" ht="14.25" customHeight="1">
      <c r="T96" s="77"/>
      <c r="U96" s="78"/>
      <c r="V96" s="78"/>
      <c r="W96" s="78"/>
      <c r="X96" s="77"/>
      <c r="Z96" s="79"/>
      <c r="AB96" s="80"/>
    </row>
    <row r="97" ht="14.25" customHeight="1">
      <c r="T97" s="77"/>
      <c r="U97" s="78"/>
      <c r="V97" s="78"/>
      <c r="W97" s="78"/>
      <c r="X97" s="77"/>
      <c r="Z97" s="79"/>
      <c r="AB97" s="80"/>
    </row>
    <row r="98" ht="14.25" customHeight="1">
      <c r="T98" s="77"/>
      <c r="U98" s="78"/>
      <c r="V98" s="78"/>
      <c r="W98" s="78"/>
      <c r="X98" s="77"/>
      <c r="Z98" s="79"/>
      <c r="AB98" s="80"/>
    </row>
    <row r="99" ht="14.25" customHeight="1">
      <c r="T99" s="77"/>
      <c r="U99" s="78"/>
      <c r="V99" s="78"/>
      <c r="W99" s="78"/>
      <c r="X99" s="77"/>
      <c r="Z99" s="79"/>
      <c r="AB99" s="80"/>
    </row>
    <row r="100" ht="14.25" customHeight="1">
      <c r="T100" s="77"/>
      <c r="U100" s="78"/>
      <c r="V100" s="78"/>
      <c r="W100" s="78"/>
      <c r="X100" s="77"/>
      <c r="Z100" s="79"/>
      <c r="AB100" s="80"/>
    </row>
    <row r="101" ht="14.25" customHeight="1">
      <c r="T101" s="77"/>
      <c r="U101" s="78"/>
      <c r="V101" s="78"/>
      <c r="W101" s="78"/>
      <c r="X101" s="77"/>
      <c r="Z101" s="79"/>
      <c r="AB101" s="80"/>
    </row>
    <row r="102" ht="14.25" customHeight="1">
      <c r="T102" s="77"/>
      <c r="U102" s="78"/>
      <c r="V102" s="78"/>
      <c r="W102" s="78"/>
      <c r="X102" s="77"/>
      <c r="Z102" s="79"/>
      <c r="AB102" s="80"/>
    </row>
    <row r="103" ht="14.25" customHeight="1">
      <c r="T103" s="77"/>
      <c r="U103" s="78"/>
      <c r="V103" s="78"/>
      <c r="W103" s="78"/>
      <c r="X103" s="77"/>
      <c r="Z103" s="79"/>
      <c r="AB103" s="80"/>
    </row>
    <row r="104" ht="14.25" customHeight="1">
      <c r="T104" s="77"/>
      <c r="U104" s="78"/>
      <c r="V104" s="78"/>
      <c r="W104" s="78"/>
      <c r="X104" s="77"/>
      <c r="Z104" s="79"/>
      <c r="AB104" s="80"/>
    </row>
    <row r="105" ht="14.25" customHeight="1">
      <c r="T105" s="77"/>
      <c r="U105" s="78"/>
      <c r="V105" s="78"/>
      <c r="W105" s="78"/>
      <c r="X105" s="77"/>
      <c r="Z105" s="79"/>
      <c r="AB105" s="80"/>
    </row>
    <row r="106" ht="14.25" customHeight="1">
      <c r="T106" s="77"/>
      <c r="U106" s="78"/>
      <c r="V106" s="78"/>
      <c r="W106" s="78"/>
      <c r="X106" s="77"/>
      <c r="Z106" s="79"/>
      <c r="AB106" s="80"/>
    </row>
    <row r="107" ht="14.25" customHeight="1">
      <c r="T107" s="77"/>
      <c r="U107" s="78"/>
      <c r="V107" s="78"/>
      <c r="W107" s="78"/>
      <c r="X107" s="77"/>
      <c r="Z107" s="79"/>
      <c r="AB107" s="80"/>
    </row>
    <row r="108" ht="14.25" customHeight="1">
      <c r="T108" s="77"/>
      <c r="U108" s="78"/>
      <c r="V108" s="78"/>
      <c r="W108" s="78"/>
      <c r="X108" s="77"/>
      <c r="Z108" s="79"/>
      <c r="AB108" s="80"/>
    </row>
    <row r="109" ht="14.25" customHeight="1">
      <c r="T109" s="77"/>
      <c r="U109" s="78"/>
      <c r="V109" s="78"/>
      <c r="W109" s="78"/>
      <c r="X109" s="77"/>
      <c r="Z109" s="79"/>
      <c r="AB109" s="80"/>
    </row>
    <row r="110" ht="14.25" customHeight="1">
      <c r="T110" s="77"/>
      <c r="U110" s="78"/>
      <c r="V110" s="78"/>
      <c r="W110" s="78"/>
      <c r="X110" s="77"/>
      <c r="Z110" s="79"/>
      <c r="AB110" s="80"/>
    </row>
    <row r="111" ht="14.25" customHeight="1">
      <c r="T111" s="77"/>
      <c r="U111" s="78"/>
      <c r="V111" s="78"/>
      <c r="W111" s="78"/>
      <c r="X111" s="77"/>
      <c r="Z111" s="79"/>
      <c r="AB111" s="80"/>
    </row>
    <row r="112" ht="14.25" customHeight="1">
      <c r="T112" s="77"/>
      <c r="U112" s="78"/>
      <c r="V112" s="78"/>
      <c r="W112" s="78"/>
      <c r="X112" s="77"/>
      <c r="Z112" s="79"/>
      <c r="AB112" s="80"/>
    </row>
    <row r="113" ht="14.25" customHeight="1">
      <c r="T113" s="77"/>
      <c r="U113" s="78"/>
      <c r="V113" s="78"/>
      <c r="W113" s="78"/>
      <c r="X113" s="77"/>
      <c r="Z113" s="79"/>
      <c r="AB113" s="80"/>
    </row>
    <row r="114" ht="14.25" customHeight="1">
      <c r="T114" s="77"/>
      <c r="U114" s="78"/>
      <c r="V114" s="78"/>
      <c r="W114" s="78"/>
      <c r="X114" s="77"/>
      <c r="Z114" s="79"/>
      <c r="AB114" s="80"/>
    </row>
    <row r="115" ht="14.25" customHeight="1">
      <c r="T115" s="77"/>
      <c r="U115" s="78"/>
      <c r="V115" s="78"/>
      <c r="W115" s="78"/>
      <c r="X115" s="77"/>
      <c r="Z115" s="79"/>
      <c r="AB115" s="80"/>
    </row>
    <row r="116" ht="14.25" customHeight="1">
      <c r="T116" s="77"/>
      <c r="U116" s="78"/>
      <c r="V116" s="78"/>
      <c r="W116" s="78"/>
      <c r="X116" s="77"/>
      <c r="Z116" s="79"/>
      <c r="AB116" s="80"/>
    </row>
    <row r="117" ht="14.25" customHeight="1">
      <c r="T117" s="77"/>
      <c r="U117" s="78"/>
      <c r="V117" s="78"/>
      <c r="W117" s="78"/>
      <c r="X117" s="77"/>
      <c r="Z117" s="79"/>
      <c r="AB117" s="80"/>
    </row>
    <row r="118" ht="14.25" customHeight="1">
      <c r="T118" s="77"/>
      <c r="U118" s="78"/>
      <c r="V118" s="78"/>
      <c r="W118" s="78"/>
      <c r="X118" s="77"/>
      <c r="Z118" s="79"/>
      <c r="AB118" s="80"/>
    </row>
    <row r="119" ht="14.25" customHeight="1">
      <c r="T119" s="77"/>
      <c r="U119" s="78"/>
      <c r="V119" s="78"/>
      <c r="W119" s="78"/>
      <c r="X119" s="77"/>
      <c r="Z119" s="79"/>
      <c r="AB119" s="80"/>
    </row>
    <row r="120" ht="14.25" customHeight="1">
      <c r="T120" s="77"/>
      <c r="U120" s="78"/>
      <c r="V120" s="78"/>
      <c r="W120" s="78"/>
      <c r="X120" s="77"/>
      <c r="Z120" s="79"/>
      <c r="AB120" s="80"/>
    </row>
    <row r="121" ht="14.25" customHeight="1">
      <c r="T121" s="77"/>
      <c r="U121" s="78"/>
      <c r="V121" s="78"/>
      <c r="W121" s="78"/>
      <c r="X121" s="77"/>
      <c r="Z121" s="79"/>
      <c r="AB121" s="80"/>
    </row>
    <row r="122" ht="14.25" customHeight="1">
      <c r="T122" s="77"/>
      <c r="U122" s="78"/>
      <c r="V122" s="78"/>
      <c r="W122" s="78"/>
      <c r="X122" s="77"/>
      <c r="Z122" s="79"/>
      <c r="AB122" s="80"/>
    </row>
    <row r="123" ht="14.25" customHeight="1">
      <c r="T123" s="77"/>
      <c r="U123" s="78"/>
      <c r="V123" s="78"/>
      <c r="W123" s="78"/>
      <c r="X123" s="77"/>
      <c r="Z123" s="79"/>
      <c r="AB123" s="80"/>
    </row>
    <row r="124" ht="14.25" customHeight="1">
      <c r="T124" s="77"/>
      <c r="U124" s="78"/>
      <c r="V124" s="78"/>
      <c r="W124" s="78"/>
      <c r="X124" s="77"/>
      <c r="Z124" s="79"/>
      <c r="AB124" s="80"/>
    </row>
    <row r="125" ht="14.25" customHeight="1">
      <c r="T125" s="77"/>
      <c r="U125" s="78"/>
      <c r="V125" s="78"/>
      <c r="W125" s="78"/>
      <c r="X125" s="77"/>
      <c r="Z125" s="79"/>
      <c r="AB125" s="80"/>
    </row>
    <row r="126" ht="14.25" customHeight="1">
      <c r="T126" s="77"/>
      <c r="U126" s="78"/>
      <c r="V126" s="78"/>
      <c r="W126" s="78"/>
      <c r="X126" s="77"/>
      <c r="Z126" s="79"/>
      <c r="AB126" s="80"/>
    </row>
    <row r="127" ht="14.25" customHeight="1">
      <c r="T127" s="77"/>
      <c r="U127" s="78"/>
      <c r="V127" s="78"/>
      <c r="W127" s="78"/>
      <c r="X127" s="77"/>
      <c r="Z127" s="79"/>
      <c r="AB127" s="80"/>
    </row>
    <row r="128" ht="14.25" customHeight="1">
      <c r="T128" s="77"/>
      <c r="U128" s="78"/>
      <c r="V128" s="78"/>
      <c r="W128" s="78"/>
      <c r="X128" s="77"/>
      <c r="Z128" s="79"/>
      <c r="AB128" s="80"/>
    </row>
    <row r="129" ht="14.25" customHeight="1">
      <c r="T129" s="77"/>
      <c r="U129" s="78"/>
      <c r="V129" s="78"/>
      <c r="W129" s="78"/>
      <c r="X129" s="77"/>
      <c r="Z129" s="79"/>
      <c r="AB129" s="80"/>
    </row>
    <row r="130" ht="14.25" customHeight="1">
      <c r="T130" s="77"/>
      <c r="U130" s="78"/>
      <c r="V130" s="78"/>
      <c r="W130" s="78"/>
      <c r="X130" s="77"/>
      <c r="Z130" s="79"/>
      <c r="AB130" s="80"/>
    </row>
    <row r="131" ht="14.25" customHeight="1">
      <c r="T131" s="77"/>
      <c r="U131" s="78"/>
      <c r="V131" s="78"/>
      <c r="W131" s="78"/>
      <c r="X131" s="77"/>
      <c r="Z131" s="79"/>
      <c r="AB131" s="80"/>
    </row>
    <row r="132" ht="14.25" customHeight="1">
      <c r="T132" s="77"/>
      <c r="U132" s="78"/>
      <c r="V132" s="78"/>
      <c r="W132" s="78"/>
      <c r="X132" s="77"/>
      <c r="Z132" s="79"/>
      <c r="AB132" s="80"/>
    </row>
    <row r="133" ht="14.25" customHeight="1">
      <c r="T133" s="77"/>
      <c r="U133" s="78"/>
      <c r="V133" s="78"/>
      <c r="W133" s="78"/>
      <c r="X133" s="77"/>
      <c r="Z133" s="79"/>
      <c r="AB133" s="80"/>
    </row>
    <row r="134" ht="14.25" customHeight="1">
      <c r="T134" s="77"/>
      <c r="U134" s="78"/>
      <c r="V134" s="78"/>
      <c r="W134" s="78"/>
      <c r="X134" s="77"/>
      <c r="Z134" s="79"/>
      <c r="AB134" s="80"/>
    </row>
    <row r="135" ht="14.25" customHeight="1">
      <c r="T135" s="77"/>
      <c r="U135" s="78"/>
      <c r="V135" s="78"/>
      <c r="W135" s="78"/>
      <c r="X135" s="77"/>
      <c r="Z135" s="79"/>
      <c r="AB135" s="80"/>
    </row>
    <row r="136" ht="14.25" customHeight="1">
      <c r="T136" s="77"/>
      <c r="U136" s="78"/>
      <c r="V136" s="78"/>
      <c r="W136" s="78"/>
      <c r="X136" s="77"/>
      <c r="Z136" s="79"/>
      <c r="AB136" s="80"/>
    </row>
    <row r="137" ht="14.25" customHeight="1">
      <c r="T137" s="77"/>
      <c r="U137" s="78"/>
      <c r="V137" s="78"/>
      <c r="W137" s="78"/>
      <c r="X137" s="77"/>
      <c r="Z137" s="79"/>
      <c r="AB137" s="80"/>
    </row>
    <row r="138" ht="14.25" customHeight="1">
      <c r="T138" s="77"/>
      <c r="U138" s="78"/>
      <c r="V138" s="78"/>
      <c r="W138" s="78"/>
      <c r="X138" s="77"/>
      <c r="Z138" s="79"/>
      <c r="AB138" s="80"/>
    </row>
    <row r="139" ht="14.25" customHeight="1">
      <c r="T139" s="77"/>
      <c r="U139" s="78"/>
      <c r="V139" s="78"/>
      <c r="W139" s="78"/>
      <c r="X139" s="77"/>
      <c r="Z139" s="79"/>
      <c r="AB139" s="80"/>
    </row>
    <row r="140" ht="14.25" customHeight="1">
      <c r="T140" s="77"/>
      <c r="U140" s="78"/>
      <c r="V140" s="78"/>
      <c r="W140" s="78"/>
      <c r="X140" s="77"/>
      <c r="Z140" s="79"/>
      <c r="AB140" s="80"/>
    </row>
    <row r="141" ht="14.25" customHeight="1">
      <c r="T141" s="77"/>
      <c r="U141" s="78"/>
      <c r="V141" s="78"/>
      <c r="W141" s="78"/>
      <c r="X141" s="77"/>
      <c r="Z141" s="79"/>
      <c r="AB141" s="80"/>
    </row>
    <row r="142" ht="14.25" customHeight="1">
      <c r="T142" s="77"/>
      <c r="U142" s="78"/>
      <c r="V142" s="78"/>
      <c r="W142" s="78"/>
      <c r="X142" s="77"/>
      <c r="Z142" s="79"/>
      <c r="AB142" s="80"/>
    </row>
    <row r="143" ht="14.25" customHeight="1">
      <c r="T143" s="77"/>
      <c r="U143" s="78"/>
      <c r="V143" s="78"/>
      <c r="W143" s="78"/>
      <c r="X143" s="77"/>
      <c r="Z143" s="79"/>
      <c r="AB143" s="80"/>
    </row>
    <row r="144" ht="14.25" customHeight="1">
      <c r="T144" s="77"/>
      <c r="U144" s="78"/>
      <c r="V144" s="78"/>
      <c r="W144" s="78"/>
      <c r="X144" s="77"/>
      <c r="Z144" s="79"/>
      <c r="AB144" s="80"/>
    </row>
    <row r="145" ht="14.25" customHeight="1">
      <c r="T145" s="77"/>
      <c r="U145" s="78"/>
      <c r="V145" s="78"/>
      <c r="W145" s="78"/>
      <c r="X145" s="77"/>
      <c r="Z145" s="79"/>
      <c r="AB145" s="80"/>
    </row>
    <row r="146" ht="14.25" customHeight="1">
      <c r="T146" s="77"/>
      <c r="U146" s="78"/>
      <c r="V146" s="78"/>
      <c r="W146" s="78"/>
      <c r="X146" s="77"/>
      <c r="Z146" s="79"/>
      <c r="AB146" s="80"/>
    </row>
    <row r="147" ht="14.25" customHeight="1">
      <c r="T147" s="77"/>
      <c r="U147" s="78"/>
      <c r="V147" s="78"/>
      <c r="W147" s="78"/>
      <c r="X147" s="77"/>
      <c r="Z147" s="79"/>
      <c r="AB147" s="80"/>
    </row>
    <row r="148" ht="14.25" customHeight="1">
      <c r="T148" s="77"/>
      <c r="U148" s="78"/>
      <c r="V148" s="78"/>
      <c r="W148" s="78"/>
      <c r="X148" s="77"/>
      <c r="Z148" s="79"/>
      <c r="AB148" s="80"/>
    </row>
    <row r="149" ht="14.25" customHeight="1">
      <c r="T149" s="77"/>
      <c r="U149" s="78"/>
      <c r="V149" s="78"/>
      <c r="W149" s="78"/>
      <c r="X149" s="77"/>
      <c r="Z149" s="79"/>
      <c r="AB149" s="80"/>
    </row>
    <row r="150" ht="14.25" customHeight="1">
      <c r="T150" s="77"/>
      <c r="U150" s="78"/>
      <c r="V150" s="78"/>
      <c r="W150" s="78"/>
      <c r="X150" s="77"/>
      <c r="Z150" s="79"/>
      <c r="AB150" s="80"/>
    </row>
    <row r="151" ht="14.25" customHeight="1">
      <c r="T151" s="77"/>
      <c r="U151" s="78"/>
      <c r="V151" s="78"/>
      <c r="W151" s="78"/>
      <c r="X151" s="77"/>
      <c r="Z151" s="79"/>
      <c r="AB151" s="80"/>
    </row>
    <row r="152" ht="14.25" customHeight="1">
      <c r="T152" s="77"/>
      <c r="U152" s="78"/>
      <c r="V152" s="78"/>
      <c r="W152" s="78"/>
      <c r="X152" s="77"/>
      <c r="Z152" s="79"/>
      <c r="AB152" s="80"/>
    </row>
    <row r="153" ht="14.25" customHeight="1">
      <c r="T153" s="77"/>
      <c r="U153" s="78"/>
      <c r="V153" s="78"/>
      <c r="W153" s="78"/>
      <c r="X153" s="77"/>
      <c r="Z153" s="79"/>
      <c r="AB153" s="80"/>
    </row>
    <row r="154" ht="14.25" customHeight="1">
      <c r="T154" s="77"/>
      <c r="U154" s="78"/>
      <c r="V154" s="78"/>
      <c r="W154" s="78"/>
      <c r="X154" s="77"/>
      <c r="Z154" s="79"/>
      <c r="AB154" s="80"/>
    </row>
    <row r="155" ht="14.25" customHeight="1">
      <c r="T155" s="77"/>
      <c r="U155" s="78"/>
      <c r="V155" s="78"/>
      <c r="W155" s="78"/>
      <c r="X155" s="77"/>
      <c r="Z155" s="79"/>
      <c r="AB155" s="80"/>
    </row>
    <row r="156" ht="14.25" customHeight="1">
      <c r="T156" s="77"/>
      <c r="U156" s="78"/>
      <c r="V156" s="78"/>
      <c r="W156" s="78"/>
      <c r="X156" s="77"/>
      <c r="Z156" s="79"/>
      <c r="AB156" s="80"/>
    </row>
    <row r="157" ht="14.25" customHeight="1">
      <c r="T157" s="77"/>
      <c r="U157" s="78"/>
      <c r="V157" s="78"/>
      <c r="W157" s="78"/>
      <c r="X157" s="77"/>
      <c r="Z157" s="79"/>
      <c r="AB157" s="80"/>
    </row>
    <row r="158" ht="14.25" customHeight="1">
      <c r="T158" s="77"/>
      <c r="U158" s="78"/>
      <c r="V158" s="78"/>
      <c r="W158" s="78"/>
      <c r="X158" s="77"/>
      <c r="Z158" s="79"/>
      <c r="AB158" s="80"/>
    </row>
    <row r="159" ht="14.25" customHeight="1">
      <c r="T159" s="77"/>
      <c r="U159" s="78"/>
      <c r="V159" s="78"/>
      <c r="W159" s="78"/>
      <c r="X159" s="77"/>
      <c r="Z159" s="79"/>
      <c r="AB159" s="80"/>
    </row>
    <row r="160" ht="14.25" customHeight="1">
      <c r="T160" s="77"/>
      <c r="U160" s="78"/>
      <c r="V160" s="78"/>
      <c r="W160" s="78"/>
      <c r="X160" s="77"/>
      <c r="Z160" s="79"/>
      <c r="AB160" s="80"/>
    </row>
    <row r="161" ht="14.25" customHeight="1">
      <c r="T161" s="77"/>
      <c r="U161" s="78"/>
      <c r="V161" s="78"/>
      <c r="W161" s="78"/>
      <c r="X161" s="77"/>
      <c r="Z161" s="79"/>
      <c r="AB161" s="80"/>
    </row>
    <row r="162" ht="14.25" customHeight="1">
      <c r="T162" s="77"/>
      <c r="U162" s="78"/>
      <c r="V162" s="78"/>
      <c r="W162" s="78"/>
      <c r="X162" s="77"/>
      <c r="Z162" s="79"/>
      <c r="AB162" s="80"/>
    </row>
    <row r="163" ht="14.25" customHeight="1">
      <c r="T163" s="77"/>
      <c r="U163" s="78"/>
      <c r="V163" s="78"/>
      <c r="W163" s="78"/>
      <c r="X163" s="77"/>
      <c r="Z163" s="79"/>
      <c r="AB163" s="80"/>
    </row>
    <row r="164" ht="14.25" customHeight="1">
      <c r="T164" s="77"/>
      <c r="U164" s="78"/>
      <c r="V164" s="78"/>
      <c r="W164" s="78"/>
      <c r="X164" s="77"/>
      <c r="Z164" s="79"/>
      <c r="AB164" s="80"/>
    </row>
    <row r="165" ht="14.25" customHeight="1">
      <c r="T165" s="77"/>
      <c r="U165" s="78"/>
      <c r="V165" s="78"/>
      <c r="W165" s="78"/>
      <c r="X165" s="77"/>
      <c r="Z165" s="79"/>
      <c r="AB165" s="80"/>
    </row>
    <row r="166" ht="14.25" customHeight="1">
      <c r="T166" s="77"/>
      <c r="U166" s="78"/>
      <c r="V166" s="78"/>
      <c r="W166" s="78"/>
      <c r="X166" s="77"/>
      <c r="Z166" s="79"/>
      <c r="AB166" s="80"/>
    </row>
    <row r="167" ht="14.25" customHeight="1">
      <c r="T167" s="77"/>
      <c r="U167" s="78"/>
      <c r="V167" s="78"/>
      <c r="W167" s="78"/>
      <c r="X167" s="77"/>
      <c r="Z167" s="79"/>
      <c r="AB167" s="80"/>
    </row>
    <row r="168" ht="14.25" customHeight="1">
      <c r="T168" s="77"/>
      <c r="U168" s="78"/>
      <c r="V168" s="78"/>
      <c r="W168" s="78"/>
      <c r="X168" s="77"/>
      <c r="Z168" s="79"/>
      <c r="AB168" s="80"/>
    </row>
    <row r="169" ht="14.25" customHeight="1">
      <c r="T169" s="77"/>
      <c r="U169" s="78"/>
      <c r="V169" s="78"/>
      <c r="W169" s="78"/>
      <c r="X169" s="77"/>
      <c r="Z169" s="79"/>
      <c r="AB169" s="80"/>
    </row>
    <row r="170" ht="14.25" customHeight="1">
      <c r="T170" s="77"/>
      <c r="U170" s="78"/>
      <c r="V170" s="78"/>
      <c r="W170" s="78"/>
      <c r="X170" s="77"/>
      <c r="Z170" s="79"/>
      <c r="AB170" s="80"/>
    </row>
    <row r="171" ht="14.25" customHeight="1">
      <c r="T171" s="77"/>
      <c r="U171" s="78"/>
      <c r="V171" s="78"/>
      <c r="W171" s="78"/>
      <c r="X171" s="77"/>
      <c r="Z171" s="79"/>
      <c r="AB171" s="80"/>
    </row>
    <row r="172" ht="14.25" customHeight="1">
      <c r="T172" s="77"/>
      <c r="U172" s="78"/>
      <c r="V172" s="78"/>
      <c r="W172" s="78"/>
      <c r="X172" s="77"/>
      <c r="Z172" s="79"/>
      <c r="AB172" s="80"/>
    </row>
    <row r="173" ht="14.25" customHeight="1">
      <c r="T173" s="77"/>
      <c r="U173" s="78"/>
      <c r="V173" s="78"/>
      <c r="W173" s="78"/>
      <c r="X173" s="77"/>
      <c r="Z173" s="79"/>
      <c r="AB173" s="80"/>
    </row>
    <row r="174" ht="14.25" customHeight="1">
      <c r="T174" s="77"/>
      <c r="U174" s="78"/>
      <c r="V174" s="78"/>
      <c r="W174" s="78"/>
      <c r="X174" s="77"/>
      <c r="Z174" s="79"/>
      <c r="AB174" s="80"/>
    </row>
    <row r="175" ht="14.25" customHeight="1">
      <c r="T175" s="77"/>
      <c r="U175" s="78"/>
      <c r="V175" s="78"/>
      <c r="W175" s="78"/>
      <c r="X175" s="77"/>
      <c r="Z175" s="79"/>
      <c r="AB175" s="80"/>
    </row>
    <row r="176" ht="14.25" customHeight="1">
      <c r="T176" s="77"/>
      <c r="U176" s="78"/>
      <c r="V176" s="78"/>
      <c r="W176" s="78"/>
      <c r="X176" s="77"/>
      <c r="Z176" s="79"/>
      <c r="AB176" s="80"/>
    </row>
    <row r="177" ht="14.25" customHeight="1">
      <c r="T177" s="77"/>
      <c r="U177" s="78"/>
      <c r="V177" s="78"/>
      <c r="W177" s="78"/>
      <c r="X177" s="77"/>
      <c r="Z177" s="79"/>
      <c r="AB177" s="80"/>
    </row>
    <row r="178" ht="14.25" customHeight="1">
      <c r="T178" s="77"/>
      <c r="U178" s="78"/>
      <c r="V178" s="78"/>
      <c r="W178" s="78"/>
      <c r="X178" s="77"/>
      <c r="Z178" s="79"/>
      <c r="AB178" s="80"/>
    </row>
    <row r="179" ht="14.25" customHeight="1">
      <c r="T179" s="77"/>
      <c r="U179" s="78"/>
      <c r="V179" s="78"/>
      <c r="W179" s="78"/>
      <c r="X179" s="77"/>
      <c r="Z179" s="79"/>
      <c r="AB179" s="80"/>
    </row>
    <row r="180" ht="14.25" customHeight="1">
      <c r="T180" s="77"/>
      <c r="U180" s="78"/>
      <c r="V180" s="78"/>
      <c r="W180" s="78"/>
      <c r="X180" s="77"/>
      <c r="Z180" s="79"/>
      <c r="AB180" s="80"/>
    </row>
    <row r="181" ht="14.25" customHeight="1">
      <c r="T181" s="77"/>
      <c r="U181" s="78"/>
      <c r="V181" s="78"/>
      <c r="W181" s="78"/>
      <c r="X181" s="77"/>
      <c r="Z181" s="79"/>
      <c r="AB181" s="80"/>
    </row>
    <row r="182" ht="14.25" customHeight="1">
      <c r="T182" s="77"/>
      <c r="U182" s="78"/>
      <c r="V182" s="78"/>
      <c r="W182" s="78"/>
      <c r="X182" s="77"/>
      <c r="Z182" s="79"/>
      <c r="AB182" s="80"/>
    </row>
    <row r="183" ht="14.25" customHeight="1">
      <c r="T183" s="77"/>
      <c r="U183" s="78"/>
      <c r="V183" s="78"/>
      <c r="W183" s="78"/>
      <c r="X183" s="77"/>
      <c r="Z183" s="79"/>
      <c r="AB183" s="80"/>
    </row>
    <row r="184" ht="14.25" customHeight="1">
      <c r="T184" s="77"/>
      <c r="U184" s="78"/>
      <c r="V184" s="78"/>
      <c r="W184" s="78"/>
      <c r="X184" s="77"/>
      <c r="Z184" s="79"/>
      <c r="AB184" s="80"/>
    </row>
    <row r="185" ht="14.25" customHeight="1">
      <c r="T185" s="77"/>
      <c r="U185" s="78"/>
      <c r="V185" s="78"/>
      <c r="W185" s="78"/>
      <c r="X185" s="77"/>
      <c r="Z185" s="79"/>
      <c r="AB185" s="80"/>
    </row>
    <row r="186" ht="14.25" customHeight="1">
      <c r="T186" s="77"/>
      <c r="U186" s="78"/>
      <c r="V186" s="78"/>
      <c r="W186" s="78"/>
      <c r="X186" s="77"/>
      <c r="Z186" s="79"/>
      <c r="AB186" s="80"/>
    </row>
    <row r="187" ht="14.25" customHeight="1">
      <c r="T187" s="77"/>
      <c r="U187" s="78"/>
      <c r="V187" s="78"/>
      <c r="W187" s="78"/>
      <c r="X187" s="77"/>
      <c r="Z187" s="79"/>
      <c r="AB187" s="80"/>
    </row>
    <row r="188" ht="14.25" customHeight="1">
      <c r="T188" s="77"/>
      <c r="U188" s="78"/>
      <c r="V188" s="78"/>
      <c r="W188" s="78"/>
      <c r="X188" s="77"/>
      <c r="Z188" s="79"/>
      <c r="AB188" s="80"/>
    </row>
    <row r="189" ht="14.25" customHeight="1">
      <c r="T189" s="77"/>
      <c r="U189" s="78"/>
      <c r="V189" s="78"/>
      <c r="W189" s="78"/>
      <c r="X189" s="77"/>
      <c r="Z189" s="79"/>
      <c r="AB189" s="80"/>
    </row>
    <row r="190" ht="14.25" customHeight="1">
      <c r="T190" s="77"/>
      <c r="U190" s="78"/>
      <c r="V190" s="78"/>
      <c r="W190" s="78"/>
      <c r="X190" s="77"/>
      <c r="Z190" s="79"/>
      <c r="AB190" s="80"/>
    </row>
    <row r="191" ht="14.25" customHeight="1">
      <c r="T191" s="77"/>
      <c r="U191" s="78"/>
      <c r="V191" s="78"/>
      <c r="W191" s="78"/>
      <c r="X191" s="77"/>
      <c r="Z191" s="79"/>
      <c r="AB191" s="80"/>
    </row>
    <row r="192" ht="14.25" customHeight="1">
      <c r="T192" s="77"/>
      <c r="U192" s="78"/>
      <c r="V192" s="78"/>
      <c r="W192" s="78"/>
      <c r="X192" s="77"/>
      <c r="Z192" s="79"/>
      <c r="AB192" s="80"/>
    </row>
    <row r="193" ht="14.25" customHeight="1">
      <c r="T193" s="77"/>
      <c r="U193" s="78"/>
      <c r="V193" s="78"/>
      <c r="W193" s="78"/>
      <c r="X193" s="77"/>
      <c r="Z193" s="79"/>
      <c r="AB193" s="80"/>
    </row>
    <row r="194" ht="14.25" customHeight="1">
      <c r="T194" s="77"/>
      <c r="U194" s="78"/>
      <c r="V194" s="78"/>
      <c r="W194" s="78"/>
      <c r="X194" s="77"/>
      <c r="Z194" s="79"/>
      <c r="AB194" s="80"/>
    </row>
    <row r="195" ht="14.25" customHeight="1">
      <c r="T195" s="77"/>
      <c r="U195" s="78"/>
      <c r="V195" s="78"/>
      <c r="W195" s="78"/>
      <c r="X195" s="77"/>
      <c r="Z195" s="79"/>
      <c r="AB195" s="80"/>
    </row>
    <row r="196" ht="14.25" customHeight="1">
      <c r="T196" s="77"/>
      <c r="U196" s="78"/>
      <c r="V196" s="78"/>
      <c r="W196" s="78"/>
      <c r="X196" s="77"/>
      <c r="Z196" s="79"/>
      <c r="AB196" s="80"/>
    </row>
    <row r="197" ht="14.25" customHeight="1">
      <c r="T197" s="77"/>
      <c r="U197" s="78"/>
      <c r="V197" s="78"/>
      <c r="W197" s="78"/>
      <c r="X197" s="77"/>
      <c r="Z197" s="79"/>
      <c r="AB197" s="80"/>
    </row>
    <row r="198" ht="14.25" customHeight="1">
      <c r="T198" s="77"/>
      <c r="U198" s="78"/>
      <c r="V198" s="78"/>
      <c r="W198" s="78"/>
      <c r="X198" s="77"/>
      <c r="Z198" s="79"/>
      <c r="AB198" s="80"/>
    </row>
    <row r="199" ht="14.25" customHeight="1">
      <c r="T199" s="77"/>
      <c r="U199" s="78"/>
      <c r="V199" s="78"/>
      <c r="W199" s="78"/>
      <c r="X199" s="77"/>
      <c r="Z199" s="79"/>
      <c r="AB199" s="80"/>
    </row>
    <row r="200" ht="14.25" customHeight="1">
      <c r="T200" s="77"/>
      <c r="U200" s="78"/>
      <c r="V200" s="78"/>
      <c r="W200" s="78"/>
      <c r="X200" s="77"/>
      <c r="Z200" s="79"/>
      <c r="AB200" s="80"/>
    </row>
    <row r="201" ht="14.25" customHeight="1">
      <c r="T201" s="77"/>
      <c r="U201" s="78"/>
      <c r="V201" s="78"/>
      <c r="W201" s="78"/>
      <c r="X201" s="77"/>
      <c r="Z201" s="79"/>
      <c r="AB201" s="80"/>
    </row>
    <row r="202" ht="14.25" customHeight="1">
      <c r="T202" s="77"/>
      <c r="U202" s="78"/>
      <c r="V202" s="78"/>
      <c r="W202" s="78"/>
      <c r="X202" s="77"/>
      <c r="Z202" s="79"/>
      <c r="AB202" s="80"/>
    </row>
    <row r="203" ht="14.25" customHeight="1">
      <c r="T203" s="77"/>
      <c r="U203" s="78"/>
      <c r="V203" s="78"/>
      <c r="W203" s="78"/>
      <c r="X203" s="77"/>
      <c r="Z203" s="79"/>
      <c r="AB203" s="80"/>
    </row>
    <row r="204" ht="14.25" customHeight="1">
      <c r="T204" s="77"/>
      <c r="U204" s="78"/>
      <c r="V204" s="78"/>
      <c r="W204" s="78"/>
      <c r="X204" s="77"/>
      <c r="Z204" s="79"/>
      <c r="AB204" s="80"/>
    </row>
    <row r="205" ht="14.25" customHeight="1">
      <c r="T205" s="77"/>
      <c r="U205" s="78"/>
      <c r="V205" s="78"/>
      <c r="W205" s="78"/>
      <c r="X205" s="77"/>
      <c r="Z205" s="79"/>
      <c r="AB205" s="80"/>
    </row>
    <row r="206" ht="14.25" customHeight="1">
      <c r="T206" s="77"/>
      <c r="U206" s="78"/>
      <c r="V206" s="78"/>
      <c r="W206" s="78"/>
      <c r="X206" s="77"/>
      <c r="Z206" s="79"/>
      <c r="AB206" s="80"/>
    </row>
    <row r="207" ht="14.25" customHeight="1">
      <c r="T207" s="77"/>
      <c r="U207" s="78"/>
      <c r="V207" s="78"/>
      <c r="W207" s="78"/>
      <c r="X207" s="77"/>
      <c r="Z207" s="79"/>
      <c r="AB207" s="80"/>
    </row>
    <row r="208" ht="14.25" customHeight="1">
      <c r="T208" s="77"/>
      <c r="U208" s="78"/>
      <c r="V208" s="78"/>
      <c r="W208" s="78"/>
      <c r="X208" s="77"/>
      <c r="Z208" s="79"/>
      <c r="AB208" s="80"/>
    </row>
    <row r="209" ht="14.25" customHeight="1">
      <c r="T209" s="77"/>
      <c r="U209" s="78"/>
      <c r="V209" s="78"/>
      <c r="W209" s="78"/>
      <c r="X209" s="77"/>
      <c r="Z209" s="79"/>
      <c r="AB209" s="80"/>
    </row>
    <row r="210" ht="14.25" customHeight="1">
      <c r="T210" s="77"/>
      <c r="U210" s="78"/>
      <c r="V210" s="78"/>
      <c r="W210" s="78"/>
      <c r="X210" s="77"/>
      <c r="Z210" s="79"/>
      <c r="AB210" s="80"/>
    </row>
    <row r="211" ht="14.25" customHeight="1">
      <c r="T211" s="77"/>
      <c r="U211" s="78"/>
      <c r="V211" s="78"/>
      <c r="W211" s="78"/>
      <c r="X211" s="77"/>
      <c r="Z211" s="79"/>
      <c r="AB211" s="80"/>
    </row>
    <row r="212" ht="14.25" customHeight="1">
      <c r="T212" s="77"/>
      <c r="U212" s="78"/>
      <c r="V212" s="78"/>
      <c r="W212" s="78"/>
      <c r="X212" s="77"/>
      <c r="Z212" s="79"/>
      <c r="AB212" s="80"/>
    </row>
    <row r="213" ht="14.25" customHeight="1">
      <c r="T213" s="77"/>
      <c r="U213" s="78"/>
      <c r="V213" s="78"/>
      <c r="W213" s="78"/>
      <c r="X213" s="77"/>
      <c r="Z213" s="79"/>
      <c r="AB213" s="80"/>
    </row>
    <row r="214" ht="14.25" customHeight="1">
      <c r="T214" s="77"/>
      <c r="U214" s="78"/>
      <c r="V214" s="78"/>
      <c r="W214" s="78"/>
      <c r="X214" s="77"/>
      <c r="Z214" s="79"/>
      <c r="AB214" s="80"/>
    </row>
    <row r="215" ht="14.25" customHeight="1">
      <c r="T215" s="77"/>
      <c r="U215" s="78"/>
      <c r="V215" s="78"/>
      <c r="W215" s="78"/>
      <c r="X215" s="77"/>
      <c r="Z215" s="79"/>
      <c r="AB215" s="80"/>
    </row>
    <row r="216" ht="14.25" customHeight="1">
      <c r="T216" s="77"/>
      <c r="U216" s="78"/>
      <c r="V216" s="78"/>
      <c r="W216" s="78"/>
      <c r="X216" s="77"/>
      <c r="Z216" s="79"/>
      <c r="AB216" s="80"/>
    </row>
    <row r="217" ht="14.25" customHeight="1">
      <c r="T217" s="77"/>
      <c r="U217" s="78"/>
      <c r="V217" s="78"/>
      <c r="W217" s="78"/>
      <c r="X217" s="77"/>
      <c r="Z217" s="79"/>
      <c r="AB217" s="80"/>
    </row>
    <row r="218" ht="14.25" customHeight="1">
      <c r="T218" s="77"/>
      <c r="U218" s="78"/>
      <c r="V218" s="78"/>
      <c r="W218" s="78"/>
      <c r="X218" s="77"/>
      <c r="Z218" s="79"/>
      <c r="AB218" s="80"/>
    </row>
    <row r="219" ht="14.25" customHeight="1">
      <c r="T219" s="77"/>
      <c r="U219" s="78"/>
      <c r="V219" s="78"/>
      <c r="W219" s="78"/>
      <c r="X219" s="77"/>
      <c r="Z219" s="79"/>
      <c r="AB219" s="80"/>
    </row>
    <row r="220" ht="14.25" customHeight="1">
      <c r="T220" s="77"/>
      <c r="U220" s="78"/>
      <c r="V220" s="78"/>
      <c r="W220" s="78"/>
      <c r="X220" s="77"/>
      <c r="Z220" s="79"/>
      <c r="AB220" s="80"/>
    </row>
    <row r="221" ht="14.25" customHeight="1">
      <c r="T221" s="77"/>
      <c r="U221" s="78"/>
      <c r="V221" s="78"/>
      <c r="W221" s="78"/>
      <c r="X221" s="77"/>
      <c r="Z221" s="79"/>
      <c r="AB221" s="80"/>
    </row>
    <row r="222" ht="14.25" customHeight="1">
      <c r="T222" s="77"/>
      <c r="U222" s="78"/>
      <c r="V222" s="78"/>
      <c r="W222" s="78"/>
      <c r="X222" s="77"/>
      <c r="Z222" s="79"/>
      <c r="AB222" s="80"/>
    </row>
    <row r="223" ht="14.25" customHeight="1">
      <c r="T223" s="77"/>
      <c r="U223" s="78"/>
      <c r="V223" s="78"/>
      <c r="W223" s="78"/>
      <c r="X223" s="77"/>
      <c r="Z223" s="79"/>
      <c r="AB223" s="80"/>
    </row>
    <row r="224" ht="14.25" customHeight="1">
      <c r="T224" s="77"/>
      <c r="U224" s="78"/>
      <c r="V224" s="78"/>
      <c r="W224" s="78"/>
      <c r="X224" s="77"/>
      <c r="Z224" s="79"/>
      <c r="AB224" s="80"/>
    </row>
    <row r="225" ht="14.25" customHeight="1">
      <c r="T225" s="77"/>
      <c r="U225" s="78"/>
      <c r="V225" s="78"/>
      <c r="W225" s="78"/>
      <c r="X225" s="77"/>
      <c r="Z225" s="79"/>
      <c r="AB225" s="80"/>
    </row>
    <row r="226" ht="14.25" customHeight="1">
      <c r="T226" s="77"/>
      <c r="U226" s="78"/>
      <c r="V226" s="78"/>
      <c r="W226" s="78"/>
      <c r="X226" s="77"/>
      <c r="Z226" s="79"/>
      <c r="AB226" s="80"/>
    </row>
    <row r="227" ht="14.25" customHeight="1">
      <c r="T227" s="77"/>
      <c r="U227" s="78"/>
      <c r="V227" s="78"/>
      <c r="W227" s="78"/>
      <c r="X227" s="77"/>
      <c r="Z227" s="79"/>
      <c r="AB227" s="80"/>
    </row>
    <row r="228" ht="14.25" customHeight="1">
      <c r="T228" s="77"/>
      <c r="U228" s="78"/>
      <c r="V228" s="78"/>
      <c r="W228" s="78"/>
      <c r="X228" s="77"/>
      <c r="Z228" s="79"/>
      <c r="AB228" s="80"/>
    </row>
    <row r="229" ht="14.25" customHeight="1">
      <c r="T229" s="77"/>
      <c r="U229" s="78"/>
      <c r="V229" s="78"/>
      <c r="W229" s="78"/>
      <c r="X229" s="77"/>
      <c r="Z229" s="79"/>
      <c r="AB229" s="80"/>
    </row>
    <row r="230" ht="14.25" customHeight="1">
      <c r="T230" s="77"/>
      <c r="U230" s="78"/>
      <c r="V230" s="78"/>
      <c r="W230" s="78"/>
      <c r="X230" s="77"/>
      <c r="Z230" s="79"/>
      <c r="AB230" s="80"/>
    </row>
    <row r="231" ht="14.25" customHeight="1">
      <c r="T231" s="77"/>
      <c r="U231" s="78"/>
      <c r="V231" s="78"/>
      <c r="W231" s="78"/>
      <c r="X231" s="77"/>
      <c r="Z231" s="79"/>
      <c r="AB231" s="80"/>
    </row>
    <row r="232" ht="14.25" customHeight="1">
      <c r="T232" s="77"/>
      <c r="U232" s="78"/>
      <c r="V232" s="78"/>
      <c r="W232" s="78"/>
      <c r="X232" s="77"/>
      <c r="Z232" s="79"/>
      <c r="AB232" s="80"/>
    </row>
    <row r="233" ht="14.25" customHeight="1">
      <c r="T233" s="77"/>
      <c r="U233" s="78"/>
      <c r="V233" s="78"/>
      <c r="W233" s="78"/>
      <c r="X233" s="77"/>
      <c r="Z233" s="79"/>
      <c r="AB233" s="80"/>
    </row>
    <row r="234" ht="14.25" customHeight="1">
      <c r="T234" s="77"/>
      <c r="U234" s="78"/>
      <c r="V234" s="78"/>
      <c r="W234" s="78"/>
      <c r="X234" s="77"/>
      <c r="Z234" s="79"/>
      <c r="AB234" s="80"/>
    </row>
    <row r="235" ht="14.25" customHeight="1">
      <c r="T235" s="77"/>
      <c r="U235" s="78"/>
      <c r="V235" s="78"/>
      <c r="W235" s="78"/>
      <c r="X235" s="77"/>
      <c r="Z235" s="79"/>
      <c r="AB235" s="80"/>
    </row>
    <row r="236" ht="14.25" customHeight="1">
      <c r="T236" s="77"/>
      <c r="U236" s="78"/>
      <c r="V236" s="78"/>
      <c r="W236" s="78"/>
      <c r="X236" s="77"/>
      <c r="Z236" s="79"/>
      <c r="AB236" s="80"/>
    </row>
    <row r="237" ht="14.25" customHeight="1">
      <c r="T237" s="77"/>
      <c r="U237" s="78"/>
      <c r="V237" s="78"/>
      <c r="W237" s="78"/>
      <c r="X237" s="77"/>
      <c r="Z237" s="79"/>
      <c r="AB237" s="80"/>
    </row>
    <row r="238" ht="14.25" customHeight="1">
      <c r="T238" s="77"/>
      <c r="U238" s="78"/>
      <c r="V238" s="78"/>
      <c r="W238" s="78"/>
      <c r="X238" s="77"/>
      <c r="Z238" s="79"/>
      <c r="AB238" s="80"/>
    </row>
    <row r="239" ht="14.25" customHeight="1">
      <c r="T239" s="77"/>
      <c r="U239" s="78"/>
      <c r="V239" s="78"/>
      <c r="W239" s="78"/>
      <c r="X239" s="77"/>
      <c r="Z239" s="79"/>
      <c r="AB239" s="80"/>
    </row>
    <row r="240" ht="14.25" customHeight="1">
      <c r="T240" s="77"/>
      <c r="U240" s="78"/>
      <c r="V240" s="78"/>
      <c r="W240" s="78"/>
      <c r="X240" s="77"/>
      <c r="Z240" s="79"/>
      <c r="AB240" s="80"/>
    </row>
    <row r="241" ht="14.25" customHeight="1">
      <c r="T241" s="77"/>
      <c r="U241" s="78"/>
      <c r="V241" s="78"/>
      <c r="W241" s="78"/>
      <c r="X241" s="77"/>
      <c r="Z241" s="79"/>
      <c r="AB241" s="80"/>
    </row>
    <row r="242" ht="14.25" customHeight="1">
      <c r="T242" s="77"/>
      <c r="U242" s="78"/>
      <c r="V242" s="78"/>
      <c r="W242" s="78"/>
      <c r="X242" s="77"/>
      <c r="Z242" s="79"/>
      <c r="AB242" s="80"/>
    </row>
    <row r="243" ht="14.25" customHeight="1">
      <c r="T243" s="77"/>
      <c r="U243" s="78"/>
      <c r="V243" s="78"/>
      <c r="W243" s="78"/>
      <c r="X243" s="77"/>
      <c r="Z243" s="79"/>
      <c r="AB243" s="80"/>
    </row>
    <row r="244" ht="14.25" customHeight="1">
      <c r="T244" s="77"/>
      <c r="U244" s="78"/>
      <c r="V244" s="78"/>
      <c r="W244" s="78"/>
      <c r="X244" s="77"/>
      <c r="Z244" s="79"/>
      <c r="AB244" s="80"/>
    </row>
    <row r="245" ht="14.25" customHeight="1">
      <c r="T245" s="77"/>
      <c r="U245" s="78"/>
      <c r="V245" s="78"/>
      <c r="W245" s="78"/>
      <c r="X245" s="77"/>
      <c r="Z245" s="79"/>
      <c r="AB245" s="80"/>
    </row>
    <row r="246" ht="14.25" customHeight="1">
      <c r="T246" s="77"/>
      <c r="U246" s="78"/>
      <c r="V246" s="78"/>
      <c r="W246" s="78"/>
      <c r="X246" s="77"/>
      <c r="Z246" s="79"/>
      <c r="AB246" s="80"/>
    </row>
    <row r="247" ht="14.25" customHeight="1">
      <c r="T247" s="77"/>
      <c r="U247" s="78"/>
      <c r="V247" s="78"/>
      <c r="W247" s="78"/>
      <c r="X247" s="77"/>
      <c r="Z247" s="79"/>
      <c r="AB247" s="80"/>
    </row>
    <row r="248" ht="14.25" customHeight="1">
      <c r="T248" s="77"/>
      <c r="U248" s="78"/>
      <c r="V248" s="78"/>
      <c r="W248" s="78"/>
      <c r="X248" s="77"/>
      <c r="Z248" s="79"/>
      <c r="AB248" s="80"/>
    </row>
    <row r="249" ht="14.25" customHeight="1">
      <c r="T249" s="77"/>
      <c r="U249" s="78"/>
      <c r="V249" s="78"/>
      <c r="W249" s="78"/>
      <c r="X249" s="77"/>
      <c r="Z249" s="79"/>
      <c r="AB249" s="80"/>
    </row>
    <row r="250" ht="14.25" customHeight="1">
      <c r="T250" s="77"/>
      <c r="U250" s="78"/>
      <c r="V250" s="78"/>
      <c r="W250" s="78"/>
      <c r="X250" s="77"/>
      <c r="Z250" s="79"/>
      <c r="AB250" s="80"/>
    </row>
    <row r="251" ht="14.25" customHeight="1">
      <c r="T251" s="77"/>
      <c r="U251" s="78"/>
      <c r="V251" s="78"/>
      <c r="W251" s="78"/>
      <c r="X251" s="77"/>
      <c r="Z251" s="79"/>
      <c r="AB251" s="80"/>
    </row>
    <row r="252" ht="14.25" customHeight="1">
      <c r="T252" s="77"/>
      <c r="U252" s="78"/>
      <c r="V252" s="78"/>
      <c r="W252" s="78"/>
      <c r="X252" s="77"/>
      <c r="Z252" s="79"/>
      <c r="AB252" s="80"/>
    </row>
    <row r="253" ht="14.25" customHeight="1">
      <c r="T253" s="77"/>
      <c r="U253" s="78"/>
      <c r="V253" s="78"/>
      <c r="W253" s="78"/>
      <c r="X253" s="77"/>
      <c r="Z253" s="79"/>
      <c r="AB253" s="80"/>
    </row>
    <row r="254" ht="14.25" customHeight="1">
      <c r="T254" s="77"/>
      <c r="U254" s="78"/>
      <c r="V254" s="78"/>
      <c r="W254" s="78"/>
      <c r="X254" s="77"/>
      <c r="Z254" s="79"/>
      <c r="AB254" s="80"/>
    </row>
    <row r="255" ht="14.25" customHeight="1">
      <c r="T255" s="77"/>
      <c r="U255" s="78"/>
      <c r="V255" s="78"/>
      <c r="W255" s="78"/>
      <c r="X255" s="77"/>
      <c r="Z255" s="79"/>
      <c r="AB255" s="80"/>
    </row>
    <row r="256" ht="14.25" customHeight="1">
      <c r="T256" s="77"/>
      <c r="U256" s="78"/>
      <c r="V256" s="78"/>
      <c r="W256" s="78"/>
      <c r="X256" s="77"/>
      <c r="Z256" s="79"/>
      <c r="AB256" s="80"/>
    </row>
    <row r="257" ht="14.25" customHeight="1">
      <c r="T257" s="77"/>
      <c r="U257" s="78"/>
      <c r="V257" s="78"/>
      <c r="W257" s="78"/>
      <c r="X257" s="77"/>
      <c r="Z257" s="79"/>
      <c r="AB257" s="80"/>
    </row>
    <row r="258" ht="14.25" customHeight="1">
      <c r="T258" s="77"/>
      <c r="U258" s="78"/>
      <c r="V258" s="78"/>
      <c r="W258" s="78"/>
      <c r="X258" s="77"/>
      <c r="Z258" s="79"/>
      <c r="AB258" s="80"/>
    </row>
    <row r="259" ht="14.25" customHeight="1">
      <c r="T259" s="77"/>
      <c r="U259" s="78"/>
      <c r="V259" s="78"/>
      <c r="W259" s="78"/>
      <c r="X259" s="77"/>
      <c r="Z259" s="79"/>
      <c r="AB259" s="80"/>
    </row>
    <row r="260" ht="14.25" customHeight="1">
      <c r="T260" s="77"/>
      <c r="U260" s="78"/>
      <c r="V260" s="78"/>
      <c r="W260" s="78"/>
      <c r="X260" s="77"/>
      <c r="Z260" s="79"/>
      <c r="AB260" s="80"/>
    </row>
    <row r="261" ht="14.25" customHeight="1">
      <c r="T261" s="77"/>
      <c r="U261" s="78"/>
      <c r="V261" s="78"/>
      <c r="W261" s="78"/>
      <c r="X261" s="77"/>
      <c r="Z261" s="79"/>
      <c r="AB261" s="80"/>
    </row>
    <row r="262" ht="14.25" customHeight="1">
      <c r="T262" s="77"/>
      <c r="U262" s="78"/>
      <c r="V262" s="78"/>
      <c r="W262" s="78"/>
      <c r="X262" s="77"/>
      <c r="Z262" s="79"/>
      <c r="AB262" s="80"/>
    </row>
    <row r="263" ht="14.25" customHeight="1">
      <c r="T263" s="77"/>
      <c r="U263" s="78"/>
      <c r="V263" s="78"/>
      <c r="W263" s="78"/>
      <c r="X263" s="77"/>
      <c r="Z263" s="79"/>
      <c r="AB263" s="80"/>
    </row>
    <row r="264" ht="14.25" customHeight="1">
      <c r="T264" s="77"/>
      <c r="U264" s="78"/>
      <c r="V264" s="78"/>
      <c r="W264" s="78"/>
      <c r="X264" s="77"/>
      <c r="Z264" s="79"/>
      <c r="AB264" s="80"/>
    </row>
    <row r="265" ht="14.25" customHeight="1">
      <c r="T265" s="77"/>
      <c r="U265" s="78"/>
      <c r="V265" s="78"/>
      <c r="W265" s="78"/>
      <c r="X265" s="77"/>
      <c r="Z265" s="79"/>
      <c r="AB265" s="80"/>
    </row>
    <row r="266" ht="14.25" customHeight="1">
      <c r="T266" s="77"/>
      <c r="U266" s="78"/>
      <c r="V266" s="78"/>
      <c r="W266" s="78"/>
      <c r="X266" s="77"/>
      <c r="Z266" s="79"/>
      <c r="AB266" s="80"/>
    </row>
    <row r="267" ht="14.25" customHeight="1">
      <c r="T267" s="77"/>
      <c r="U267" s="78"/>
      <c r="V267" s="78"/>
      <c r="W267" s="78"/>
      <c r="X267" s="77"/>
      <c r="Z267" s="79"/>
      <c r="AB267" s="80"/>
    </row>
    <row r="268" ht="14.25" customHeight="1">
      <c r="T268" s="77"/>
      <c r="U268" s="78"/>
      <c r="V268" s="78"/>
      <c r="W268" s="78"/>
      <c r="X268" s="77"/>
      <c r="Z268" s="79"/>
      <c r="AB268" s="80"/>
    </row>
    <row r="269" ht="14.25" customHeight="1">
      <c r="T269" s="77"/>
      <c r="U269" s="78"/>
      <c r="V269" s="78"/>
      <c r="W269" s="78"/>
      <c r="X269" s="77"/>
      <c r="Z269" s="79"/>
      <c r="AB269" s="80"/>
    </row>
    <row r="270" ht="14.25" customHeight="1">
      <c r="T270" s="77"/>
      <c r="U270" s="78"/>
      <c r="V270" s="78"/>
      <c r="W270" s="78"/>
      <c r="X270" s="77"/>
      <c r="Z270" s="79"/>
      <c r="AB270" s="80"/>
    </row>
    <row r="271" ht="14.25" customHeight="1">
      <c r="T271" s="77"/>
      <c r="U271" s="78"/>
      <c r="V271" s="78"/>
      <c r="W271" s="78"/>
      <c r="X271" s="77"/>
      <c r="Z271" s="79"/>
      <c r="AB271" s="80"/>
    </row>
    <row r="272" ht="14.25" customHeight="1">
      <c r="T272" s="77"/>
      <c r="U272" s="78"/>
      <c r="V272" s="78"/>
      <c r="W272" s="78"/>
      <c r="X272" s="77"/>
      <c r="Z272" s="79"/>
      <c r="AB272" s="80"/>
    </row>
    <row r="273" ht="14.25" customHeight="1">
      <c r="T273" s="77"/>
      <c r="U273" s="78"/>
      <c r="V273" s="78"/>
      <c r="W273" s="78"/>
      <c r="X273" s="77"/>
      <c r="Z273" s="79"/>
      <c r="AB273" s="80"/>
    </row>
    <row r="274" ht="14.25" customHeight="1">
      <c r="T274" s="77"/>
      <c r="U274" s="78"/>
      <c r="V274" s="78"/>
      <c r="W274" s="78"/>
      <c r="X274" s="77"/>
      <c r="Z274" s="79"/>
      <c r="AB274" s="80"/>
    </row>
    <row r="275" ht="14.25" customHeight="1">
      <c r="T275" s="77"/>
      <c r="U275" s="78"/>
      <c r="V275" s="78"/>
      <c r="W275" s="78"/>
      <c r="X275" s="77"/>
      <c r="Z275" s="79"/>
      <c r="AB275" s="80"/>
    </row>
    <row r="276" ht="14.25" customHeight="1">
      <c r="T276" s="77"/>
      <c r="U276" s="78"/>
      <c r="V276" s="78"/>
      <c r="W276" s="78"/>
      <c r="X276" s="77"/>
      <c r="Z276" s="79"/>
      <c r="AB276" s="80"/>
    </row>
    <row r="277" ht="14.25" customHeight="1">
      <c r="T277" s="77"/>
      <c r="U277" s="78"/>
      <c r="V277" s="78"/>
      <c r="W277" s="78"/>
      <c r="X277" s="77"/>
      <c r="Z277" s="79"/>
      <c r="AB277" s="80"/>
    </row>
    <row r="278" ht="14.25" customHeight="1">
      <c r="T278" s="77"/>
      <c r="U278" s="78"/>
      <c r="V278" s="78"/>
      <c r="W278" s="78"/>
      <c r="X278" s="77"/>
      <c r="Z278" s="79"/>
      <c r="AB278" s="80"/>
    </row>
    <row r="279" ht="14.25" customHeight="1">
      <c r="T279" s="77"/>
      <c r="U279" s="78"/>
      <c r="V279" s="78"/>
      <c r="W279" s="78"/>
      <c r="X279" s="77"/>
      <c r="Z279" s="79"/>
      <c r="AB279" s="80"/>
    </row>
    <row r="280" ht="14.25" customHeight="1">
      <c r="T280" s="77"/>
      <c r="U280" s="78"/>
      <c r="V280" s="78"/>
      <c r="W280" s="78"/>
      <c r="X280" s="77"/>
      <c r="Z280" s="79"/>
      <c r="AB280" s="80"/>
    </row>
    <row r="281" ht="14.25" customHeight="1">
      <c r="T281" s="77"/>
      <c r="U281" s="78"/>
      <c r="V281" s="78"/>
      <c r="W281" s="78"/>
      <c r="X281" s="77"/>
      <c r="Z281" s="79"/>
      <c r="AB281" s="80"/>
    </row>
    <row r="282" ht="14.25" customHeight="1">
      <c r="T282" s="77"/>
      <c r="U282" s="78"/>
      <c r="V282" s="78"/>
      <c r="W282" s="78"/>
      <c r="X282" s="77"/>
      <c r="Z282" s="79"/>
      <c r="AB282" s="80"/>
    </row>
    <row r="283" ht="14.25" customHeight="1">
      <c r="T283" s="77"/>
      <c r="U283" s="78"/>
      <c r="V283" s="78"/>
      <c r="W283" s="78"/>
      <c r="X283" s="77"/>
      <c r="Z283" s="79"/>
      <c r="AB283" s="80"/>
    </row>
    <row r="284" ht="14.25" customHeight="1">
      <c r="T284" s="77"/>
      <c r="U284" s="78"/>
      <c r="V284" s="78"/>
      <c r="W284" s="78"/>
      <c r="X284" s="77"/>
      <c r="Z284" s="79"/>
      <c r="AB284" s="80"/>
    </row>
    <row r="285" ht="14.25" customHeight="1">
      <c r="T285" s="77"/>
      <c r="U285" s="78"/>
      <c r="V285" s="78"/>
      <c r="W285" s="78"/>
      <c r="X285" s="77"/>
      <c r="Z285" s="79"/>
      <c r="AB285" s="80"/>
    </row>
    <row r="286" ht="14.25" customHeight="1">
      <c r="T286" s="77"/>
      <c r="U286" s="78"/>
      <c r="V286" s="78"/>
      <c r="W286" s="78"/>
      <c r="X286" s="77"/>
      <c r="Z286" s="79"/>
      <c r="AB286" s="80"/>
    </row>
    <row r="287" ht="14.25" customHeight="1">
      <c r="T287" s="77"/>
      <c r="U287" s="78"/>
      <c r="V287" s="78"/>
      <c r="W287" s="78"/>
      <c r="X287" s="77"/>
      <c r="Z287" s="79"/>
      <c r="AB287" s="80"/>
    </row>
    <row r="288" ht="14.25" customHeight="1">
      <c r="T288" s="77"/>
      <c r="U288" s="78"/>
      <c r="V288" s="78"/>
      <c r="W288" s="78"/>
      <c r="X288" s="77"/>
      <c r="Z288" s="79"/>
      <c r="AB288" s="80"/>
    </row>
    <row r="289" ht="14.25" customHeight="1">
      <c r="T289" s="77"/>
      <c r="U289" s="78"/>
      <c r="V289" s="78"/>
      <c r="W289" s="78"/>
      <c r="X289" s="77"/>
      <c r="Z289" s="79"/>
      <c r="AB289" s="80"/>
    </row>
    <row r="290" ht="14.25" customHeight="1">
      <c r="T290" s="77"/>
      <c r="U290" s="78"/>
      <c r="V290" s="78"/>
      <c r="W290" s="78"/>
      <c r="X290" s="77"/>
      <c r="Z290" s="79"/>
      <c r="AB290" s="80"/>
    </row>
    <row r="291" ht="14.25" customHeight="1">
      <c r="T291" s="77"/>
      <c r="U291" s="78"/>
      <c r="V291" s="78"/>
      <c r="W291" s="78"/>
      <c r="X291" s="77"/>
      <c r="Z291" s="79"/>
      <c r="AB291" s="80"/>
    </row>
    <row r="292" ht="14.25" customHeight="1">
      <c r="T292" s="77"/>
      <c r="U292" s="78"/>
      <c r="V292" s="78"/>
      <c r="W292" s="78"/>
      <c r="X292" s="77"/>
      <c r="Z292" s="79"/>
      <c r="AB292" s="80"/>
    </row>
    <row r="293" ht="14.25" customHeight="1">
      <c r="T293" s="77"/>
      <c r="U293" s="78"/>
      <c r="V293" s="78"/>
      <c r="W293" s="78"/>
      <c r="X293" s="77"/>
      <c r="Z293" s="79"/>
      <c r="AB293" s="80"/>
    </row>
    <row r="294" ht="14.25" customHeight="1">
      <c r="T294" s="77"/>
      <c r="U294" s="78"/>
      <c r="V294" s="78"/>
      <c r="W294" s="78"/>
      <c r="X294" s="77"/>
      <c r="Z294" s="79"/>
      <c r="AB294" s="80"/>
    </row>
    <row r="295" ht="14.25" customHeight="1">
      <c r="T295" s="77"/>
      <c r="U295" s="78"/>
      <c r="V295" s="78"/>
      <c r="W295" s="78"/>
      <c r="X295" s="77"/>
      <c r="Z295" s="79"/>
      <c r="AB295" s="80"/>
    </row>
    <row r="296" ht="14.25" customHeight="1">
      <c r="T296" s="77"/>
      <c r="U296" s="78"/>
      <c r="V296" s="78"/>
      <c r="W296" s="78"/>
      <c r="X296" s="77"/>
      <c r="Z296" s="79"/>
      <c r="AB296" s="80"/>
    </row>
    <row r="297" ht="14.25" customHeight="1">
      <c r="T297" s="77"/>
      <c r="U297" s="78"/>
      <c r="V297" s="78"/>
      <c r="W297" s="78"/>
      <c r="X297" s="77"/>
      <c r="Z297" s="79"/>
      <c r="AB297" s="80"/>
    </row>
    <row r="298" ht="14.25" customHeight="1">
      <c r="T298" s="77"/>
      <c r="U298" s="78"/>
      <c r="V298" s="78"/>
      <c r="W298" s="78"/>
      <c r="X298" s="77"/>
      <c r="Z298" s="79"/>
      <c r="AB298" s="80"/>
    </row>
    <row r="299" ht="14.25" customHeight="1">
      <c r="T299" s="77"/>
      <c r="U299" s="78"/>
      <c r="V299" s="78"/>
      <c r="W299" s="78"/>
      <c r="X299" s="77"/>
      <c r="Z299" s="79"/>
      <c r="AB299" s="80"/>
    </row>
    <row r="300" ht="14.25" customHeight="1">
      <c r="T300" s="77"/>
      <c r="U300" s="78"/>
      <c r="V300" s="78"/>
      <c r="W300" s="78"/>
      <c r="X300" s="77"/>
      <c r="Z300" s="79"/>
      <c r="AB300" s="80"/>
    </row>
    <row r="301" ht="14.25" customHeight="1">
      <c r="T301" s="77"/>
      <c r="U301" s="78"/>
      <c r="V301" s="78"/>
      <c r="W301" s="78"/>
      <c r="X301" s="77"/>
      <c r="Z301" s="79"/>
      <c r="AB301" s="80"/>
    </row>
    <row r="302" ht="14.25" customHeight="1">
      <c r="T302" s="77"/>
      <c r="U302" s="78"/>
      <c r="V302" s="78"/>
      <c r="W302" s="78"/>
      <c r="X302" s="77"/>
      <c r="Z302" s="79"/>
      <c r="AB302" s="80"/>
    </row>
    <row r="303" ht="14.25" customHeight="1">
      <c r="T303" s="77"/>
      <c r="U303" s="78"/>
      <c r="V303" s="78"/>
      <c r="W303" s="78"/>
      <c r="X303" s="77"/>
      <c r="Z303" s="79"/>
      <c r="AB303" s="80"/>
    </row>
    <row r="304" ht="14.25" customHeight="1">
      <c r="T304" s="77"/>
      <c r="U304" s="78"/>
      <c r="V304" s="78"/>
      <c r="W304" s="78"/>
      <c r="X304" s="77"/>
      <c r="Z304" s="79"/>
      <c r="AB304" s="80"/>
    </row>
    <row r="305" ht="14.25" customHeight="1">
      <c r="T305" s="77"/>
      <c r="U305" s="78"/>
      <c r="V305" s="78"/>
      <c r="W305" s="78"/>
      <c r="X305" s="77"/>
      <c r="Z305" s="79"/>
      <c r="AB305" s="80"/>
    </row>
    <row r="306" ht="14.25" customHeight="1">
      <c r="T306" s="77"/>
      <c r="U306" s="78"/>
      <c r="V306" s="78"/>
      <c r="W306" s="78"/>
      <c r="X306" s="77"/>
      <c r="Z306" s="79"/>
      <c r="AB306" s="80"/>
    </row>
    <row r="307" ht="14.25" customHeight="1">
      <c r="T307" s="77"/>
      <c r="U307" s="78"/>
      <c r="V307" s="78"/>
      <c r="W307" s="78"/>
      <c r="X307" s="77"/>
      <c r="Z307" s="79"/>
      <c r="AB307" s="80"/>
    </row>
    <row r="308" ht="14.25" customHeight="1">
      <c r="T308" s="77"/>
      <c r="U308" s="78"/>
      <c r="V308" s="78"/>
      <c r="W308" s="78"/>
      <c r="X308" s="77"/>
      <c r="Z308" s="79"/>
      <c r="AB308" s="80"/>
    </row>
    <row r="309" ht="14.25" customHeight="1">
      <c r="T309" s="77"/>
      <c r="U309" s="78"/>
      <c r="V309" s="78"/>
      <c r="W309" s="78"/>
      <c r="X309" s="77"/>
      <c r="Z309" s="79"/>
      <c r="AB309" s="80"/>
    </row>
    <row r="310" ht="14.25" customHeight="1">
      <c r="T310" s="77"/>
      <c r="U310" s="78"/>
      <c r="V310" s="78"/>
      <c r="W310" s="78"/>
      <c r="X310" s="77"/>
      <c r="Z310" s="79"/>
      <c r="AB310" s="80"/>
    </row>
    <row r="311" ht="14.25" customHeight="1">
      <c r="T311" s="77"/>
      <c r="U311" s="78"/>
      <c r="V311" s="78"/>
      <c r="W311" s="78"/>
      <c r="X311" s="77"/>
      <c r="Z311" s="79"/>
      <c r="AB311" s="80"/>
    </row>
    <row r="312" ht="14.25" customHeight="1">
      <c r="T312" s="77"/>
      <c r="U312" s="78"/>
      <c r="V312" s="78"/>
      <c r="W312" s="78"/>
      <c r="X312" s="77"/>
      <c r="Z312" s="79"/>
      <c r="AB312" s="80"/>
    </row>
    <row r="313" ht="14.25" customHeight="1">
      <c r="T313" s="77"/>
      <c r="U313" s="78"/>
      <c r="V313" s="78"/>
      <c r="W313" s="78"/>
      <c r="X313" s="77"/>
      <c r="Z313" s="79"/>
      <c r="AB313" s="80"/>
    </row>
    <row r="314" ht="14.25" customHeight="1">
      <c r="T314" s="77"/>
      <c r="U314" s="78"/>
      <c r="V314" s="78"/>
      <c r="W314" s="78"/>
      <c r="X314" s="77"/>
      <c r="Z314" s="79"/>
      <c r="AB314" s="80"/>
    </row>
    <row r="315" ht="14.25" customHeight="1">
      <c r="T315" s="77"/>
      <c r="U315" s="78"/>
      <c r="V315" s="78"/>
      <c r="W315" s="78"/>
      <c r="X315" s="77"/>
      <c r="Z315" s="79"/>
      <c r="AB315" s="80"/>
    </row>
    <row r="316" ht="14.25" customHeight="1">
      <c r="T316" s="77"/>
      <c r="U316" s="78"/>
      <c r="V316" s="78"/>
      <c r="W316" s="78"/>
      <c r="X316" s="77"/>
      <c r="Z316" s="79"/>
      <c r="AB316" s="80"/>
    </row>
    <row r="317" ht="14.25" customHeight="1">
      <c r="T317" s="77"/>
      <c r="U317" s="78"/>
      <c r="V317" s="78"/>
      <c r="W317" s="78"/>
      <c r="X317" s="77"/>
      <c r="Z317" s="79"/>
      <c r="AB317" s="80"/>
    </row>
    <row r="318" ht="14.25" customHeight="1">
      <c r="T318" s="77"/>
      <c r="U318" s="78"/>
      <c r="V318" s="78"/>
      <c r="W318" s="78"/>
      <c r="X318" s="77"/>
      <c r="Z318" s="79"/>
      <c r="AB318" s="80"/>
    </row>
    <row r="319" ht="14.25" customHeight="1">
      <c r="T319" s="77"/>
      <c r="U319" s="78"/>
      <c r="V319" s="78"/>
      <c r="W319" s="78"/>
      <c r="X319" s="77"/>
      <c r="Z319" s="79"/>
      <c r="AB319" s="80"/>
    </row>
    <row r="320" ht="14.25" customHeight="1">
      <c r="T320" s="77"/>
      <c r="U320" s="78"/>
      <c r="V320" s="78"/>
      <c r="W320" s="78"/>
      <c r="X320" s="77"/>
      <c r="Z320" s="79"/>
      <c r="AB320" s="80"/>
    </row>
    <row r="321" ht="14.25" customHeight="1">
      <c r="T321" s="77"/>
      <c r="U321" s="78"/>
      <c r="V321" s="78"/>
      <c r="W321" s="78"/>
      <c r="X321" s="77"/>
      <c r="Z321" s="79"/>
      <c r="AB321" s="80"/>
    </row>
    <row r="322" ht="14.25" customHeight="1">
      <c r="T322" s="77"/>
      <c r="U322" s="78"/>
      <c r="V322" s="78"/>
      <c r="W322" s="78"/>
      <c r="X322" s="77"/>
      <c r="Z322" s="79"/>
      <c r="AB322" s="80"/>
    </row>
    <row r="323" ht="14.25" customHeight="1">
      <c r="T323" s="77"/>
      <c r="U323" s="78"/>
      <c r="V323" s="78"/>
      <c r="W323" s="78"/>
      <c r="X323" s="77"/>
      <c r="Z323" s="79"/>
      <c r="AB323" s="80"/>
    </row>
    <row r="324" ht="14.25" customHeight="1">
      <c r="T324" s="77"/>
      <c r="U324" s="78"/>
      <c r="V324" s="78"/>
      <c r="W324" s="78"/>
      <c r="X324" s="77"/>
      <c r="Z324" s="79"/>
      <c r="AB324" s="80"/>
    </row>
    <row r="325" ht="14.25" customHeight="1">
      <c r="T325" s="77"/>
      <c r="U325" s="78"/>
      <c r="V325" s="78"/>
      <c r="W325" s="78"/>
      <c r="X325" s="77"/>
      <c r="Z325" s="79"/>
      <c r="AB325" s="80"/>
    </row>
    <row r="326" ht="14.25" customHeight="1">
      <c r="T326" s="77"/>
      <c r="U326" s="78"/>
      <c r="V326" s="78"/>
      <c r="W326" s="78"/>
      <c r="X326" s="77"/>
      <c r="Z326" s="79"/>
      <c r="AB326" s="80"/>
    </row>
    <row r="327" ht="14.25" customHeight="1">
      <c r="T327" s="77"/>
      <c r="U327" s="78"/>
      <c r="V327" s="78"/>
      <c r="W327" s="78"/>
      <c r="X327" s="77"/>
      <c r="Z327" s="79"/>
      <c r="AB327" s="80"/>
    </row>
    <row r="328" ht="14.25" customHeight="1">
      <c r="T328" s="77"/>
      <c r="U328" s="78"/>
      <c r="V328" s="78"/>
      <c r="W328" s="78"/>
      <c r="X328" s="77"/>
      <c r="Z328" s="79"/>
      <c r="AB328" s="80"/>
    </row>
    <row r="329" ht="14.25" customHeight="1">
      <c r="T329" s="77"/>
      <c r="U329" s="78"/>
      <c r="V329" s="78"/>
      <c r="W329" s="78"/>
      <c r="X329" s="77"/>
      <c r="Z329" s="79"/>
      <c r="AB329" s="80"/>
    </row>
    <row r="330" ht="14.25" customHeight="1">
      <c r="T330" s="77"/>
      <c r="U330" s="78"/>
      <c r="V330" s="78"/>
      <c r="W330" s="78"/>
      <c r="X330" s="77"/>
      <c r="Z330" s="79"/>
      <c r="AB330" s="80"/>
    </row>
    <row r="331" ht="14.25" customHeight="1">
      <c r="T331" s="77"/>
      <c r="U331" s="78"/>
      <c r="V331" s="78"/>
      <c r="W331" s="78"/>
      <c r="X331" s="77"/>
      <c r="Z331" s="79"/>
      <c r="AB331" s="80"/>
    </row>
    <row r="332" ht="14.25" customHeight="1">
      <c r="T332" s="77"/>
      <c r="U332" s="78"/>
      <c r="V332" s="78"/>
      <c r="W332" s="78"/>
      <c r="X332" s="77"/>
      <c r="Z332" s="79"/>
      <c r="AB332" s="80"/>
    </row>
    <row r="333" ht="14.25" customHeight="1">
      <c r="T333" s="77"/>
      <c r="U333" s="78"/>
      <c r="V333" s="78"/>
      <c r="W333" s="78"/>
      <c r="X333" s="77"/>
      <c r="Z333" s="79"/>
      <c r="AB333" s="80"/>
    </row>
    <row r="334" ht="14.25" customHeight="1">
      <c r="T334" s="77"/>
      <c r="U334" s="78"/>
      <c r="V334" s="78"/>
      <c r="W334" s="78"/>
      <c r="X334" s="77"/>
      <c r="Z334" s="79"/>
      <c r="AB334" s="80"/>
    </row>
    <row r="335" ht="14.25" customHeight="1">
      <c r="T335" s="77"/>
      <c r="U335" s="78"/>
      <c r="V335" s="78"/>
      <c r="W335" s="78"/>
      <c r="X335" s="77"/>
      <c r="Z335" s="79"/>
      <c r="AB335" s="80"/>
    </row>
    <row r="336" ht="14.25" customHeight="1">
      <c r="T336" s="77"/>
      <c r="U336" s="78"/>
      <c r="V336" s="78"/>
      <c r="W336" s="78"/>
      <c r="X336" s="77"/>
      <c r="Z336" s="79"/>
      <c r="AB336" s="80"/>
    </row>
    <row r="337" ht="14.25" customHeight="1">
      <c r="T337" s="77"/>
      <c r="U337" s="78"/>
      <c r="V337" s="78"/>
      <c r="W337" s="78"/>
      <c r="X337" s="77"/>
      <c r="Z337" s="79"/>
      <c r="AB337" s="80"/>
    </row>
    <row r="338" ht="14.25" customHeight="1">
      <c r="T338" s="77"/>
      <c r="U338" s="78"/>
      <c r="V338" s="78"/>
      <c r="W338" s="78"/>
      <c r="X338" s="77"/>
      <c r="Z338" s="79"/>
      <c r="AB338" s="80"/>
    </row>
    <row r="339" ht="14.25" customHeight="1">
      <c r="T339" s="77"/>
      <c r="U339" s="78"/>
      <c r="V339" s="78"/>
      <c r="W339" s="78"/>
      <c r="X339" s="77"/>
      <c r="Z339" s="79"/>
      <c r="AB339" s="80"/>
    </row>
    <row r="340" ht="14.25" customHeight="1">
      <c r="T340" s="77"/>
      <c r="U340" s="78"/>
      <c r="V340" s="78"/>
      <c r="W340" s="78"/>
      <c r="X340" s="77"/>
      <c r="Z340" s="79"/>
      <c r="AB340" s="80"/>
    </row>
    <row r="341" ht="14.25" customHeight="1">
      <c r="T341" s="77"/>
      <c r="U341" s="78"/>
      <c r="V341" s="78"/>
      <c r="W341" s="78"/>
      <c r="X341" s="77"/>
      <c r="Z341" s="79"/>
      <c r="AB341" s="80"/>
    </row>
    <row r="342" ht="14.25" customHeight="1">
      <c r="T342" s="77"/>
      <c r="U342" s="78"/>
      <c r="V342" s="78"/>
      <c r="W342" s="78"/>
      <c r="X342" s="77"/>
      <c r="Z342" s="79"/>
      <c r="AB342" s="80"/>
    </row>
    <row r="343" ht="14.25" customHeight="1">
      <c r="T343" s="77"/>
      <c r="U343" s="78"/>
      <c r="V343" s="78"/>
      <c r="W343" s="78"/>
      <c r="X343" s="77"/>
      <c r="Z343" s="79"/>
      <c r="AB343" s="80"/>
    </row>
    <row r="344" ht="14.25" customHeight="1">
      <c r="T344" s="77"/>
      <c r="U344" s="78"/>
      <c r="V344" s="78"/>
      <c r="W344" s="78"/>
      <c r="X344" s="77"/>
      <c r="Z344" s="79"/>
      <c r="AB344" s="80"/>
    </row>
    <row r="345" ht="14.25" customHeight="1">
      <c r="T345" s="77"/>
      <c r="U345" s="78"/>
      <c r="V345" s="78"/>
      <c r="W345" s="78"/>
      <c r="X345" s="77"/>
      <c r="Z345" s="79"/>
      <c r="AB345" s="80"/>
    </row>
    <row r="346" ht="14.25" customHeight="1">
      <c r="T346" s="77"/>
      <c r="U346" s="78"/>
      <c r="V346" s="78"/>
      <c r="W346" s="78"/>
      <c r="X346" s="77"/>
      <c r="Z346" s="79"/>
      <c r="AB346" s="80"/>
    </row>
    <row r="347" ht="14.25" customHeight="1">
      <c r="T347" s="77"/>
      <c r="U347" s="78"/>
      <c r="V347" s="78"/>
      <c r="W347" s="78"/>
      <c r="X347" s="77"/>
      <c r="Z347" s="79"/>
      <c r="AB347" s="80"/>
    </row>
    <row r="348" ht="14.25" customHeight="1">
      <c r="T348" s="77"/>
      <c r="U348" s="78"/>
      <c r="V348" s="78"/>
      <c r="W348" s="78"/>
      <c r="X348" s="77"/>
      <c r="Z348" s="79"/>
      <c r="AB348" s="80"/>
    </row>
    <row r="349" ht="14.25" customHeight="1">
      <c r="T349" s="77"/>
      <c r="U349" s="78"/>
      <c r="V349" s="78"/>
      <c r="W349" s="78"/>
      <c r="X349" s="77"/>
      <c r="Z349" s="79"/>
      <c r="AB349" s="80"/>
    </row>
    <row r="350" ht="14.25" customHeight="1">
      <c r="T350" s="77"/>
      <c r="U350" s="78"/>
      <c r="V350" s="78"/>
      <c r="W350" s="78"/>
      <c r="X350" s="77"/>
      <c r="Z350" s="79"/>
      <c r="AB350" s="80"/>
    </row>
    <row r="351" ht="14.25" customHeight="1">
      <c r="T351" s="77"/>
      <c r="U351" s="78"/>
      <c r="V351" s="78"/>
      <c r="W351" s="78"/>
      <c r="X351" s="77"/>
      <c r="Z351" s="79"/>
      <c r="AB351" s="80"/>
    </row>
    <row r="352" ht="14.25" customHeight="1">
      <c r="T352" s="77"/>
      <c r="U352" s="78"/>
      <c r="V352" s="78"/>
      <c r="W352" s="78"/>
      <c r="X352" s="77"/>
      <c r="Z352" s="79"/>
      <c r="AB352" s="80"/>
    </row>
    <row r="353" ht="14.25" customHeight="1">
      <c r="T353" s="77"/>
      <c r="U353" s="78"/>
      <c r="V353" s="78"/>
      <c r="W353" s="78"/>
      <c r="X353" s="77"/>
      <c r="Z353" s="79"/>
      <c r="AB353" s="80"/>
    </row>
    <row r="354" ht="14.25" customHeight="1">
      <c r="T354" s="77"/>
      <c r="U354" s="78"/>
      <c r="V354" s="78"/>
      <c r="W354" s="78"/>
      <c r="X354" s="77"/>
      <c r="Z354" s="79"/>
      <c r="AB354" s="80"/>
    </row>
    <row r="355" ht="14.25" customHeight="1">
      <c r="T355" s="77"/>
      <c r="U355" s="78"/>
      <c r="V355" s="78"/>
      <c r="W355" s="78"/>
      <c r="X355" s="77"/>
      <c r="Z355" s="79"/>
      <c r="AB355" s="80"/>
    </row>
    <row r="356" ht="14.25" customHeight="1">
      <c r="T356" s="77"/>
      <c r="U356" s="78"/>
      <c r="V356" s="78"/>
      <c r="W356" s="78"/>
      <c r="X356" s="77"/>
      <c r="Z356" s="79"/>
      <c r="AB356" s="80"/>
    </row>
    <row r="357" ht="14.25" customHeight="1">
      <c r="T357" s="77"/>
      <c r="U357" s="78"/>
      <c r="V357" s="78"/>
      <c r="W357" s="78"/>
      <c r="X357" s="77"/>
      <c r="Z357" s="79"/>
      <c r="AB357" s="80"/>
    </row>
    <row r="358" ht="14.25" customHeight="1">
      <c r="T358" s="77"/>
      <c r="U358" s="78"/>
      <c r="V358" s="78"/>
      <c r="W358" s="78"/>
      <c r="X358" s="77"/>
      <c r="Z358" s="79"/>
      <c r="AB358" s="80"/>
    </row>
    <row r="359" ht="14.25" customHeight="1">
      <c r="T359" s="77"/>
      <c r="U359" s="78"/>
      <c r="V359" s="78"/>
      <c r="W359" s="78"/>
      <c r="X359" s="77"/>
      <c r="Z359" s="79"/>
      <c r="AB359" s="80"/>
    </row>
    <row r="360" ht="14.25" customHeight="1">
      <c r="T360" s="77"/>
      <c r="U360" s="78"/>
      <c r="V360" s="78"/>
      <c r="W360" s="78"/>
      <c r="X360" s="77"/>
      <c r="Z360" s="79"/>
      <c r="AB360" s="80"/>
    </row>
    <row r="361" ht="14.25" customHeight="1">
      <c r="T361" s="77"/>
      <c r="U361" s="78"/>
      <c r="V361" s="78"/>
      <c r="W361" s="78"/>
      <c r="X361" s="77"/>
      <c r="Z361" s="79"/>
      <c r="AB361" s="80"/>
    </row>
    <row r="362" ht="14.25" customHeight="1">
      <c r="T362" s="77"/>
      <c r="U362" s="78"/>
      <c r="V362" s="78"/>
      <c r="W362" s="78"/>
      <c r="X362" s="77"/>
      <c r="Z362" s="79"/>
      <c r="AB362" s="80"/>
    </row>
    <row r="363" ht="14.25" customHeight="1">
      <c r="T363" s="77"/>
      <c r="U363" s="78"/>
      <c r="V363" s="78"/>
      <c r="W363" s="78"/>
      <c r="X363" s="77"/>
      <c r="Z363" s="79"/>
      <c r="AB363" s="80"/>
    </row>
    <row r="364" ht="14.25" customHeight="1">
      <c r="T364" s="77"/>
      <c r="U364" s="78"/>
      <c r="V364" s="78"/>
      <c r="W364" s="78"/>
      <c r="X364" s="77"/>
      <c r="Z364" s="79"/>
      <c r="AB364" s="80"/>
    </row>
    <row r="365" ht="14.25" customHeight="1">
      <c r="T365" s="77"/>
      <c r="U365" s="78"/>
      <c r="V365" s="78"/>
      <c r="W365" s="78"/>
      <c r="X365" s="77"/>
      <c r="Z365" s="79"/>
      <c r="AB365" s="80"/>
    </row>
    <row r="366" ht="14.25" customHeight="1">
      <c r="T366" s="77"/>
      <c r="U366" s="78"/>
      <c r="V366" s="78"/>
      <c r="W366" s="78"/>
      <c r="X366" s="77"/>
      <c r="Z366" s="79"/>
      <c r="AB366" s="80"/>
    </row>
    <row r="367" ht="14.25" customHeight="1">
      <c r="T367" s="77"/>
      <c r="U367" s="78"/>
      <c r="V367" s="78"/>
      <c r="W367" s="78"/>
      <c r="X367" s="77"/>
      <c r="Z367" s="79"/>
      <c r="AB367" s="80"/>
    </row>
    <row r="368" ht="14.25" customHeight="1">
      <c r="T368" s="77"/>
      <c r="U368" s="78"/>
      <c r="V368" s="78"/>
      <c r="W368" s="78"/>
      <c r="X368" s="77"/>
      <c r="Z368" s="79"/>
      <c r="AB368" s="80"/>
    </row>
    <row r="369" ht="14.25" customHeight="1">
      <c r="T369" s="77"/>
      <c r="U369" s="78"/>
      <c r="V369" s="78"/>
      <c r="W369" s="78"/>
      <c r="X369" s="77"/>
      <c r="Z369" s="79"/>
      <c r="AB369" s="80"/>
    </row>
    <row r="370" ht="14.25" customHeight="1">
      <c r="T370" s="77"/>
      <c r="U370" s="78"/>
      <c r="V370" s="78"/>
      <c r="W370" s="78"/>
      <c r="X370" s="77"/>
      <c r="Z370" s="79"/>
      <c r="AB370" s="80"/>
    </row>
    <row r="371" ht="14.25" customHeight="1">
      <c r="T371" s="77"/>
      <c r="U371" s="78"/>
      <c r="V371" s="78"/>
      <c r="W371" s="78"/>
      <c r="X371" s="77"/>
      <c r="Z371" s="79"/>
      <c r="AB371" s="80"/>
    </row>
    <row r="372" ht="14.25" customHeight="1">
      <c r="T372" s="77"/>
      <c r="U372" s="78"/>
      <c r="V372" s="78"/>
      <c r="W372" s="78"/>
      <c r="X372" s="77"/>
      <c r="Z372" s="79"/>
      <c r="AB372" s="80"/>
    </row>
    <row r="373" ht="14.25" customHeight="1">
      <c r="T373" s="77"/>
      <c r="U373" s="78"/>
      <c r="V373" s="78"/>
      <c r="W373" s="78"/>
      <c r="X373" s="77"/>
      <c r="Z373" s="79"/>
      <c r="AB373" s="80"/>
    </row>
    <row r="374" ht="14.25" customHeight="1">
      <c r="T374" s="77"/>
      <c r="U374" s="78"/>
      <c r="V374" s="78"/>
      <c r="W374" s="78"/>
      <c r="X374" s="77"/>
      <c r="Z374" s="79"/>
      <c r="AB374" s="80"/>
    </row>
    <row r="375" ht="14.25" customHeight="1">
      <c r="T375" s="77"/>
      <c r="U375" s="78"/>
      <c r="V375" s="78"/>
      <c r="W375" s="78"/>
      <c r="X375" s="77"/>
      <c r="Z375" s="79"/>
      <c r="AB375" s="80"/>
    </row>
    <row r="376" ht="14.25" customHeight="1">
      <c r="T376" s="77"/>
      <c r="U376" s="78"/>
      <c r="V376" s="78"/>
      <c r="W376" s="78"/>
      <c r="X376" s="77"/>
      <c r="Z376" s="79"/>
      <c r="AB376" s="80"/>
    </row>
    <row r="377" ht="14.25" customHeight="1">
      <c r="T377" s="77"/>
      <c r="U377" s="78"/>
      <c r="V377" s="78"/>
      <c r="W377" s="78"/>
      <c r="X377" s="77"/>
      <c r="Z377" s="79"/>
      <c r="AB377" s="80"/>
    </row>
    <row r="378" ht="14.25" customHeight="1">
      <c r="T378" s="77"/>
      <c r="U378" s="78"/>
      <c r="V378" s="78"/>
      <c r="W378" s="78"/>
      <c r="X378" s="77"/>
      <c r="Z378" s="79"/>
      <c r="AB378" s="80"/>
    </row>
    <row r="379" ht="14.25" customHeight="1">
      <c r="T379" s="77"/>
      <c r="U379" s="78"/>
      <c r="V379" s="78"/>
      <c r="W379" s="78"/>
      <c r="X379" s="77"/>
      <c r="Z379" s="79"/>
      <c r="AB379" s="80"/>
    </row>
    <row r="380" ht="14.25" customHeight="1">
      <c r="T380" s="77"/>
      <c r="U380" s="78"/>
      <c r="V380" s="78"/>
      <c r="W380" s="78"/>
      <c r="X380" s="77"/>
      <c r="Z380" s="79"/>
      <c r="AB380" s="80"/>
    </row>
    <row r="381" ht="14.25" customHeight="1">
      <c r="T381" s="77"/>
      <c r="U381" s="78"/>
      <c r="V381" s="78"/>
      <c r="W381" s="78"/>
      <c r="X381" s="77"/>
      <c r="Z381" s="79"/>
      <c r="AB381" s="80"/>
    </row>
    <row r="382" ht="14.25" customHeight="1">
      <c r="T382" s="77"/>
      <c r="U382" s="78"/>
      <c r="V382" s="78"/>
      <c r="W382" s="78"/>
      <c r="X382" s="77"/>
      <c r="Z382" s="79"/>
      <c r="AB382" s="80"/>
    </row>
    <row r="383" ht="14.25" customHeight="1">
      <c r="T383" s="77"/>
      <c r="U383" s="78"/>
      <c r="V383" s="78"/>
      <c r="W383" s="78"/>
      <c r="X383" s="77"/>
      <c r="Z383" s="79"/>
      <c r="AB383" s="80"/>
    </row>
    <row r="384" ht="14.25" customHeight="1">
      <c r="T384" s="77"/>
      <c r="U384" s="78"/>
      <c r="V384" s="78"/>
      <c r="W384" s="78"/>
      <c r="X384" s="77"/>
      <c r="Z384" s="79"/>
      <c r="AB384" s="80"/>
    </row>
    <row r="385" ht="14.25" customHeight="1">
      <c r="T385" s="77"/>
      <c r="U385" s="78"/>
      <c r="V385" s="78"/>
      <c r="W385" s="78"/>
      <c r="X385" s="77"/>
      <c r="Z385" s="79"/>
      <c r="AB385" s="80"/>
    </row>
    <row r="386" ht="14.25" customHeight="1">
      <c r="T386" s="77"/>
      <c r="U386" s="78"/>
      <c r="V386" s="78"/>
      <c r="W386" s="78"/>
      <c r="X386" s="77"/>
      <c r="Z386" s="79"/>
      <c r="AB386" s="80"/>
    </row>
    <row r="387" ht="14.25" customHeight="1">
      <c r="T387" s="77"/>
      <c r="U387" s="78"/>
      <c r="V387" s="78"/>
      <c r="W387" s="78"/>
      <c r="X387" s="77"/>
      <c r="Z387" s="79"/>
      <c r="AB387" s="80"/>
    </row>
    <row r="388" ht="14.25" customHeight="1">
      <c r="T388" s="77"/>
      <c r="U388" s="78"/>
      <c r="V388" s="78"/>
      <c r="W388" s="78"/>
      <c r="X388" s="77"/>
      <c r="Z388" s="79"/>
      <c r="AB388" s="80"/>
    </row>
    <row r="389" ht="14.25" customHeight="1">
      <c r="T389" s="77"/>
      <c r="U389" s="78"/>
      <c r="V389" s="78"/>
      <c r="W389" s="78"/>
      <c r="X389" s="77"/>
      <c r="Z389" s="79"/>
      <c r="AB389" s="80"/>
    </row>
    <row r="390" ht="14.25" customHeight="1">
      <c r="T390" s="77"/>
      <c r="U390" s="78"/>
      <c r="V390" s="78"/>
      <c r="W390" s="78"/>
      <c r="X390" s="77"/>
      <c r="Z390" s="79"/>
      <c r="AB390" s="80"/>
    </row>
    <row r="391" ht="14.25" customHeight="1">
      <c r="T391" s="77"/>
      <c r="U391" s="78"/>
      <c r="V391" s="78"/>
      <c r="W391" s="78"/>
      <c r="X391" s="77"/>
      <c r="Z391" s="79"/>
      <c r="AB391" s="80"/>
    </row>
    <row r="392" ht="14.25" customHeight="1">
      <c r="T392" s="77"/>
      <c r="U392" s="78"/>
      <c r="V392" s="78"/>
      <c r="W392" s="78"/>
      <c r="X392" s="77"/>
      <c r="Z392" s="79"/>
      <c r="AB392" s="80"/>
    </row>
    <row r="393" ht="14.25" customHeight="1">
      <c r="T393" s="77"/>
      <c r="U393" s="78"/>
      <c r="V393" s="78"/>
      <c r="W393" s="78"/>
      <c r="X393" s="77"/>
      <c r="Z393" s="79"/>
      <c r="AB393" s="80"/>
    </row>
    <row r="394" ht="14.25" customHeight="1">
      <c r="T394" s="77"/>
      <c r="U394" s="78"/>
      <c r="V394" s="78"/>
      <c r="W394" s="78"/>
      <c r="X394" s="77"/>
      <c r="Z394" s="79"/>
      <c r="AB394" s="80"/>
    </row>
    <row r="395" ht="14.25" customHeight="1">
      <c r="T395" s="77"/>
      <c r="U395" s="78"/>
      <c r="V395" s="78"/>
      <c r="W395" s="78"/>
      <c r="X395" s="77"/>
      <c r="Z395" s="79"/>
      <c r="AB395" s="80"/>
    </row>
    <row r="396" ht="14.25" customHeight="1">
      <c r="T396" s="77"/>
      <c r="U396" s="78"/>
      <c r="V396" s="78"/>
      <c r="W396" s="78"/>
      <c r="X396" s="77"/>
      <c r="Z396" s="79"/>
      <c r="AB396" s="80"/>
    </row>
    <row r="397" ht="14.25" customHeight="1">
      <c r="T397" s="77"/>
      <c r="U397" s="78"/>
      <c r="V397" s="78"/>
      <c r="W397" s="78"/>
      <c r="X397" s="77"/>
      <c r="Z397" s="79"/>
      <c r="AB397" s="80"/>
    </row>
    <row r="398" ht="14.25" customHeight="1">
      <c r="T398" s="77"/>
      <c r="U398" s="78"/>
      <c r="V398" s="78"/>
      <c r="W398" s="78"/>
      <c r="X398" s="77"/>
      <c r="Z398" s="79"/>
      <c r="AB398" s="80"/>
    </row>
    <row r="399" ht="14.25" customHeight="1">
      <c r="T399" s="77"/>
      <c r="U399" s="78"/>
      <c r="V399" s="78"/>
      <c r="W399" s="78"/>
      <c r="X399" s="77"/>
      <c r="Z399" s="79"/>
      <c r="AB399" s="80"/>
    </row>
    <row r="400" ht="14.25" customHeight="1">
      <c r="T400" s="77"/>
      <c r="U400" s="78"/>
      <c r="V400" s="78"/>
      <c r="W400" s="78"/>
      <c r="X400" s="77"/>
      <c r="Z400" s="79"/>
      <c r="AB400" s="80"/>
    </row>
    <row r="401" ht="14.25" customHeight="1">
      <c r="T401" s="77"/>
      <c r="U401" s="78"/>
      <c r="V401" s="78"/>
      <c r="W401" s="78"/>
      <c r="X401" s="77"/>
      <c r="Z401" s="79"/>
      <c r="AB401" s="80"/>
    </row>
    <row r="402" ht="14.25" customHeight="1">
      <c r="T402" s="77"/>
      <c r="U402" s="78"/>
      <c r="V402" s="78"/>
      <c r="W402" s="78"/>
      <c r="X402" s="77"/>
      <c r="Z402" s="79"/>
      <c r="AB402" s="80"/>
    </row>
    <row r="403" ht="14.25" customHeight="1">
      <c r="T403" s="77"/>
      <c r="U403" s="78"/>
      <c r="V403" s="78"/>
      <c r="W403" s="78"/>
      <c r="X403" s="77"/>
      <c r="Z403" s="79"/>
      <c r="AB403" s="80"/>
    </row>
    <row r="404" ht="14.25" customHeight="1">
      <c r="T404" s="77"/>
      <c r="U404" s="78"/>
      <c r="V404" s="78"/>
      <c r="W404" s="78"/>
      <c r="X404" s="77"/>
      <c r="Z404" s="79"/>
      <c r="AB404" s="80"/>
    </row>
    <row r="405" ht="14.25" customHeight="1">
      <c r="T405" s="77"/>
      <c r="U405" s="78"/>
      <c r="V405" s="78"/>
      <c r="W405" s="78"/>
      <c r="X405" s="77"/>
      <c r="Z405" s="79"/>
      <c r="AB405" s="80"/>
    </row>
    <row r="406" ht="14.25" customHeight="1">
      <c r="T406" s="77"/>
      <c r="U406" s="78"/>
      <c r="V406" s="78"/>
      <c r="W406" s="78"/>
      <c r="X406" s="77"/>
      <c r="Z406" s="79"/>
      <c r="AB406" s="80"/>
    </row>
    <row r="407" ht="14.25" customHeight="1">
      <c r="T407" s="77"/>
      <c r="U407" s="78"/>
      <c r="V407" s="78"/>
      <c r="W407" s="78"/>
      <c r="X407" s="77"/>
      <c r="Z407" s="79"/>
      <c r="AB407" s="80"/>
    </row>
    <row r="408" ht="14.25" customHeight="1">
      <c r="T408" s="77"/>
      <c r="U408" s="78"/>
      <c r="V408" s="78"/>
      <c r="W408" s="78"/>
      <c r="X408" s="77"/>
      <c r="Z408" s="79"/>
      <c r="AB408" s="80"/>
    </row>
    <row r="409" ht="14.25" customHeight="1">
      <c r="T409" s="77"/>
      <c r="U409" s="78"/>
      <c r="V409" s="78"/>
      <c r="W409" s="78"/>
      <c r="X409" s="77"/>
      <c r="Z409" s="79"/>
      <c r="AB409" s="80"/>
    </row>
    <row r="410" ht="14.25" customHeight="1">
      <c r="T410" s="77"/>
      <c r="U410" s="78"/>
      <c r="V410" s="78"/>
      <c r="W410" s="78"/>
      <c r="X410" s="77"/>
      <c r="Z410" s="79"/>
      <c r="AB410" s="80"/>
    </row>
    <row r="411" ht="14.25" customHeight="1">
      <c r="T411" s="77"/>
      <c r="U411" s="78"/>
      <c r="V411" s="78"/>
      <c r="W411" s="78"/>
      <c r="X411" s="77"/>
      <c r="Z411" s="79"/>
      <c r="AB411" s="80"/>
    </row>
    <row r="412" ht="14.25" customHeight="1">
      <c r="T412" s="77"/>
      <c r="U412" s="78"/>
      <c r="V412" s="78"/>
      <c r="W412" s="78"/>
      <c r="X412" s="77"/>
      <c r="Z412" s="79"/>
      <c r="AB412" s="80"/>
    </row>
    <row r="413" ht="14.25" customHeight="1">
      <c r="T413" s="77"/>
      <c r="U413" s="78"/>
      <c r="V413" s="78"/>
      <c r="W413" s="78"/>
      <c r="X413" s="77"/>
      <c r="Z413" s="79"/>
      <c r="AB413" s="80"/>
    </row>
    <row r="414" ht="14.25" customHeight="1">
      <c r="T414" s="77"/>
      <c r="U414" s="78"/>
      <c r="V414" s="78"/>
      <c r="W414" s="78"/>
      <c r="X414" s="77"/>
      <c r="Z414" s="79"/>
      <c r="AB414" s="80"/>
    </row>
    <row r="415" ht="14.25" customHeight="1">
      <c r="T415" s="77"/>
      <c r="U415" s="78"/>
      <c r="V415" s="78"/>
      <c r="W415" s="78"/>
      <c r="X415" s="77"/>
      <c r="Z415" s="79"/>
      <c r="AB415" s="80"/>
    </row>
    <row r="416" ht="14.25" customHeight="1">
      <c r="T416" s="77"/>
      <c r="U416" s="78"/>
      <c r="V416" s="78"/>
      <c r="W416" s="78"/>
      <c r="X416" s="77"/>
      <c r="Z416" s="79"/>
      <c r="AB416" s="80"/>
    </row>
    <row r="417" ht="14.25" customHeight="1">
      <c r="T417" s="77"/>
      <c r="U417" s="78"/>
      <c r="V417" s="78"/>
      <c r="W417" s="78"/>
      <c r="X417" s="77"/>
      <c r="Z417" s="79"/>
      <c r="AB417" s="80"/>
    </row>
    <row r="418" ht="14.25" customHeight="1">
      <c r="T418" s="77"/>
      <c r="U418" s="78"/>
      <c r="V418" s="78"/>
      <c r="W418" s="78"/>
      <c r="X418" s="77"/>
      <c r="Z418" s="79"/>
      <c r="AB418" s="80"/>
    </row>
    <row r="419" ht="14.25" customHeight="1">
      <c r="T419" s="77"/>
      <c r="U419" s="78"/>
      <c r="V419" s="78"/>
      <c r="W419" s="78"/>
      <c r="X419" s="77"/>
      <c r="Z419" s="79"/>
      <c r="AB419" s="80"/>
    </row>
    <row r="420" ht="14.25" customHeight="1">
      <c r="T420" s="77"/>
      <c r="U420" s="78"/>
      <c r="V420" s="78"/>
      <c r="W420" s="78"/>
      <c r="X420" s="77"/>
      <c r="Z420" s="79"/>
      <c r="AB420" s="80"/>
    </row>
    <row r="421" ht="14.25" customHeight="1">
      <c r="T421" s="77"/>
      <c r="U421" s="78"/>
      <c r="V421" s="78"/>
      <c r="W421" s="78"/>
      <c r="X421" s="77"/>
      <c r="Z421" s="79"/>
      <c r="AB421" s="80"/>
    </row>
    <row r="422" ht="14.25" customHeight="1">
      <c r="T422" s="77"/>
      <c r="U422" s="78"/>
      <c r="V422" s="78"/>
      <c r="W422" s="78"/>
      <c r="X422" s="77"/>
      <c r="Z422" s="79"/>
      <c r="AB422" s="80"/>
    </row>
    <row r="423" ht="14.25" customHeight="1">
      <c r="T423" s="77"/>
      <c r="U423" s="78"/>
      <c r="V423" s="78"/>
      <c r="W423" s="78"/>
      <c r="X423" s="77"/>
      <c r="Z423" s="79"/>
      <c r="AB423" s="80"/>
    </row>
    <row r="424" ht="14.25" customHeight="1">
      <c r="T424" s="77"/>
      <c r="U424" s="78"/>
      <c r="V424" s="78"/>
      <c r="W424" s="78"/>
      <c r="X424" s="77"/>
      <c r="Z424" s="79"/>
      <c r="AB424" s="80"/>
    </row>
    <row r="425" ht="14.25" customHeight="1">
      <c r="T425" s="77"/>
      <c r="U425" s="78"/>
      <c r="V425" s="78"/>
      <c r="W425" s="78"/>
      <c r="X425" s="77"/>
      <c r="Z425" s="79"/>
      <c r="AB425" s="80"/>
    </row>
    <row r="426" ht="14.25" customHeight="1">
      <c r="T426" s="77"/>
      <c r="U426" s="78"/>
      <c r="V426" s="78"/>
      <c r="W426" s="78"/>
      <c r="X426" s="77"/>
      <c r="Z426" s="79"/>
      <c r="AB426" s="80"/>
    </row>
    <row r="427" ht="14.25" customHeight="1">
      <c r="T427" s="77"/>
      <c r="U427" s="78"/>
      <c r="V427" s="78"/>
      <c r="W427" s="78"/>
      <c r="X427" s="77"/>
      <c r="Z427" s="79"/>
      <c r="AB427" s="80"/>
    </row>
    <row r="428" ht="14.25" customHeight="1">
      <c r="T428" s="77"/>
      <c r="U428" s="78"/>
      <c r="V428" s="78"/>
      <c r="W428" s="78"/>
      <c r="X428" s="77"/>
      <c r="Z428" s="79"/>
      <c r="AB428" s="80"/>
    </row>
    <row r="429" ht="14.25" customHeight="1">
      <c r="T429" s="77"/>
      <c r="U429" s="78"/>
      <c r="V429" s="78"/>
      <c r="W429" s="78"/>
      <c r="X429" s="77"/>
      <c r="Z429" s="79"/>
      <c r="AB429" s="80"/>
    </row>
    <row r="430" ht="14.25" customHeight="1">
      <c r="T430" s="77"/>
      <c r="U430" s="78"/>
      <c r="V430" s="78"/>
      <c r="W430" s="78"/>
      <c r="X430" s="77"/>
      <c r="Z430" s="79"/>
      <c r="AB430" s="80"/>
    </row>
    <row r="431" ht="14.25" customHeight="1">
      <c r="T431" s="77"/>
      <c r="U431" s="78"/>
      <c r="V431" s="78"/>
      <c r="W431" s="78"/>
      <c r="X431" s="77"/>
      <c r="Z431" s="79"/>
      <c r="AB431" s="80"/>
    </row>
    <row r="432" ht="14.25" customHeight="1">
      <c r="T432" s="77"/>
      <c r="U432" s="78"/>
      <c r="V432" s="78"/>
      <c r="W432" s="78"/>
      <c r="X432" s="77"/>
      <c r="Z432" s="79"/>
      <c r="AB432" s="80"/>
    </row>
    <row r="433" ht="14.25" customHeight="1">
      <c r="T433" s="77"/>
      <c r="U433" s="78"/>
      <c r="V433" s="78"/>
      <c r="W433" s="78"/>
      <c r="X433" s="77"/>
      <c r="Z433" s="79"/>
      <c r="AB433" s="80"/>
    </row>
    <row r="434" ht="14.25" customHeight="1">
      <c r="T434" s="77"/>
      <c r="U434" s="78"/>
      <c r="V434" s="78"/>
      <c r="W434" s="78"/>
      <c r="X434" s="77"/>
      <c r="Z434" s="79"/>
      <c r="AB434" s="80"/>
    </row>
    <row r="435" ht="14.25" customHeight="1">
      <c r="T435" s="77"/>
      <c r="U435" s="78"/>
      <c r="V435" s="78"/>
      <c r="W435" s="78"/>
      <c r="X435" s="77"/>
      <c r="Z435" s="79"/>
      <c r="AB435" s="80"/>
    </row>
    <row r="436" ht="14.25" customHeight="1">
      <c r="T436" s="77"/>
      <c r="U436" s="78"/>
      <c r="V436" s="78"/>
      <c r="W436" s="78"/>
      <c r="X436" s="77"/>
      <c r="Z436" s="79"/>
      <c r="AB436" s="80"/>
    </row>
    <row r="437" ht="14.25" customHeight="1">
      <c r="T437" s="77"/>
      <c r="U437" s="78"/>
      <c r="V437" s="78"/>
      <c r="W437" s="78"/>
      <c r="X437" s="77"/>
      <c r="Z437" s="79"/>
      <c r="AB437" s="80"/>
    </row>
    <row r="438" ht="14.25" customHeight="1">
      <c r="T438" s="77"/>
      <c r="U438" s="78"/>
      <c r="V438" s="78"/>
      <c r="W438" s="78"/>
      <c r="X438" s="77"/>
      <c r="Z438" s="79"/>
      <c r="AB438" s="80"/>
    </row>
    <row r="439" ht="14.25" customHeight="1">
      <c r="T439" s="77"/>
      <c r="U439" s="78"/>
      <c r="V439" s="78"/>
      <c r="W439" s="78"/>
      <c r="X439" s="77"/>
      <c r="Z439" s="79"/>
      <c r="AB439" s="80"/>
    </row>
    <row r="440" ht="14.25" customHeight="1">
      <c r="T440" s="77"/>
      <c r="U440" s="78"/>
      <c r="V440" s="78"/>
      <c r="W440" s="78"/>
      <c r="X440" s="77"/>
      <c r="Z440" s="79"/>
      <c r="AB440" s="80"/>
    </row>
    <row r="441" ht="14.25" customHeight="1">
      <c r="T441" s="77"/>
      <c r="U441" s="78"/>
      <c r="V441" s="78"/>
      <c r="W441" s="78"/>
      <c r="X441" s="77"/>
      <c r="Z441" s="79"/>
      <c r="AB441" s="80"/>
    </row>
    <row r="442" ht="14.25" customHeight="1">
      <c r="T442" s="77"/>
      <c r="U442" s="78"/>
      <c r="V442" s="78"/>
      <c r="W442" s="78"/>
      <c r="X442" s="77"/>
      <c r="Z442" s="79"/>
      <c r="AB442" s="80"/>
    </row>
    <row r="443" ht="14.25" customHeight="1">
      <c r="T443" s="77"/>
      <c r="U443" s="78"/>
      <c r="V443" s="78"/>
      <c r="W443" s="78"/>
      <c r="X443" s="77"/>
      <c r="Z443" s="79"/>
      <c r="AB443" s="80"/>
    </row>
    <row r="444" ht="14.25" customHeight="1">
      <c r="T444" s="77"/>
      <c r="U444" s="78"/>
      <c r="V444" s="78"/>
      <c r="W444" s="78"/>
      <c r="X444" s="77"/>
      <c r="Z444" s="79"/>
      <c r="AB444" s="80"/>
    </row>
    <row r="445" ht="14.25" customHeight="1">
      <c r="T445" s="77"/>
      <c r="U445" s="78"/>
      <c r="V445" s="78"/>
      <c r="W445" s="78"/>
      <c r="X445" s="77"/>
      <c r="Z445" s="79"/>
      <c r="AB445" s="80"/>
    </row>
    <row r="446" ht="14.25" customHeight="1">
      <c r="T446" s="77"/>
      <c r="U446" s="78"/>
      <c r="V446" s="78"/>
      <c r="W446" s="78"/>
      <c r="X446" s="77"/>
      <c r="Z446" s="79"/>
      <c r="AB446" s="80"/>
    </row>
    <row r="447" ht="14.25" customHeight="1">
      <c r="T447" s="77"/>
      <c r="U447" s="78"/>
      <c r="V447" s="78"/>
      <c r="W447" s="78"/>
      <c r="X447" s="77"/>
      <c r="Z447" s="79"/>
      <c r="AB447" s="80"/>
    </row>
    <row r="448" ht="14.25" customHeight="1">
      <c r="T448" s="77"/>
      <c r="U448" s="78"/>
      <c r="V448" s="78"/>
      <c r="W448" s="78"/>
      <c r="X448" s="77"/>
      <c r="Z448" s="79"/>
      <c r="AB448" s="80"/>
    </row>
    <row r="449" ht="14.25" customHeight="1">
      <c r="T449" s="77"/>
      <c r="U449" s="78"/>
      <c r="V449" s="78"/>
      <c r="W449" s="78"/>
      <c r="X449" s="77"/>
      <c r="Z449" s="79"/>
      <c r="AB449" s="80"/>
    </row>
    <row r="450" ht="14.25" customHeight="1">
      <c r="T450" s="77"/>
      <c r="U450" s="78"/>
      <c r="V450" s="78"/>
      <c r="W450" s="78"/>
      <c r="X450" s="77"/>
      <c r="Z450" s="79"/>
      <c r="AB450" s="80"/>
    </row>
    <row r="451" ht="14.25" customHeight="1">
      <c r="T451" s="77"/>
      <c r="U451" s="78"/>
      <c r="V451" s="78"/>
      <c r="W451" s="78"/>
      <c r="X451" s="77"/>
      <c r="Z451" s="79"/>
      <c r="AB451" s="80"/>
    </row>
    <row r="452" ht="14.25" customHeight="1">
      <c r="T452" s="77"/>
      <c r="U452" s="78"/>
      <c r="V452" s="78"/>
      <c r="W452" s="78"/>
      <c r="X452" s="77"/>
      <c r="Z452" s="79"/>
      <c r="AB452" s="80"/>
    </row>
    <row r="453" ht="14.25" customHeight="1">
      <c r="T453" s="77"/>
      <c r="U453" s="78"/>
      <c r="V453" s="78"/>
      <c r="W453" s="78"/>
      <c r="X453" s="77"/>
      <c r="Z453" s="79"/>
      <c r="AB453" s="80"/>
    </row>
    <row r="454" ht="14.25" customHeight="1">
      <c r="T454" s="77"/>
      <c r="U454" s="78"/>
      <c r="V454" s="78"/>
      <c r="W454" s="78"/>
      <c r="X454" s="77"/>
      <c r="Z454" s="79"/>
      <c r="AB454" s="80"/>
    </row>
    <row r="455" ht="14.25" customHeight="1">
      <c r="T455" s="77"/>
      <c r="U455" s="78"/>
      <c r="V455" s="78"/>
      <c r="W455" s="78"/>
      <c r="X455" s="77"/>
      <c r="Z455" s="79"/>
      <c r="AB455" s="80"/>
    </row>
    <row r="456" ht="14.25" customHeight="1">
      <c r="T456" s="77"/>
      <c r="U456" s="78"/>
      <c r="V456" s="78"/>
      <c r="W456" s="78"/>
      <c r="X456" s="77"/>
      <c r="Z456" s="79"/>
      <c r="AB456" s="80"/>
    </row>
    <row r="457" ht="14.25" customHeight="1">
      <c r="T457" s="77"/>
      <c r="U457" s="78"/>
      <c r="V457" s="78"/>
      <c r="W457" s="78"/>
      <c r="X457" s="77"/>
      <c r="Z457" s="79"/>
      <c r="AB457" s="80"/>
    </row>
    <row r="458" ht="14.25" customHeight="1">
      <c r="T458" s="77"/>
      <c r="U458" s="78"/>
      <c r="V458" s="78"/>
      <c r="W458" s="78"/>
      <c r="X458" s="77"/>
      <c r="Z458" s="79"/>
      <c r="AB458" s="80"/>
    </row>
    <row r="459" ht="14.25" customHeight="1">
      <c r="T459" s="77"/>
      <c r="U459" s="78"/>
      <c r="V459" s="78"/>
      <c r="W459" s="78"/>
      <c r="X459" s="77"/>
      <c r="Z459" s="79"/>
      <c r="AB459" s="80"/>
    </row>
    <row r="460" ht="14.25" customHeight="1">
      <c r="T460" s="77"/>
      <c r="U460" s="78"/>
      <c r="V460" s="78"/>
      <c r="W460" s="78"/>
      <c r="X460" s="77"/>
      <c r="Z460" s="79"/>
      <c r="AB460" s="80"/>
    </row>
    <row r="461" ht="14.25" customHeight="1">
      <c r="T461" s="77"/>
      <c r="U461" s="78"/>
      <c r="V461" s="78"/>
      <c r="W461" s="78"/>
      <c r="X461" s="77"/>
      <c r="Z461" s="79"/>
      <c r="AB461" s="80"/>
    </row>
    <row r="462" ht="14.25" customHeight="1">
      <c r="T462" s="77"/>
      <c r="U462" s="78"/>
      <c r="V462" s="78"/>
      <c r="W462" s="78"/>
      <c r="X462" s="77"/>
      <c r="Z462" s="79"/>
      <c r="AB462" s="80"/>
    </row>
    <row r="463" ht="14.25" customHeight="1">
      <c r="T463" s="77"/>
      <c r="U463" s="78"/>
      <c r="V463" s="78"/>
      <c r="W463" s="78"/>
      <c r="X463" s="77"/>
      <c r="Z463" s="79"/>
      <c r="AB463" s="80"/>
    </row>
    <row r="464" ht="14.25" customHeight="1">
      <c r="T464" s="77"/>
      <c r="U464" s="78"/>
      <c r="V464" s="78"/>
      <c r="W464" s="78"/>
      <c r="X464" s="77"/>
      <c r="Z464" s="79"/>
      <c r="AB464" s="80"/>
    </row>
    <row r="465" ht="14.25" customHeight="1">
      <c r="T465" s="77"/>
      <c r="U465" s="78"/>
      <c r="V465" s="78"/>
      <c r="W465" s="78"/>
      <c r="X465" s="77"/>
      <c r="Z465" s="79"/>
      <c r="AB465" s="80"/>
    </row>
    <row r="466" ht="14.25" customHeight="1">
      <c r="T466" s="77"/>
      <c r="U466" s="78"/>
      <c r="V466" s="78"/>
      <c r="W466" s="78"/>
      <c r="X466" s="77"/>
      <c r="Z466" s="79"/>
      <c r="AB466" s="80"/>
    </row>
    <row r="467" ht="14.25" customHeight="1">
      <c r="T467" s="77"/>
      <c r="U467" s="78"/>
      <c r="V467" s="78"/>
      <c r="W467" s="78"/>
      <c r="X467" s="77"/>
      <c r="Z467" s="79"/>
      <c r="AB467" s="80"/>
    </row>
    <row r="468" ht="14.25" customHeight="1">
      <c r="T468" s="77"/>
      <c r="U468" s="78"/>
      <c r="V468" s="78"/>
      <c r="W468" s="78"/>
      <c r="X468" s="77"/>
      <c r="Z468" s="79"/>
      <c r="AB468" s="80"/>
    </row>
    <row r="469" ht="14.25" customHeight="1">
      <c r="T469" s="77"/>
      <c r="U469" s="78"/>
      <c r="V469" s="78"/>
      <c r="W469" s="78"/>
      <c r="X469" s="77"/>
      <c r="Z469" s="79"/>
      <c r="AB469" s="80"/>
    </row>
    <row r="470" ht="14.25" customHeight="1">
      <c r="T470" s="77"/>
      <c r="U470" s="78"/>
      <c r="V470" s="78"/>
      <c r="W470" s="78"/>
      <c r="X470" s="77"/>
      <c r="Z470" s="79"/>
      <c r="AB470" s="80"/>
    </row>
    <row r="471" ht="14.25" customHeight="1">
      <c r="T471" s="77"/>
      <c r="U471" s="78"/>
      <c r="V471" s="78"/>
      <c r="W471" s="78"/>
      <c r="X471" s="77"/>
      <c r="Z471" s="79"/>
      <c r="AB471" s="80"/>
    </row>
    <row r="472" ht="14.25" customHeight="1">
      <c r="T472" s="77"/>
      <c r="U472" s="78"/>
      <c r="V472" s="78"/>
      <c r="W472" s="78"/>
      <c r="X472" s="77"/>
      <c r="Z472" s="79"/>
      <c r="AB472" s="80"/>
    </row>
    <row r="473" ht="14.25" customHeight="1">
      <c r="T473" s="77"/>
      <c r="U473" s="78"/>
      <c r="V473" s="78"/>
      <c r="W473" s="78"/>
      <c r="X473" s="77"/>
      <c r="Z473" s="79"/>
      <c r="AB473" s="80"/>
    </row>
    <row r="474" ht="14.25" customHeight="1">
      <c r="T474" s="77"/>
      <c r="U474" s="78"/>
      <c r="V474" s="78"/>
      <c r="W474" s="78"/>
      <c r="X474" s="77"/>
      <c r="Z474" s="79"/>
      <c r="AB474" s="80"/>
    </row>
    <row r="475" ht="14.25" customHeight="1">
      <c r="T475" s="77"/>
      <c r="U475" s="78"/>
      <c r="V475" s="78"/>
      <c r="W475" s="78"/>
      <c r="X475" s="77"/>
      <c r="Z475" s="79"/>
      <c r="AB475" s="80"/>
    </row>
    <row r="476" ht="14.25" customHeight="1">
      <c r="T476" s="77"/>
      <c r="U476" s="78"/>
      <c r="V476" s="78"/>
      <c r="W476" s="78"/>
      <c r="X476" s="77"/>
      <c r="Z476" s="79"/>
      <c r="AB476" s="80"/>
    </row>
    <row r="477" ht="14.25" customHeight="1">
      <c r="T477" s="77"/>
      <c r="U477" s="78"/>
      <c r="V477" s="78"/>
      <c r="W477" s="78"/>
      <c r="X477" s="77"/>
      <c r="Z477" s="79"/>
      <c r="AB477" s="80"/>
    </row>
    <row r="478" ht="14.25" customHeight="1">
      <c r="T478" s="77"/>
      <c r="U478" s="78"/>
      <c r="V478" s="78"/>
      <c r="W478" s="78"/>
      <c r="X478" s="77"/>
      <c r="Z478" s="79"/>
      <c r="AB478" s="80"/>
    </row>
    <row r="479" ht="14.25" customHeight="1">
      <c r="T479" s="77"/>
      <c r="U479" s="78"/>
      <c r="V479" s="78"/>
      <c r="W479" s="78"/>
      <c r="X479" s="77"/>
      <c r="Z479" s="79"/>
      <c r="AB479" s="80"/>
    </row>
    <row r="480" ht="14.25" customHeight="1">
      <c r="T480" s="77"/>
      <c r="U480" s="78"/>
      <c r="V480" s="78"/>
      <c r="W480" s="78"/>
      <c r="X480" s="77"/>
      <c r="Z480" s="79"/>
      <c r="AB480" s="80"/>
    </row>
    <row r="481" ht="14.25" customHeight="1">
      <c r="T481" s="77"/>
      <c r="U481" s="78"/>
      <c r="V481" s="78"/>
      <c r="W481" s="78"/>
      <c r="X481" s="77"/>
      <c r="Z481" s="79"/>
      <c r="AB481" s="80"/>
    </row>
    <row r="482" ht="14.25" customHeight="1">
      <c r="T482" s="77"/>
      <c r="U482" s="78"/>
      <c r="V482" s="78"/>
      <c r="W482" s="78"/>
      <c r="X482" s="77"/>
      <c r="Z482" s="79"/>
      <c r="AB482" s="80"/>
    </row>
    <row r="483" ht="14.25" customHeight="1">
      <c r="T483" s="77"/>
      <c r="U483" s="78"/>
      <c r="V483" s="78"/>
      <c r="W483" s="78"/>
      <c r="X483" s="77"/>
      <c r="Z483" s="79"/>
      <c r="AB483" s="80"/>
    </row>
    <row r="484" ht="14.25" customHeight="1">
      <c r="T484" s="77"/>
      <c r="U484" s="78"/>
      <c r="V484" s="78"/>
      <c r="W484" s="78"/>
      <c r="X484" s="77"/>
      <c r="Z484" s="79"/>
      <c r="AB484" s="80"/>
    </row>
    <row r="485" ht="14.25" customHeight="1">
      <c r="T485" s="77"/>
      <c r="U485" s="78"/>
      <c r="V485" s="78"/>
      <c r="W485" s="78"/>
      <c r="X485" s="77"/>
      <c r="Z485" s="79"/>
      <c r="AB485" s="80"/>
    </row>
    <row r="486" ht="14.25" customHeight="1">
      <c r="T486" s="77"/>
      <c r="U486" s="78"/>
      <c r="V486" s="78"/>
      <c r="W486" s="78"/>
      <c r="X486" s="77"/>
      <c r="Z486" s="79"/>
      <c r="AB486" s="80"/>
    </row>
    <row r="487" ht="14.25" customHeight="1">
      <c r="T487" s="77"/>
      <c r="U487" s="78"/>
      <c r="V487" s="78"/>
      <c r="W487" s="78"/>
      <c r="X487" s="77"/>
      <c r="Z487" s="79"/>
      <c r="AB487" s="80"/>
    </row>
    <row r="488" ht="14.25" customHeight="1">
      <c r="T488" s="77"/>
      <c r="U488" s="78"/>
      <c r="V488" s="78"/>
      <c r="W488" s="78"/>
      <c r="X488" s="77"/>
      <c r="Z488" s="79"/>
      <c r="AB488" s="80"/>
    </row>
    <row r="489" ht="14.25" customHeight="1">
      <c r="T489" s="77"/>
      <c r="U489" s="78"/>
      <c r="V489" s="78"/>
      <c r="W489" s="78"/>
      <c r="X489" s="77"/>
      <c r="Z489" s="79"/>
      <c r="AB489" s="80"/>
    </row>
    <row r="490" ht="14.25" customHeight="1">
      <c r="T490" s="77"/>
      <c r="U490" s="78"/>
      <c r="V490" s="78"/>
      <c r="W490" s="78"/>
      <c r="X490" s="77"/>
      <c r="Z490" s="79"/>
      <c r="AB490" s="80"/>
    </row>
    <row r="491" ht="14.25" customHeight="1">
      <c r="T491" s="77"/>
      <c r="U491" s="78"/>
      <c r="V491" s="78"/>
      <c r="W491" s="78"/>
      <c r="X491" s="77"/>
      <c r="Z491" s="79"/>
      <c r="AB491" s="80"/>
    </row>
    <row r="492" ht="14.25" customHeight="1">
      <c r="T492" s="77"/>
      <c r="U492" s="78"/>
      <c r="V492" s="78"/>
      <c r="W492" s="78"/>
      <c r="X492" s="77"/>
      <c r="Z492" s="79"/>
      <c r="AB492" s="80"/>
    </row>
    <row r="493" ht="14.25" customHeight="1">
      <c r="T493" s="77"/>
      <c r="U493" s="78"/>
      <c r="V493" s="78"/>
      <c r="W493" s="78"/>
      <c r="X493" s="77"/>
      <c r="Z493" s="79"/>
      <c r="AB493" s="80"/>
    </row>
    <row r="494" ht="14.25" customHeight="1">
      <c r="T494" s="77"/>
      <c r="U494" s="78"/>
      <c r="V494" s="78"/>
      <c r="W494" s="78"/>
      <c r="X494" s="77"/>
      <c r="Z494" s="79"/>
      <c r="AB494" s="80"/>
    </row>
    <row r="495" ht="14.25" customHeight="1">
      <c r="T495" s="77"/>
      <c r="U495" s="78"/>
      <c r="V495" s="78"/>
      <c r="W495" s="78"/>
      <c r="X495" s="77"/>
      <c r="Z495" s="79"/>
      <c r="AB495" s="80"/>
    </row>
    <row r="496" ht="14.25" customHeight="1">
      <c r="T496" s="77"/>
      <c r="U496" s="78"/>
      <c r="V496" s="78"/>
      <c r="W496" s="78"/>
      <c r="X496" s="77"/>
      <c r="Z496" s="79"/>
      <c r="AB496" s="80"/>
    </row>
    <row r="497" ht="14.25" customHeight="1">
      <c r="T497" s="77"/>
      <c r="U497" s="78"/>
      <c r="V497" s="78"/>
      <c r="W497" s="78"/>
      <c r="X497" s="77"/>
      <c r="Z497" s="79"/>
      <c r="AB497" s="80"/>
    </row>
    <row r="498" ht="14.25" customHeight="1">
      <c r="T498" s="77"/>
      <c r="U498" s="78"/>
      <c r="V498" s="78"/>
      <c r="W498" s="78"/>
      <c r="X498" s="77"/>
      <c r="Z498" s="79"/>
      <c r="AB498" s="80"/>
    </row>
    <row r="499" ht="14.25" customHeight="1">
      <c r="T499" s="77"/>
      <c r="U499" s="78"/>
      <c r="V499" s="78"/>
      <c r="W499" s="78"/>
      <c r="X499" s="77"/>
      <c r="Z499" s="79"/>
      <c r="AB499" s="80"/>
    </row>
    <row r="500" ht="14.25" customHeight="1">
      <c r="T500" s="77"/>
      <c r="U500" s="78"/>
      <c r="V500" s="78"/>
      <c r="W500" s="78"/>
      <c r="X500" s="77"/>
      <c r="Z500" s="79"/>
      <c r="AB500" s="80"/>
    </row>
    <row r="501" ht="14.25" customHeight="1">
      <c r="T501" s="77"/>
      <c r="U501" s="78"/>
      <c r="V501" s="78"/>
      <c r="W501" s="78"/>
      <c r="X501" s="77"/>
      <c r="Z501" s="79"/>
      <c r="AB501" s="80"/>
    </row>
    <row r="502" ht="14.25" customHeight="1">
      <c r="T502" s="77"/>
      <c r="U502" s="78"/>
      <c r="V502" s="78"/>
      <c r="W502" s="78"/>
      <c r="X502" s="77"/>
      <c r="Z502" s="79"/>
      <c r="AB502" s="80"/>
    </row>
    <row r="503" ht="14.25" customHeight="1">
      <c r="T503" s="77"/>
      <c r="U503" s="78"/>
      <c r="V503" s="78"/>
      <c r="W503" s="78"/>
      <c r="X503" s="77"/>
      <c r="Z503" s="79"/>
      <c r="AB503" s="80"/>
    </row>
    <row r="504" ht="14.25" customHeight="1">
      <c r="T504" s="77"/>
      <c r="U504" s="78"/>
      <c r="V504" s="78"/>
      <c r="W504" s="78"/>
      <c r="X504" s="77"/>
      <c r="Z504" s="79"/>
      <c r="AB504" s="80"/>
    </row>
    <row r="505" ht="14.25" customHeight="1">
      <c r="T505" s="77"/>
      <c r="U505" s="78"/>
      <c r="V505" s="78"/>
      <c r="W505" s="78"/>
      <c r="X505" s="77"/>
      <c r="Z505" s="79"/>
      <c r="AB505" s="80"/>
    </row>
    <row r="506" ht="14.25" customHeight="1">
      <c r="T506" s="77"/>
      <c r="U506" s="78"/>
      <c r="V506" s="78"/>
      <c r="W506" s="78"/>
      <c r="X506" s="77"/>
      <c r="Z506" s="79"/>
      <c r="AB506" s="80"/>
    </row>
    <row r="507" ht="14.25" customHeight="1">
      <c r="T507" s="77"/>
      <c r="U507" s="78"/>
      <c r="V507" s="78"/>
      <c r="W507" s="78"/>
      <c r="X507" s="77"/>
      <c r="Z507" s="79"/>
      <c r="AB507" s="80"/>
    </row>
    <row r="508" ht="14.25" customHeight="1">
      <c r="T508" s="77"/>
      <c r="U508" s="78"/>
      <c r="V508" s="78"/>
      <c r="W508" s="78"/>
      <c r="X508" s="77"/>
      <c r="Z508" s="79"/>
      <c r="AB508" s="80"/>
    </row>
    <row r="509" ht="14.25" customHeight="1">
      <c r="T509" s="77"/>
      <c r="U509" s="78"/>
      <c r="V509" s="78"/>
      <c r="W509" s="78"/>
      <c r="X509" s="77"/>
      <c r="Z509" s="79"/>
      <c r="AB509" s="80"/>
    </row>
    <row r="510" ht="14.25" customHeight="1">
      <c r="T510" s="77"/>
      <c r="U510" s="78"/>
      <c r="V510" s="78"/>
      <c r="W510" s="78"/>
      <c r="X510" s="77"/>
      <c r="Z510" s="79"/>
      <c r="AB510" s="80"/>
    </row>
    <row r="511" ht="14.25" customHeight="1">
      <c r="T511" s="77"/>
      <c r="U511" s="78"/>
      <c r="V511" s="78"/>
      <c r="W511" s="78"/>
      <c r="X511" s="77"/>
      <c r="Z511" s="79"/>
      <c r="AB511" s="80"/>
    </row>
    <row r="512" ht="14.25" customHeight="1">
      <c r="T512" s="77"/>
      <c r="U512" s="78"/>
      <c r="V512" s="78"/>
      <c r="W512" s="78"/>
      <c r="X512" s="77"/>
      <c r="Z512" s="79"/>
      <c r="AB512" s="80"/>
    </row>
    <row r="513" ht="14.25" customHeight="1">
      <c r="T513" s="77"/>
      <c r="U513" s="78"/>
      <c r="V513" s="78"/>
      <c r="W513" s="78"/>
      <c r="X513" s="77"/>
      <c r="Z513" s="79"/>
      <c r="AB513" s="80"/>
    </row>
    <row r="514" ht="14.25" customHeight="1">
      <c r="T514" s="77"/>
      <c r="U514" s="78"/>
      <c r="V514" s="78"/>
      <c r="W514" s="78"/>
      <c r="X514" s="77"/>
      <c r="Z514" s="79"/>
      <c r="AB514" s="80"/>
    </row>
    <row r="515" ht="14.25" customHeight="1">
      <c r="T515" s="77"/>
      <c r="U515" s="78"/>
      <c r="V515" s="78"/>
      <c r="W515" s="78"/>
      <c r="X515" s="77"/>
      <c r="Z515" s="79"/>
      <c r="AB515" s="80"/>
    </row>
    <row r="516" ht="14.25" customHeight="1">
      <c r="T516" s="77"/>
      <c r="U516" s="78"/>
      <c r="V516" s="78"/>
      <c r="W516" s="78"/>
      <c r="X516" s="77"/>
      <c r="Z516" s="79"/>
      <c r="AB516" s="80"/>
    </row>
    <row r="517" ht="14.25" customHeight="1">
      <c r="T517" s="77"/>
      <c r="U517" s="78"/>
      <c r="V517" s="78"/>
      <c r="W517" s="78"/>
      <c r="X517" s="77"/>
      <c r="Z517" s="79"/>
      <c r="AB517" s="80"/>
    </row>
    <row r="518" ht="14.25" customHeight="1">
      <c r="T518" s="77"/>
      <c r="U518" s="78"/>
      <c r="V518" s="78"/>
      <c r="W518" s="78"/>
      <c r="X518" s="77"/>
      <c r="Z518" s="79"/>
      <c r="AB518" s="80"/>
    </row>
    <row r="519" ht="14.25" customHeight="1">
      <c r="T519" s="77"/>
      <c r="U519" s="78"/>
      <c r="V519" s="78"/>
      <c r="W519" s="78"/>
      <c r="X519" s="77"/>
      <c r="Z519" s="79"/>
      <c r="AB519" s="80"/>
    </row>
    <row r="520" ht="14.25" customHeight="1">
      <c r="T520" s="77"/>
      <c r="U520" s="78"/>
      <c r="V520" s="78"/>
      <c r="W520" s="78"/>
      <c r="X520" s="77"/>
      <c r="Z520" s="79"/>
      <c r="AB520" s="80"/>
    </row>
    <row r="521" ht="14.25" customHeight="1">
      <c r="T521" s="77"/>
      <c r="U521" s="78"/>
      <c r="V521" s="78"/>
      <c r="W521" s="78"/>
      <c r="X521" s="77"/>
      <c r="Z521" s="79"/>
      <c r="AB521" s="80"/>
    </row>
    <row r="522" ht="14.25" customHeight="1">
      <c r="T522" s="77"/>
      <c r="U522" s="78"/>
      <c r="V522" s="78"/>
      <c r="W522" s="78"/>
      <c r="X522" s="77"/>
      <c r="Z522" s="79"/>
      <c r="AB522" s="80"/>
    </row>
    <row r="523" ht="14.25" customHeight="1">
      <c r="T523" s="77"/>
      <c r="U523" s="78"/>
      <c r="V523" s="78"/>
      <c r="W523" s="78"/>
      <c r="X523" s="77"/>
      <c r="Z523" s="79"/>
      <c r="AB523" s="80"/>
    </row>
    <row r="524" ht="14.25" customHeight="1">
      <c r="T524" s="77"/>
      <c r="U524" s="78"/>
      <c r="V524" s="78"/>
      <c r="W524" s="78"/>
      <c r="X524" s="77"/>
      <c r="Z524" s="79"/>
      <c r="AB524" s="80"/>
    </row>
    <row r="525" ht="14.25" customHeight="1">
      <c r="T525" s="77"/>
      <c r="U525" s="78"/>
      <c r="V525" s="78"/>
      <c r="W525" s="78"/>
      <c r="X525" s="77"/>
      <c r="Z525" s="79"/>
      <c r="AB525" s="80"/>
    </row>
    <row r="526" ht="14.25" customHeight="1">
      <c r="T526" s="77"/>
      <c r="U526" s="78"/>
      <c r="V526" s="78"/>
      <c r="W526" s="78"/>
      <c r="X526" s="77"/>
      <c r="Z526" s="79"/>
      <c r="AB526" s="80"/>
    </row>
    <row r="527" ht="14.25" customHeight="1">
      <c r="T527" s="77"/>
      <c r="U527" s="78"/>
      <c r="V527" s="78"/>
      <c r="W527" s="78"/>
      <c r="X527" s="77"/>
      <c r="Z527" s="79"/>
      <c r="AB527" s="80"/>
    </row>
    <row r="528" ht="14.25" customHeight="1">
      <c r="T528" s="77"/>
      <c r="U528" s="78"/>
      <c r="V528" s="78"/>
      <c r="W528" s="78"/>
      <c r="X528" s="77"/>
      <c r="Z528" s="79"/>
      <c r="AB528" s="80"/>
    </row>
    <row r="529" ht="14.25" customHeight="1">
      <c r="T529" s="77"/>
      <c r="U529" s="78"/>
      <c r="V529" s="78"/>
      <c r="W529" s="78"/>
      <c r="X529" s="77"/>
      <c r="Z529" s="79"/>
      <c r="AB529" s="80"/>
    </row>
    <row r="530" ht="14.25" customHeight="1">
      <c r="T530" s="77"/>
      <c r="U530" s="78"/>
      <c r="V530" s="78"/>
      <c r="W530" s="78"/>
      <c r="X530" s="77"/>
      <c r="Z530" s="79"/>
      <c r="AB530" s="80"/>
    </row>
    <row r="531" ht="14.25" customHeight="1">
      <c r="T531" s="77"/>
      <c r="U531" s="78"/>
      <c r="V531" s="78"/>
      <c r="W531" s="78"/>
      <c r="X531" s="77"/>
      <c r="Z531" s="79"/>
      <c r="AB531" s="80"/>
    </row>
    <row r="532" ht="14.25" customHeight="1">
      <c r="T532" s="77"/>
      <c r="U532" s="78"/>
      <c r="V532" s="78"/>
      <c r="W532" s="78"/>
      <c r="X532" s="77"/>
      <c r="Z532" s="79"/>
      <c r="AB532" s="80"/>
    </row>
    <row r="533" ht="14.25" customHeight="1">
      <c r="T533" s="77"/>
      <c r="U533" s="78"/>
      <c r="V533" s="78"/>
      <c r="W533" s="78"/>
      <c r="X533" s="77"/>
      <c r="Z533" s="79"/>
      <c r="AB533" s="80"/>
    </row>
    <row r="534" ht="14.25" customHeight="1">
      <c r="T534" s="77"/>
      <c r="U534" s="78"/>
      <c r="V534" s="78"/>
      <c r="W534" s="78"/>
      <c r="X534" s="77"/>
      <c r="Z534" s="79"/>
      <c r="AB534" s="80"/>
    </row>
    <row r="535" ht="14.25" customHeight="1">
      <c r="T535" s="77"/>
      <c r="U535" s="78"/>
      <c r="V535" s="78"/>
      <c r="W535" s="78"/>
      <c r="X535" s="77"/>
      <c r="Z535" s="79"/>
      <c r="AB535" s="80"/>
    </row>
    <row r="536" ht="14.25" customHeight="1">
      <c r="T536" s="77"/>
      <c r="U536" s="78"/>
      <c r="V536" s="78"/>
      <c r="W536" s="78"/>
      <c r="X536" s="77"/>
      <c r="Z536" s="79"/>
      <c r="AB536" s="80"/>
    </row>
    <row r="537" ht="14.25" customHeight="1">
      <c r="T537" s="77"/>
      <c r="U537" s="78"/>
      <c r="V537" s="78"/>
      <c r="W537" s="78"/>
      <c r="X537" s="77"/>
      <c r="Z537" s="79"/>
      <c r="AB537" s="80"/>
    </row>
    <row r="538" ht="14.25" customHeight="1">
      <c r="T538" s="77"/>
      <c r="U538" s="78"/>
      <c r="V538" s="78"/>
      <c r="W538" s="78"/>
      <c r="X538" s="77"/>
      <c r="Z538" s="79"/>
      <c r="AB538" s="80"/>
    </row>
    <row r="539" ht="14.25" customHeight="1">
      <c r="T539" s="77"/>
      <c r="U539" s="78"/>
      <c r="V539" s="78"/>
      <c r="W539" s="78"/>
      <c r="X539" s="77"/>
      <c r="Z539" s="79"/>
      <c r="AB539" s="80"/>
    </row>
    <row r="540" ht="14.25" customHeight="1">
      <c r="T540" s="77"/>
      <c r="U540" s="78"/>
      <c r="V540" s="78"/>
      <c r="W540" s="78"/>
      <c r="X540" s="77"/>
      <c r="Z540" s="79"/>
      <c r="AB540" s="80"/>
    </row>
    <row r="541" ht="14.25" customHeight="1">
      <c r="T541" s="77"/>
      <c r="U541" s="78"/>
      <c r="V541" s="78"/>
      <c r="W541" s="78"/>
      <c r="X541" s="77"/>
      <c r="Z541" s="79"/>
      <c r="AB541" s="80"/>
    </row>
    <row r="542" ht="14.25" customHeight="1">
      <c r="T542" s="77"/>
      <c r="U542" s="78"/>
      <c r="V542" s="78"/>
      <c r="W542" s="78"/>
      <c r="X542" s="77"/>
      <c r="Z542" s="79"/>
      <c r="AB542" s="80"/>
    </row>
    <row r="543" ht="14.25" customHeight="1">
      <c r="T543" s="77"/>
      <c r="U543" s="78"/>
      <c r="V543" s="78"/>
      <c r="W543" s="78"/>
      <c r="X543" s="77"/>
      <c r="Z543" s="79"/>
      <c r="AB543" s="80"/>
    </row>
    <row r="544" ht="14.25" customHeight="1">
      <c r="T544" s="77"/>
      <c r="U544" s="78"/>
      <c r="V544" s="78"/>
      <c r="W544" s="78"/>
      <c r="X544" s="77"/>
      <c r="Z544" s="79"/>
      <c r="AB544" s="80"/>
    </row>
    <row r="545" ht="14.25" customHeight="1">
      <c r="T545" s="77"/>
      <c r="U545" s="78"/>
      <c r="V545" s="78"/>
      <c r="W545" s="78"/>
      <c r="X545" s="77"/>
      <c r="Z545" s="79"/>
      <c r="AB545" s="80"/>
    </row>
    <row r="546" ht="14.25" customHeight="1">
      <c r="T546" s="77"/>
      <c r="U546" s="78"/>
      <c r="V546" s="78"/>
      <c r="W546" s="78"/>
      <c r="X546" s="77"/>
      <c r="Z546" s="79"/>
      <c r="AB546" s="80"/>
    </row>
    <row r="547" ht="14.25" customHeight="1">
      <c r="T547" s="77"/>
      <c r="U547" s="78"/>
      <c r="V547" s="78"/>
      <c r="W547" s="78"/>
      <c r="X547" s="77"/>
      <c r="Z547" s="79"/>
      <c r="AB547" s="80"/>
    </row>
    <row r="548" ht="14.25" customHeight="1">
      <c r="T548" s="77"/>
      <c r="U548" s="78"/>
      <c r="V548" s="78"/>
      <c r="W548" s="78"/>
      <c r="X548" s="77"/>
      <c r="Z548" s="79"/>
      <c r="AB548" s="80"/>
    </row>
    <row r="549" ht="14.25" customHeight="1">
      <c r="T549" s="77"/>
      <c r="U549" s="78"/>
      <c r="V549" s="78"/>
      <c r="W549" s="78"/>
      <c r="X549" s="77"/>
      <c r="Z549" s="79"/>
      <c r="AB549" s="80"/>
    </row>
    <row r="550" ht="14.25" customHeight="1">
      <c r="T550" s="77"/>
      <c r="U550" s="78"/>
      <c r="V550" s="78"/>
      <c r="W550" s="78"/>
      <c r="X550" s="77"/>
      <c r="Z550" s="79"/>
      <c r="AB550" s="80"/>
    </row>
    <row r="551" ht="14.25" customHeight="1">
      <c r="T551" s="77"/>
      <c r="U551" s="78"/>
      <c r="V551" s="78"/>
      <c r="W551" s="78"/>
      <c r="X551" s="77"/>
      <c r="Z551" s="79"/>
      <c r="AB551" s="80"/>
    </row>
    <row r="552" ht="14.25" customHeight="1">
      <c r="T552" s="77"/>
      <c r="U552" s="78"/>
      <c r="V552" s="78"/>
      <c r="W552" s="78"/>
      <c r="X552" s="77"/>
      <c r="Z552" s="79"/>
      <c r="AB552" s="80"/>
    </row>
    <row r="553" ht="14.25" customHeight="1">
      <c r="T553" s="77"/>
      <c r="U553" s="78"/>
      <c r="V553" s="78"/>
      <c r="W553" s="78"/>
      <c r="X553" s="77"/>
      <c r="Z553" s="79"/>
      <c r="AB553" s="80"/>
    </row>
    <row r="554" ht="14.25" customHeight="1">
      <c r="T554" s="77"/>
      <c r="U554" s="78"/>
      <c r="V554" s="78"/>
      <c r="W554" s="78"/>
      <c r="X554" s="77"/>
      <c r="Z554" s="79"/>
      <c r="AB554" s="80"/>
    </row>
    <row r="555" ht="14.25" customHeight="1">
      <c r="T555" s="77"/>
      <c r="U555" s="78"/>
      <c r="V555" s="78"/>
      <c r="W555" s="78"/>
      <c r="X555" s="77"/>
      <c r="Z555" s="79"/>
      <c r="AB555" s="80"/>
    </row>
    <row r="556" ht="14.25" customHeight="1">
      <c r="T556" s="77"/>
      <c r="U556" s="78"/>
      <c r="V556" s="78"/>
      <c r="W556" s="78"/>
      <c r="X556" s="77"/>
      <c r="Z556" s="79"/>
      <c r="AB556" s="80"/>
    </row>
    <row r="557" ht="14.25" customHeight="1">
      <c r="T557" s="77"/>
      <c r="U557" s="78"/>
      <c r="V557" s="78"/>
      <c r="W557" s="78"/>
      <c r="X557" s="77"/>
      <c r="Z557" s="79"/>
      <c r="AB557" s="80"/>
    </row>
    <row r="558" ht="14.25" customHeight="1">
      <c r="T558" s="77"/>
      <c r="U558" s="78"/>
      <c r="V558" s="78"/>
      <c r="W558" s="78"/>
      <c r="X558" s="77"/>
      <c r="Z558" s="79"/>
      <c r="AB558" s="80"/>
    </row>
    <row r="559" ht="14.25" customHeight="1">
      <c r="T559" s="77"/>
      <c r="U559" s="78"/>
      <c r="V559" s="78"/>
      <c r="W559" s="78"/>
      <c r="X559" s="77"/>
      <c r="Z559" s="79"/>
      <c r="AB559" s="80"/>
    </row>
    <row r="560" ht="14.25" customHeight="1">
      <c r="T560" s="77"/>
      <c r="U560" s="78"/>
      <c r="V560" s="78"/>
      <c r="W560" s="78"/>
      <c r="X560" s="77"/>
      <c r="Z560" s="79"/>
      <c r="AB560" s="80"/>
    </row>
    <row r="561" ht="14.25" customHeight="1">
      <c r="T561" s="77"/>
      <c r="U561" s="78"/>
      <c r="V561" s="78"/>
      <c r="W561" s="78"/>
      <c r="X561" s="77"/>
      <c r="Z561" s="79"/>
      <c r="AB561" s="80"/>
    </row>
    <row r="562" ht="14.25" customHeight="1">
      <c r="T562" s="77"/>
      <c r="U562" s="78"/>
      <c r="V562" s="78"/>
      <c r="W562" s="78"/>
      <c r="X562" s="77"/>
      <c r="Z562" s="79"/>
      <c r="AB562" s="80"/>
    </row>
    <row r="563" ht="14.25" customHeight="1">
      <c r="T563" s="77"/>
      <c r="U563" s="78"/>
      <c r="V563" s="78"/>
      <c r="W563" s="78"/>
      <c r="X563" s="77"/>
      <c r="Z563" s="79"/>
      <c r="AB563" s="80"/>
    </row>
    <row r="564" ht="14.25" customHeight="1">
      <c r="T564" s="77"/>
      <c r="U564" s="78"/>
      <c r="V564" s="78"/>
      <c r="W564" s="78"/>
      <c r="X564" s="77"/>
      <c r="Z564" s="79"/>
      <c r="AB564" s="80"/>
    </row>
    <row r="565" ht="14.25" customHeight="1">
      <c r="T565" s="77"/>
      <c r="U565" s="78"/>
      <c r="V565" s="78"/>
      <c r="W565" s="78"/>
      <c r="X565" s="77"/>
      <c r="Z565" s="79"/>
      <c r="AB565" s="80"/>
    </row>
    <row r="566" ht="14.25" customHeight="1">
      <c r="T566" s="77"/>
      <c r="U566" s="78"/>
      <c r="V566" s="78"/>
      <c r="W566" s="78"/>
      <c r="X566" s="77"/>
      <c r="Z566" s="79"/>
      <c r="AB566" s="80"/>
    </row>
    <row r="567" ht="14.25" customHeight="1">
      <c r="T567" s="77"/>
      <c r="U567" s="78"/>
      <c r="V567" s="78"/>
      <c r="W567" s="78"/>
      <c r="X567" s="77"/>
      <c r="Z567" s="79"/>
      <c r="AB567" s="80"/>
    </row>
    <row r="568" ht="14.25" customHeight="1">
      <c r="T568" s="77"/>
      <c r="U568" s="78"/>
      <c r="V568" s="78"/>
      <c r="W568" s="78"/>
      <c r="X568" s="77"/>
      <c r="Z568" s="79"/>
      <c r="AB568" s="80"/>
    </row>
    <row r="569" ht="14.25" customHeight="1">
      <c r="T569" s="77"/>
      <c r="U569" s="78"/>
      <c r="V569" s="78"/>
      <c r="W569" s="78"/>
      <c r="X569" s="77"/>
      <c r="Z569" s="79"/>
      <c r="AB569" s="80"/>
    </row>
    <row r="570" ht="14.25" customHeight="1">
      <c r="T570" s="77"/>
      <c r="U570" s="78"/>
      <c r="V570" s="78"/>
      <c r="W570" s="78"/>
      <c r="X570" s="77"/>
      <c r="Z570" s="79"/>
      <c r="AB570" s="80"/>
    </row>
    <row r="571" ht="14.25" customHeight="1">
      <c r="T571" s="77"/>
      <c r="U571" s="78"/>
      <c r="V571" s="78"/>
      <c r="W571" s="78"/>
      <c r="X571" s="77"/>
      <c r="Z571" s="79"/>
      <c r="AB571" s="80"/>
    </row>
    <row r="572" ht="14.25" customHeight="1">
      <c r="T572" s="77"/>
      <c r="U572" s="78"/>
      <c r="V572" s="78"/>
      <c r="W572" s="78"/>
      <c r="X572" s="77"/>
      <c r="Z572" s="79"/>
      <c r="AB572" s="80"/>
    </row>
    <row r="573" ht="14.25" customHeight="1">
      <c r="T573" s="77"/>
      <c r="U573" s="78"/>
      <c r="V573" s="78"/>
      <c r="W573" s="78"/>
      <c r="X573" s="77"/>
      <c r="Z573" s="79"/>
      <c r="AB573" s="80"/>
    </row>
    <row r="574" ht="14.25" customHeight="1">
      <c r="T574" s="77"/>
      <c r="U574" s="78"/>
      <c r="V574" s="78"/>
      <c r="W574" s="78"/>
      <c r="X574" s="77"/>
      <c r="Z574" s="79"/>
      <c r="AB574" s="80"/>
    </row>
    <row r="575" ht="14.25" customHeight="1">
      <c r="T575" s="77"/>
      <c r="U575" s="78"/>
      <c r="V575" s="78"/>
      <c r="W575" s="78"/>
      <c r="X575" s="77"/>
      <c r="Z575" s="79"/>
      <c r="AB575" s="80"/>
    </row>
    <row r="576" ht="14.25" customHeight="1">
      <c r="T576" s="77"/>
      <c r="U576" s="78"/>
      <c r="V576" s="78"/>
      <c r="W576" s="78"/>
      <c r="X576" s="77"/>
      <c r="Z576" s="79"/>
      <c r="AB576" s="80"/>
    </row>
    <row r="577" ht="14.25" customHeight="1">
      <c r="T577" s="77"/>
      <c r="U577" s="78"/>
      <c r="V577" s="78"/>
      <c r="W577" s="78"/>
      <c r="X577" s="77"/>
      <c r="Z577" s="79"/>
      <c r="AB577" s="80"/>
    </row>
    <row r="578" ht="14.25" customHeight="1">
      <c r="T578" s="77"/>
      <c r="U578" s="78"/>
      <c r="V578" s="78"/>
      <c r="W578" s="78"/>
      <c r="X578" s="77"/>
      <c r="Z578" s="79"/>
      <c r="AB578" s="80"/>
    </row>
    <row r="579" ht="14.25" customHeight="1">
      <c r="T579" s="77"/>
      <c r="U579" s="78"/>
      <c r="V579" s="78"/>
      <c r="W579" s="78"/>
      <c r="X579" s="77"/>
      <c r="Z579" s="79"/>
      <c r="AB579" s="80"/>
    </row>
    <row r="580" ht="14.25" customHeight="1">
      <c r="T580" s="77"/>
      <c r="U580" s="78"/>
      <c r="V580" s="78"/>
      <c r="W580" s="78"/>
      <c r="X580" s="77"/>
      <c r="Z580" s="79"/>
      <c r="AB580" s="80"/>
    </row>
    <row r="581" ht="14.25" customHeight="1">
      <c r="T581" s="77"/>
      <c r="U581" s="78"/>
      <c r="V581" s="78"/>
      <c r="W581" s="78"/>
      <c r="X581" s="77"/>
      <c r="Z581" s="79"/>
      <c r="AB581" s="80"/>
    </row>
    <row r="582" ht="14.25" customHeight="1">
      <c r="T582" s="77"/>
      <c r="U582" s="78"/>
      <c r="V582" s="78"/>
      <c r="W582" s="78"/>
      <c r="X582" s="77"/>
      <c r="Z582" s="79"/>
      <c r="AB582" s="80"/>
    </row>
    <row r="583" ht="14.25" customHeight="1">
      <c r="T583" s="77"/>
      <c r="U583" s="78"/>
      <c r="V583" s="78"/>
      <c r="W583" s="78"/>
      <c r="X583" s="77"/>
      <c r="Z583" s="79"/>
      <c r="AB583" s="80"/>
    </row>
    <row r="584" ht="14.25" customHeight="1">
      <c r="T584" s="77"/>
      <c r="U584" s="78"/>
      <c r="V584" s="78"/>
      <c r="W584" s="78"/>
      <c r="X584" s="77"/>
      <c r="Z584" s="79"/>
      <c r="AB584" s="80"/>
    </row>
    <row r="585" ht="14.25" customHeight="1">
      <c r="T585" s="77"/>
      <c r="U585" s="78"/>
      <c r="V585" s="78"/>
      <c r="W585" s="78"/>
      <c r="X585" s="77"/>
      <c r="Z585" s="79"/>
      <c r="AB585" s="80"/>
    </row>
    <row r="586" ht="14.25" customHeight="1">
      <c r="T586" s="77"/>
      <c r="U586" s="78"/>
      <c r="V586" s="78"/>
      <c r="W586" s="78"/>
      <c r="X586" s="77"/>
      <c r="Z586" s="79"/>
      <c r="AB586" s="80"/>
    </row>
    <row r="587" ht="14.25" customHeight="1">
      <c r="T587" s="77"/>
      <c r="U587" s="78"/>
      <c r="V587" s="78"/>
      <c r="W587" s="78"/>
      <c r="X587" s="77"/>
      <c r="Z587" s="79"/>
      <c r="AB587" s="80"/>
    </row>
    <row r="588" ht="14.25" customHeight="1">
      <c r="T588" s="77"/>
      <c r="U588" s="78"/>
      <c r="V588" s="78"/>
      <c r="W588" s="78"/>
      <c r="X588" s="77"/>
      <c r="Z588" s="79"/>
      <c r="AB588" s="80"/>
    </row>
    <row r="589" ht="14.25" customHeight="1">
      <c r="T589" s="77"/>
      <c r="U589" s="78"/>
      <c r="V589" s="78"/>
      <c r="W589" s="78"/>
      <c r="X589" s="77"/>
      <c r="Z589" s="79"/>
      <c r="AB589" s="80"/>
    </row>
    <row r="590" ht="14.25" customHeight="1">
      <c r="T590" s="77"/>
      <c r="U590" s="78"/>
      <c r="V590" s="78"/>
      <c r="W590" s="78"/>
      <c r="X590" s="77"/>
      <c r="Z590" s="79"/>
      <c r="AB590" s="80"/>
    </row>
    <row r="591" ht="14.25" customHeight="1">
      <c r="T591" s="77"/>
      <c r="U591" s="78"/>
      <c r="V591" s="78"/>
      <c r="W591" s="78"/>
      <c r="X591" s="77"/>
      <c r="Z591" s="79"/>
      <c r="AB591" s="80"/>
    </row>
    <row r="592" ht="14.25" customHeight="1">
      <c r="T592" s="77"/>
      <c r="U592" s="78"/>
      <c r="V592" s="78"/>
      <c r="W592" s="78"/>
      <c r="X592" s="77"/>
      <c r="Z592" s="79"/>
      <c r="AB592" s="80"/>
    </row>
    <row r="593" ht="14.25" customHeight="1">
      <c r="T593" s="77"/>
      <c r="U593" s="78"/>
      <c r="V593" s="78"/>
      <c r="W593" s="78"/>
      <c r="X593" s="77"/>
      <c r="Z593" s="79"/>
      <c r="AB593" s="80"/>
    </row>
    <row r="594" ht="14.25" customHeight="1">
      <c r="T594" s="77"/>
      <c r="U594" s="78"/>
      <c r="V594" s="78"/>
      <c r="W594" s="78"/>
      <c r="X594" s="77"/>
      <c r="Z594" s="79"/>
      <c r="AB594" s="80"/>
    </row>
    <row r="595" ht="14.25" customHeight="1">
      <c r="T595" s="77"/>
      <c r="U595" s="78"/>
      <c r="V595" s="78"/>
      <c r="W595" s="78"/>
      <c r="X595" s="77"/>
      <c r="Z595" s="79"/>
      <c r="AB595" s="80"/>
    </row>
    <row r="596" ht="14.25" customHeight="1">
      <c r="T596" s="77"/>
      <c r="U596" s="78"/>
      <c r="V596" s="78"/>
      <c r="W596" s="78"/>
      <c r="X596" s="77"/>
      <c r="Z596" s="79"/>
      <c r="AB596" s="80"/>
    </row>
    <row r="597" ht="14.25" customHeight="1">
      <c r="T597" s="77"/>
      <c r="U597" s="78"/>
      <c r="V597" s="78"/>
      <c r="W597" s="78"/>
      <c r="X597" s="77"/>
      <c r="Z597" s="79"/>
      <c r="AB597" s="80"/>
    </row>
    <row r="598" ht="14.25" customHeight="1">
      <c r="T598" s="77"/>
      <c r="U598" s="78"/>
      <c r="V598" s="78"/>
      <c r="W598" s="78"/>
      <c r="X598" s="77"/>
      <c r="Z598" s="79"/>
      <c r="AB598" s="80"/>
    </row>
    <row r="599" ht="14.25" customHeight="1">
      <c r="T599" s="77"/>
      <c r="U599" s="78"/>
      <c r="V599" s="78"/>
      <c r="W599" s="78"/>
      <c r="X599" s="77"/>
      <c r="Z599" s="79"/>
      <c r="AB599" s="80"/>
    </row>
    <row r="600" ht="14.25" customHeight="1">
      <c r="T600" s="77"/>
      <c r="U600" s="78"/>
      <c r="V600" s="78"/>
      <c r="W600" s="78"/>
      <c r="X600" s="77"/>
      <c r="Z600" s="79"/>
      <c r="AB600" s="80"/>
    </row>
    <row r="601" ht="14.25" customHeight="1">
      <c r="T601" s="77"/>
      <c r="U601" s="78"/>
      <c r="V601" s="78"/>
      <c r="W601" s="78"/>
      <c r="X601" s="77"/>
      <c r="Z601" s="79"/>
      <c r="AB601" s="80"/>
    </row>
    <row r="602" ht="14.25" customHeight="1">
      <c r="T602" s="77"/>
      <c r="U602" s="78"/>
      <c r="V602" s="78"/>
      <c r="W602" s="78"/>
      <c r="X602" s="77"/>
      <c r="Z602" s="79"/>
      <c r="AB602" s="80"/>
    </row>
    <row r="603" ht="14.25" customHeight="1">
      <c r="T603" s="77"/>
      <c r="U603" s="78"/>
      <c r="V603" s="78"/>
      <c r="W603" s="78"/>
      <c r="X603" s="77"/>
      <c r="Z603" s="79"/>
      <c r="AB603" s="80"/>
    </row>
    <row r="604" ht="14.25" customHeight="1">
      <c r="T604" s="77"/>
      <c r="U604" s="78"/>
      <c r="V604" s="78"/>
      <c r="W604" s="78"/>
      <c r="X604" s="77"/>
      <c r="Z604" s="79"/>
      <c r="AB604" s="80"/>
    </row>
    <row r="605" ht="14.25" customHeight="1">
      <c r="T605" s="77"/>
      <c r="U605" s="78"/>
      <c r="V605" s="78"/>
      <c r="W605" s="78"/>
      <c r="X605" s="77"/>
      <c r="Z605" s="79"/>
      <c r="AB605" s="80"/>
    </row>
    <row r="606" ht="14.25" customHeight="1">
      <c r="T606" s="77"/>
      <c r="U606" s="78"/>
      <c r="V606" s="78"/>
      <c r="W606" s="78"/>
      <c r="X606" s="77"/>
      <c r="Z606" s="79"/>
      <c r="AB606" s="80"/>
    </row>
    <row r="607" ht="14.25" customHeight="1">
      <c r="T607" s="77"/>
      <c r="U607" s="78"/>
      <c r="V607" s="78"/>
      <c r="W607" s="78"/>
      <c r="X607" s="77"/>
      <c r="Z607" s="79"/>
      <c r="AB607" s="80"/>
    </row>
    <row r="608" ht="14.25" customHeight="1">
      <c r="T608" s="77"/>
      <c r="U608" s="78"/>
      <c r="V608" s="78"/>
      <c r="W608" s="78"/>
      <c r="X608" s="77"/>
      <c r="Z608" s="79"/>
      <c r="AB608" s="80"/>
    </row>
    <row r="609" ht="14.25" customHeight="1">
      <c r="T609" s="77"/>
      <c r="U609" s="78"/>
      <c r="V609" s="78"/>
      <c r="W609" s="78"/>
      <c r="X609" s="77"/>
      <c r="Z609" s="79"/>
      <c r="AB609" s="80"/>
    </row>
    <row r="610" ht="14.25" customHeight="1">
      <c r="T610" s="77"/>
      <c r="U610" s="78"/>
      <c r="V610" s="78"/>
      <c r="W610" s="78"/>
      <c r="X610" s="77"/>
      <c r="Z610" s="79"/>
      <c r="AB610" s="80"/>
    </row>
    <row r="611" ht="14.25" customHeight="1">
      <c r="T611" s="77"/>
      <c r="U611" s="78"/>
      <c r="V611" s="78"/>
      <c r="W611" s="78"/>
      <c r="X611" s="77"/>
      <c r="Z611" s="79"/>
      <c r="AB611" s="80"/>
    </row>
    <row r="612" ht="14.25" customHeight="1">
      <c r="T612" s="77"/>
      <c r="U612" s="78"/>
      <c r="V612" s="78"/>
      <c r="W612" s="78"/>
      <c r="X612" s="77"/>
      <c r="Z612" s="79"/>
      <c r="AB612" s="80"/>
    </row>
    <row r="613" ht="14.25" customHeight="1">
      <c r="T613" s="77"/>
      <c r="U613" s="78"/>
      <c r="V613" s="78"/>
      <c r="W613" s="78"/>
      <c r="X613" s="77"/>
      <c r="Z613" s="79"/>
      <c r="AB613" s="80"/>
    </row>
    <row r="614" ht="14.25" customHeight="1">
      <c r="T614" s="77"/>
      <c r="U614" s="78"/>
      <c r="V614" s="78"/>
      <c r="W614" s="78"/>
      <c r="X614" s="77"/>
      <c r="Z614" s="79"/>
      <c r="AB614" s="80"/>
    </row>
    <row r="615" ht="14.25" customHeight="1">
      <c r="T615" s="77"/>
      <c r="U615" s="78"/>
      <c r="V615" s="78"/>
      <c r="W615" s="78"/>
      <c r="X615" s="77"/>
      <c r="Z615" s="79"/>
      <c r="AB615" s="80"/>
    </row>
    <row r="616" ht="14.25" customHeight="1">
      <c r="T616" s="77"/>
      <c r="U616" s="78"/>
      <c r="V616" s="78"/>
      <c r="W616" s="78"/>
      <c r="X616" s="77"/>
      <c r="Z616" s="79"/>
      <c r="AB616" s="80"/>
    </row>
    <row r="617" ht="14.25" customHeight="1">
      <c r="T617" s="77"/>
      <c r="U617" s="78"/>
      <c r="V617" s="78"/>
      <c r="W617" s="78"/>
      <c r="X617" s="77"/>
      <c r="Z617" s="79"/>
      <c r="AB617" s="80"/>
    </row>
    <row r="618" ht="14.25" customHeight="1">
      <c r="T618" s="77"/>
      <c r="U618" s="78"/>
      <c r="V618" s="78"/>
      <c r="W618" s="78"/>
      <c r="X618" s="77"/>
      <c r="Z618" s="79"/>
      <c r="AB618" s="80"/>
    </row>
    <row r="619" ht="14.25" customHeight="1">
      <c r="T619" s="77"/>
      <c r="U619" s="78"/>
      <c r="V619" s="78"/>
      <c r="W619" s="78"/>
      <c r="X619" s="77"/>
      <c r="Z619" s="79"/>
      <c r="AB619" s="80"/>
    </row>
    <row r="620" ht="14.25" customHeight="1">
      <c r="T620" s="77"/>
      <c r="U620" s="78"/>
      <c r="V620" s="78"/>
      <c r="W620" s="78"/>
      <c r="X620" s="77"/>
      <c r="Z620" s="79"/>
      <c r="AB620" s="80"/>
    </row>
    <row r="621" ht="14.25" customHeight="1">
      <c r="T621" s="77"/>
      <c r="U621" s="78"/>
      <c r="V621" s="78"/>
      <c r="W621" s="78"/>
      <c r="X621" s="77"/>
      <c r="Z621" s="79"/>
      <c r="AB621" s="80"/>
    </row>
    <row r="622" ht="14.25" customHeight="1">
      <c r="T622" s="77"/>
      <c r="U622" s="78"/>
      <c r="V622" s="78"/>
      <c r="W622" s="78"/>
      <c r="X622" s="77"/>
      <c r="Z622" s="79"/>
      <c r="AB622" s="80"/>
    </row>
    <row r="623" ht="14.25" customHeight="1">
      <c r="T623" s="77"/>
      <c r="U623" s="78"/>
      <c r="V623" s="78"/>
      <c r="W623" s="78"/>
      <c r="X623" s="77"/>
      <c r="Z623" s="79"/>
      <c r="AB623" s="80"/>
    </row>
    <row r="624" ht="14.25" customHeight="1">
      <c r="T624" s="77"/>
      <c r="U624" s="78"/>
      <c r="V624" s="78"/>
      <c r="W624" s="78"/>
      <c r="X624" s="77"/>
      <c r="Z624" s="79"/>
      <c r="AB624" s="80"/>
    </row>
    <row r="625" ht="14.25" customHeight="1">
      <c r="T625" s="77"/>
      <c r="U625" s="78"/>
      <c r="V625" s="78"/>
      <c r="W625" s="78"/>
      <c r="X625" s="77"/>
      <c r="Z625" s="79"/>
      <c r="AB625" s="80"/>
    </row>
    <row r="626" ht="14.25" customHeight="1">
      <c r="T626" s="77"/>
      <c r="U626" s="78"/>
      <c r="V626" s="78"/>
      <c r="W626" s="78"/>
      <c r="X626" s="77"/>
      <c r="Z626" s="79"/>
      <c r="AB626" s="80"/>
    </row>
    <row r="627" ht="14.25" customHeight="1">
      <c r="T627" s="77"/>
      <c r="U627" s="78"/>
      <c r="V627" s="78"/>
      <c r="W627" s="78"/>
      <c r="X627" s="77"/>
      <c r="Z627" s="79"/>
      <c r="AB627" s="80"/>
    </row>
    <row r="628" ht="14.25" customHeight="1">
      <c r="T628" s="77"/>
      <c r="U628" s="78"/>
      <c r="V628" s="78"/>
      <c r="W628" s="78"/>
      <c r="X628" s="77"/>
      <c r="Z628" s="79"/>
      <c r="AB628" s="80"/>
    </row>
    <row r="629" ht="14.25" customHeight="1">
      <c r="T629" s="77"/>
      <c r="U629" s="78"/>
      <c r="V629" s="78"/>
      <c r="W629" s="78"/>
      <c r="X629" s="77"/>
      <c r="Z629" s="79"/>
      <c r="AB629" s="80"/>
    </row>
    <row r="630" ht="14.25" customHeight="1">
      <c r="T630" s="77"/>
      <c r="U630" s="78"/>
      <c r="V630" s="78"/>
      <c r="W630" s="78"/>
      <c r="X630" s="77"/>
      <c r="Z630" s="79"/>
      <c r="AB630" s="80"/>
    </row>
    <row r="631" ht="14.25" customHeight="1">
      <c r="T631" s="77"/>
      <c r="U631" s="78"/>
      <c r="V631" s="78"/>
      <c r="W631" s="78"/>
      <c r="X631" s="77"/>
      <c r="Z631" s="79"/>
      <c r="AB631" s="80"/>
    </row>
    <row r="632" ht="14.25" customHeight="1">
      <c r="T632" s="77"/>
      <c r="U632" s="78"/>
      <c r="V632" s="78"/>
      <c r="W632" s="78"/>
      <c r="X632" s="77"/>
      <c r="Z632" s="79"/>
      <c r="AB632" s="80"/>
    </row>
    <row r="633" ht="14.25" customHeight="1">
      <c r="T633" s="77"/>
      <c r="U633" s="78"/>
      <c r="V633" s="78"/>
      <c r="W633" s="78"/>
      <c r="X633" s="77"/>
      <c r="Z633" s="79"/>
      <c r="AB633" s="80"/>
    </row>
    <row r="634" ht="14.25" customHeight="1">
      <c r="T634" s="77"/>
      <c r="U634" s="78"/>
      <c r="V634" s="78"/>
      <c r="W634" s="78"/>
      <c r="X634" s="77"/>
      <c r="Z634" s="79"/>
      <c r="AB634" s="80"/>
    </row>
    <row r="635" ht="14.25" customHeight="1">
      <c r="T635" s="77"/>
      <c r="U635" s="78"/>
      <c r="V635" s="78"/>
      <c r="W635" s="78"/>
      <c r="X635" s="77"/>
      <c r="Z635" s="79"/>
      <c r="AB635" s="80"/>
    </row>
    <row r="636" ht="14.25" customHeight="1">
      <c r="T636" s="77"/>
      <c r="U636" s="78"/>
      <c r="V636" s="78"/>
      <c r="W636" s="78"/>
      <c r="X636" s="77"/>
      <c r="Z636" s="79"/>
      <c r="AB636" s="80"/>
    </row>
    <row r="637" ht="14.25" customHeight="1">
      <c r="T637" s="77"/>
      <c r="U637" s="78"/>
      <c r="V637" s="78"/>
      <c r="W637" s="78"/>
      <c r="X637" s="77"/>
      <c r="Z637" s="79"/>
      <c r="AB637" s="80"/>
    </row>
    <row r="638" ht="14.25" customHeight="1">
      <c r="T638" s="77"/>
      <c r="U638" s="78"/>
      <c r="V638" s="78"/>
      <c r="W638" s="78"/>
      <c r="X638" s="77"/>
      <c r="Z638" s="79"/>
      <c r="AB638" s="80"/>
    </row>
    <row r="639" ht="14.25" customHeight="1">
      <c r="T639" s="77"/>
      <c r="U639" s="78"/>
      <c r="V639" s="78"/>
      <c r="W639" s="78"/>
      <c r="X639" s="77"/>
      <c r="Z639" s="79"/>
      <c r="AB639" s="80"/>
    </row>
    <row r="640" ht="14.25" customHeight="1">
      <c r="T640" s="77"/>
      <c r="U640" s="78"/>
      <c r="V640" s="78"/>
      <c r="W640" s="78"/>
      <c r="X640" s="77"/>
      <c r="Z640" s="79"/>
      <c r="AB640" s="80"/>
    </row>
    <row r="641" ht="14.25" customHeight="1">
      <c r="T641" s="77"/>
      <c r="U641" s="78"/>
      <c r="V641" s="78"/>
      <c r="W641" s="78"/>
      <c r="X641" s="77"/>
      <c r="Z641" s="79"/>
      <c r="AB641" s="80"/>
    </row>
    <row r="642" ht="14.25" customHeight="1">
      <c r="T642" s="77"/>
      <c r="U642" s="78"/>
      <c r="V642" s="78"/>
      <c r="W642" s="78"/>
      <c r="X642" s="77"/>
      <c r="Z642" s="79"/>
      <c r="AB642" s="80"/>
    </row>
    <row r="643" ht="14.25" customHeight="1">
      <c r="T643" s="77"/>
      <c r="U643" s="78"/>
      <c r="V643" s="78"/>
      <c r="W643" s="78"/>
      <c r="X643" s="77"/>
      <c r="Z643" s="79"/>
      <c r="AB643" s="80"/>
    </row>
    <row r="644" ht="14.25" customHeight="1">
      <c r="T644" s="77"/>
      <c r="U644" s="78"/>
      <c r="V644" s="78"/>
      <c r="W644" s="78"/>
      <c r="X644" s="77"/>
      <c r="Z644" s="79"/>
      <c r="AB644" s="80"/>
    </row>
    <row r="645" ht="14.25" customHeight="1">
      <c r="T645" s="77"/>
      <c r="U645" s="78"/>
      <c r="V645" s="78"/>
      <c r="W645" s="78"/>
      <c r="X645" s="77"/>
      <c r="Z645" s="79"/>
      <c r="AB645" s="80"/>
    </row>
    <row r="646" ht="14.25" customHeight="1">
      <c r="T646" s="77"/>
      <c r="U646" s="78"/>
      <c r="V646" s="78"/>
      <c r="W646" s="78"/>
      <c r="X646" s="77"/>
      <c r="Z646" s="79"/>
      <c r="AB646" s="80"/>
    </row>
    <row r="647" ht="14.25" customHeight="1">
      <c r="T647" s="77"/>
      <c r="U647" s="78"/>
      <c r="V647" s="78"/>
      <c r="W647" s="78"/>
      <c r="X647" s="77"/>
      <c r="Z647" s="79"/>
      <c r="AB647" s="80"/>
    </row>
    <row r="648" ht="14.25" customHeight="1">
      <c r="T648" s="77"/>
      <c r="U648" s="78"/>
      <c r="V648" s="78"/>
      <c r="W648" s="78"/>
      <c r="X648" s="77"/>
      <c r="Z648" s="79"/>
      <c r="AB648" s="80"/>
    </row>
    <row r="649" ht="14.25" customHeight="1">
      <c r="T649" s="77"/>
      <c r="U649" s="78"/>
      <c r="V649" s="78"/>
      <c r="W649" s="78"/>
      <c r="X649" s="77"/>
      <c r="Z649" s="79"/>
      <c r="AB649" s="80"/>
    </row>
    <row r="650" ht="14.25" customHeight="1">
      <c r="T650" s="77"/>
      <c r="U650" s="78"/>
      <c r="V650" s="78"/>
      <c r="W650" s="78"/>
      <c r="X650" s="77"/>
      <c r="Z650" s="79"/>
      <c r="AB650" s="80"/>
    </row>
    <row r="651" ht="14.25" customHeight="1">
      <c r="T651" s="77"/>
      <c r="U651" s="78"/>
      <c r="V651" s="78"/>
      <c r="W651" s="78"/>
      <c r="X651" s="77"/>
      <c r="Z651" s="79"/>
      <c r="AB651" s="80"/>
    </row>
    <row r="652" ht="14.25" customHeight="1">
      <c r="T652" s="77"/>
      <c r="U652" s="78"/>
      <c r="V652" s="78"/>
      <c r="W652" s="78"/>
      <c r="X652" s="77"/>
      <c r="Z652" s="79"/>
      <c r="AB652" s="80"/>
    </row>
    <row r="653" ht="14.25" customHeight="1">
      <c r="T653" s="77"/>
      <c r="U653" s="78"/>
      <c r="V653" s="78"/>
      <c r="W653" s="78"/>
      <c r="X653" s="77"/>
      <c r="Z653" s="79"/>
      <c r="AB653" s="80"/>
    </row>
    <row r="654" ht="14.25" customHeight="1">
      <c r="T654" s="77"/>
      <c r="U654" s="78"/>
      <c r="V654" s="78"/>
      <c r="W654" s="78"/>
      <c r="X654" s="77"/>
      <c r="Z654" s="79"/>
      <c r="AB654" s="80"/>
    </row>
    <row r="655" ht="14.25" customHeight="1">
      <c r="T655" s="77"/>
      <c r="U655" s="78"/>
      <c r="V655" s="78"/>
      <c r="W655" s="78"/>
      <c r="X655" s="77"/>
      <c r="Z655" s="79"/>
      <c r="AB655" s="80"/>
    </row>
    <row r="656" ht="14.25" customHeight="1">
      <c r="T656" s="77"/>
      <c r="U656" s="78"/>
      <c r="V656" s="78"/>
      <c r="W656" s="78"/>
      <c r="X656" s="77"/>
      <c r="Z656" s="79"/>
      <c r="AB656" s="80"/>
    </row>
    <row r="657" ht="14.25" customHeight="1">
      <c r="T657" s="77"/>
      <c r="U657" s="78"/>
      <c r="V657" s="78"/>
      <c r="W657" s="78"/>
      <c r="X657" s="77"/>
      <c r="Z657" s="79"/>
      <c r="AB657" s="80"/>
    </row>
    <row r="658" ht="14.25" customHeight="1">
      <c r="T658" s="77"/>
      <c r="U658" s="78"/>
      <c r="V658" s="78"/>
      <c r="W658" s="78"/>
      <c r="X658" s="77"/>
      <c r="Z658" s="79"/>
      <c r="AB658" s="80"/>
    </row>
    <row r="659" ht="14.25" customHeight="1">
      <c r="T659" s="77"/>
      <c r="U659" s="78"/>
      <c r="V659" s="78"/>
      <c r="W659" s="78"/>
      <c r="X659" s="77"/>
      <c r="Z659" s="79"/>
      <c r="AB659" s="80"/>
    </row>
    <row r="660" ht="14.25" customHeight="1">
      <c r="T660" s="77"/>
      <c r="U660" s="78"/>
      <c r="V660" s="78"/>
      <c r="W660" s="78"/>
      <c r="X660" s="77"/>
      <c r="Z660" s="79"/>
      <c r="AB660" s="80"/>
    </row>
    <row r="661" ht="14.25" customHeight="1">
      <c r="T661" s="77"/>
      <c r="U661" s="78"/>
      <c r="V661" s="78"/>
      <c r="W661" s="78"/>
      <c r="X661" s="77"/>
      <c r="Z661" s="79"/>
      <c r="AB661" s="80"/>
    </row>
    <row r="662" ht="14.25" customHeight="1">
      <c r="T662" s="77"/>
      <c r="U662" s="78"/>
      <c r="V662" s="78"/>
      <c r="W662" s="78"/>
      <c r="X662" s="77"/>
      <c r="Z662" s="79"/>
      <c r="AB662" s="80"/>
    </row>
    <row r="663" ht="14.25" customHeight="1">
      <c r="T663" s="77"/>
      <c r="U663" s="78"/>
      <c r="V663" s="78"/>
      <c r="W663" s="78"/>
      <c r="X663" s="77"/>
      <c r="Z663" s="79"/>
      <c r="AB663" s="80"/>
    </row>
    <row r="664" ht="14.25" customHeight="1">
      <c r="T664" s="77"/>
      <c r="U664" s="78"/>
      <c r="V664" s="78"/>
      <c r="W664" s="78"/>
      <c r="X664" s="77"/>
      <c r="Z664" s="79"/>
      <c r="AB664" s="80"/>
    </row>
    <row r="665" ht="14.25" customHeight="1">
      <c r="T665" s="77"/>
      <c r="U665" s="78"/>
      <c r="V665" s="78"/>
      <c r="W665" s="78"/>
      <c r="X665" s="77"/>
      <c r="Z665" s="79"/>
      <c r="AB665" s="80"/>
    </row>
    <row r="666" ht="14.25" customHeight="1">
      <c r="T666" s="77"/>
      <c r="U666" s="78"/>
      <c r="V666" s="78"/>
      <c r="W666" s="78"/>
      <c r="X666" s="77"/>
      <c r="Z666" s="79"/>
      <c r="AB666" s="80"/>
    </row>
    <row r="667" ht="14.25" customHeight="1">
      <c r="T667" s="77"/>
      <c r="U667" s="78"/>
      <c r="V667" s="78"/>
      <c r="W667" s="78"/>
      <c r="X667" s="77"/>
      <c r="Z667" s="79"/>
      <c r="AB667" s="80"/>
    </row>
    <row r="668" ht="14.25" customHeight="1">
      <c r="T668" s="77"/>
      <c r="U668" s="78"/>
      <c r="V668" s="78"/>
      <c r="W668" s="78"/>
      <c r="X668" s="77"/>
      <c r="Z668" s="79"/>
      <c r="AB668" s="80"/>
    </row>
    <row r="669" ht="14.25" customHeight="1">
      <c r="T669" s="77"/>
      <c r="U669" s="78"/>
      <c r="V669" s="78"/>
      <c r="W669" s="78"/>
      <c r="X669" s="77"/>
      <c r="Z669" s="79"/>
      <c r="AB669" s="80"/>
    </row>
    <row r="670" ht="14.25" customHeight="1">
      <c r="T670" s="77"/>
      <c r="U670" s="78"/>
      <c r="V670" s="78"/>
      <c r="W670" s="78"/>
      <c r="X670" s="77"/>
      <c r="Z670" s="79"/>
      <c r="AB670" s="80"/>
    </row>
    <row r="671" ht="14.25" customHeight="1">
      <c r="T671" s="77"/>
      <c r="U671" s="78"/>
      <c r="V671" s="78"/>
      <c r="W671" s="78"/>
      <c r="X671" s="77"/>
      <c r="Z671" s="79"/>
      <c r="AB671" s="80"/>
    </row>
    <row r="672" ht="14.25" customHeight="1">
      <c r="T672" s="77"/>
      <c r="U672" s="78"/>
      <c r="V672" s="78"/>
      <c r="W672" s="78"/>
      <c r="X672" s="77"/>
      <c r="Z672" s="79"/>
      <c r="AB672" s="80"/>
    </row>
    <row r="673" ht="14.25" customHeight="1">
      <c r="T673" s="77"/>
      <c r="U673" s="78"/>
      <c r="V673" s="78"/>
      <c r="W673" s="78"/>
      <c r="X673" s="77"/>
      <c r="Z673" s="79"/>
      <c r="AB673" s="80"/>
    </row>
    <row r="674" ht="14.25" customHeight="1">
      <c r="T674" s="77"/>
      <c r="U674" s="78"/>
      <c r="V674" s="78"/>
      <c r="W674" s="78"/>
      <c r="X674" s="77"/>
      <c r="Z674" s="79"/>
      <c r="AB674" s="80"/>
    </row>
    <row r="675" ht="14.25" customHeight="1">
      <c r="T675" s="77"/>
      <c r="U675" s="78"/>
      <c r="V675" s="78"/>
      <c r="W675" s="78"/>
      <c r="X675" s="77"/>
      <c r="Z675" s="79"/>
      <c r="AB675" s="80"/>
    </row>
    <row r="676" ht="14.25" customHeight="1">
      <c r="T676" s="77"/>
      <c r="U676" s="78"/>
      <c r="V676" s="78"/>
      <c r="W676" s="78"/>
      <c r="X676" s="77"/>
      <c r="Z676" s="79"/>
      <c r="AB676" s="80"/>
    </row>
    <row r="677" ht="14.25" customHeight="1">
      <c r="T677" s="77"/>
      <c r="U677" s="78"/>
      <c r="V677" s="78"/>
      <c r="W677" s="78"/>
      <c r="X677" s="77"/>
      <c r="Z677" s="79"/>
      <c r="AB677" s="80"/>
    </row>
    <row r="678" ht="14.25" customHeight="1">
      <c r="T678" s="77"/>
      <c r="U678" s="78"/>
      <c r="V678" s="78"/>
      <c r="W678" s="78"/>
      <c r="X678" s="77"/>
      <c r="Z678" s="79"/>
      <c r="AB678" s="80"/>
    </row>
    <row r="679" ht="14.25" customHeight="1">
      <c r="T679" s="77"/>
      <c r="U679" s="78"/>
      <c r="V679" s="78"/>
      <c r="W679" s="78"/>
      <c r="X679" s="77"/>
      <c r="Z679" s="79"/>
      <c r="AB679" s="80"/>
    </row>
    <row r="680" ht="14.25" customHeight="1">
      <c r="T680" s="77"/>
      <c r="U680" s="78"/>
      <c r="V680" s="78"/>
      <c r="W680" s="78"/>
      <c r="X680" s="77"/>
      <c r="Z680" s="79"/>
      <c r="AB680" s="80"/>
    </row>
    <row r="681" ht="14.25" customHeight="1">
      <c r="T681" s="77"/>
      <c r="U681" s="78"/>
      <c r="V681" s="78"/>
      <c r="W681" s="78"/>
      <c r="X681" s="77"/>
      <c r="Z681" s="79"/>
      <c r="AB681" s="80"/>
    </row>
    <row r="682" ht="14.25" customHeight="1">
      <c r="T682" s="77"/>
      <c r="U682" s="78"/>
      <c r="V682" s="78"/>
      <c r="W682" s="78"/>
      <c r="X682" s="77"/>
      <c r="Z682" s="79"/>
      <c r="AB682" s="80"/>
    </row>
    <row r="683" ht="14.25" customHeight="1">
      <c r="T683" s="77"/>
      <c r="U683" s="78"/>
      <c r="V683" s="78"/>
      <c r="W683" s="78"/>
      <c r="X683" s="77"/>
      <c r="Z683" s="79"/>
      <c r="AB683" s="80"/>
    </row>
    <row r="684" ht="14.25" customHeight="1">
      <c r="T684" s="77"/>
      <c r="U684" s="78"/>
      <c r="V684" s="78"/>
      <c r="W684" s="78"/>
      <c r="X684" s="77"/>
      <c r="Z684" s="79"/>
      <c r="AB684" s="80"/>
    </row>
    <row r="685" ht="14.25" customHeight="1">
      <c r="T685" s="77"/>
      <c r="U685" s="78"/>
      <c r="V685" s="78"/>
      <c r="W685" s="78"/>
      <c r="X685" s="77"/>
      <c r="Z685" s="79"/>
      <c r="AB685" s="80"/>
    </row>
    <row r="686" ht="14.25" customHeight="1">
      <c r="T686" s="77"/>
      <c r="U686" s="78"/>
      <c r="V686" s="78"/>
      <c r="W686" s="78"/>
      <c r="X686" s="77"/>
      <c r="Z686" s="79"/>
      <c r="AB686" s="80"/>
    </row>
    <row r="687" ht="14.25" customHeight="1">
      <c r="T687" s="77"/>
      <c r="U687" s="78"/>
      <c r="V687" s="78"/>
      <c r="W687" s="78"/>
      <c r="X687" s="77"/>
      <c r="Z687" s="79"/>
      <c r="AB687" s="80"/>
    </row>
    <row r="688" ht="14.25" customHeight="1">
      <c r="T688" s="77"/>
      <c r="U688" s="78"/>
      <c r="V688" s="78"/>
      <c r="W688" s="78"/>
      <c r="X688" s="77"/>
      <c r="Z688" s="79"/>
      <c r="AB688" s="80"/>
    </row>
    <row r="689" ht="14.25" customHeight="1">
      <c r="T689" s="77"/>
      <c r="U689" s="78"/>
      <c r="V689" s="78"/>
      <c r="W689" s="78"/>
      <c r="X689" s="77"/>
      <c r="Z689" s="79"/>
      <c r="AB689" s="80"/>
    </row>
    <row r="690" ht="14.25" customHeight="1">
      <c r="T690" s="77"/>
      <c r="U690" s="78"/>
      <c r="V690" s="78"/>
      <c r="W690" s="78"/>
      <c r="X690" s="77"/>
      <c r="Z690" s="79"/>
      <c r="AB690" s="80"/>
    </row>
    <row r="691" ht="14.25" customHeight="1">
      <c r="T691" s="77"/>
      <c r="U691" s="78"/>
      <c r="V691" s="78"/>
      <c r="W691" s="78"/>
      <c r="X691" s="77"/>
      <c r="Z691" s="79"/>
      <c r="AB691" s="80"/>
    </row>
    <row r="692" ht="14.25" customHeight="1">
      <c r="T692" s="77"/>
      <c r="U692" s="78"/>
      <c r="V692" s="78"/>
      <c r="W692" s="78"/>
      <c r="X692" s="77"/>
      <c r="Z692" s="79"/>
      <c r="AB692" s="80"/>
    </row>
    <row r="693" ht="14.25" customHeight="1">
      <c r="T693" s="77"/>
      <c r="U693" s="78"/>
      <c r="V693" s="78"/>
      <c r="W693" s="78"/>
      <c r="X693" s="77"/>
      <c r="Z693" s="79"/>
      <c r="AB693" s="80"/>
    </row>
    <row r="694" ht="14.25" customHeight="1">
      <c r="T694" s="77"/>
      <c r="U694" s="78"/>
      <c r="V694" s="78"/>
      <c r="W694" s="78"/>
      <c r="X694" s="77"/>
      <c r="Z694" s="79"/>
      <c r="AB694" s="80"/>
    </row>
    <row r="695" ht="14.25" customHeight="1">
      <c r="T695" s="77"/>
      <c r="U695" s="78"/>
      <c r="V695" s="78"/>
      <c r="W695" s="78"/>
      <c r="X695" s="77"/>
      <c r="Z695" s="79"/>
      <c r="AB695" s="80"/>
    </row>
    <row r="696" ht="14.25" customHeight="1">
      <c r="T696" s="77"/>
      <c r="U696" s="78"/>
      <c r="V696" s="78"/>
      <c r="W696" s="78"/>
      <c r="X696" s="77"/>
      <c r="Z696" s="79"/>
      <c r="AB696" s="80"/>
    </row>
    <row r="697" ht="14.25" customHeight="1">
      <c r="T697" s="77"/>
      <c r="U697" s="78"/>
      <c r="V697" s="78"/>
      <c r="W697" s="78"/>
      <c r="X697" s="77"/>
      <c r="Z697" s="79"/>
      <c r="AB697" s="80"/>
    </row>
    <row r="698" ht="14.25" customHeight="1">
      <c r="T698" s="77"/>
      <c r="U698" s="78"/>
      <c r="V698" s="78"/>
      <c r="W698" s="78"/>
      <c r="X698" s="77"/>
      <c r="Z698" s="79"/>
      <c r="AB698" s="80"/>
    </row>
    <row r="699" ht="14.25" customHeight="1">
      <c r="T699" s="77"/>
      <c r="U699" s="78"/>
      <c r="V699" s="78"/>
      <c r="W699" s="78"/>
      <c r="X699" s="77"/>
      <c r="Z699" s="79"/>
      <c r="AB699" s="80"/>
    </row>
    <row r="700" ht="14.25" customHeight="1">
      <c r="T700" s="77"/>
      <c r="U700" s="78"/>
      <c r="V700" s="78"/>
      <c r="W700" s="78"/>
      <c r="X700" s="77"/>
      <c r="Z700" s="79"/>
      <c r="AB700" s="80"/>
    </row>
    <row r="701" ht="14.25" customHeight="1">
      <c r="T701" s="77"/>
      <c r="U701" s="78"/>
      <c r="V701" s="78"/>
      <c r="W701" s="78"/>
      <c r="X701" s="77"/>
      <c r="Z701" s="79"/>
      <c r="AB701" s="80"/>
    </row>
    <row r="702" ht="14.25" customHeight="1">
      <c r="T702" s="77"/>
      <c r="U702" s="78"/>
      <c r="V702" s="78"/>
      <c r="W702" s="78"/>
      <c r="X702" s="77"/>
      <c r="Z702" s="79"/>
      <c r="AB702" s="80"/>
    </row>
    <row r="703" ht="14.25" customHeight="1">
      <c r="T703" s="77"/>
      <c r="U703" s="78"/>
      <c r="V703" s="78"/>
      <c r="W703" s="78"/>
      <c r="X703" s="77"/>
      <c r="Z703" s="79"/>
      <c r="AB703" s="80"/>
    </row>
    <row r="704" ht="14.25" customHeight="1">
      <c r="T704" s="77"/>
      <c r="U704" s="78"/>
      <c r="V704" s="78"/>
      <c r="W704" s="78"/>
      <c r="X704" s="77"/>
      <c r="Z704" s="79"/>
      <c r="AB704" s="80"/>
    </row>
    <row r="705" ht="14.25" customHeight="1">
      <c r="T705" s="77"/>
      <c r="U705" s="78"/>
      <c r="V705" s="78"/>
      <c r="W705" s="78"/>
      <c r="X705" s="77"/>
      <c r="Z705" s="79"/>
      <c r="AB705" s="80"/>
    </row>
    <row r="706" ht="14.25" customHeight="1">
      <c r="T706" s="77"/>
      <c r="U706" s="78"/>
      <c r="V706" s="78"/>
      <c r="W706" s="78"/>
      <c r="X706" s="77"/>
      <c r="Z706" s="79"/>
      <c r="AB706" s="80"/>
    </row>
    <row r="707" ht="14.25" customHeight="1">
      <c r="T707" s="77"/>
      <c r="U707" s="78"/>
      <c r="V707" s="78"/>
      <c r="W707" s="78"/>
      <c r="X707" s="77"/>
      <c r="Z707" s="79"/>
      <c r="AB707" s="80"/>
    </row>
    <row r="708" ht="14.25" customHeight="1">
      <c r="T708" s="77"/>
      <c r="U708" s="78"/>
      <c r="V708" s="78"/>
      <c r="W708" s="78"/>
      <c r="X708" s="77"/>
      <c r="Z708" s="79"/>
      <c r="AB708" s="80"/>
    </row>
    <row r="709" ht="14.25" customHeight="1">
      <c r="T709" s="77"/>
      <c r="U709" s="78"/>
      <c r="V709" s="78"/>
      <c r="W709" s="78"/>
      <c r="X709" s="77"/>
      <c r="Z709" s="79"/>
      <c r="AB709" s="80"/>
    </row>
    <row r="710" ht="14.25" customHeight="1">
      <c r="T710" s="77"/>
      <c r="U710" s="78"/>
      <c r="V710" s="78"/>
      <c r="W710" s="78"/>
      <c r="X710" s="77"/>
      <c r="Z710" s="79"/>
      <c r="AB710" s="80"/>
    </row>
    <row r="711" ht="14.25" customHeight="1">
      <c r="T711" s="77"/>
      <c r="U711" s="78"/>
      <c r="V711" s="78"/>
      <c r="W711" s="78"/>
      <c r="X711" s="77"/>
      <c r="Z711" s="79"/>
      <c r="AB711" s="80"/>
    </row>
    <row r="712" ht="14.25" customHeight="1">
      <c r="T712" s="77"/>
      <c r="U712" s="78"/>
      <c r="V712" s="78"/>
      <c r="W712" s="78"/>
      <c r="X712" s="77"/>
      <c r="Z712" s="79"/>
      <c r="AB712" s="80"/>
    </row>
    <row r="713" ht="14.25" customHeight="1">
      <c r="T713" s="77"/>
      <c r="U713" s="78"/>
      <c r="V713" s="78"/>
      <c r="W713" s="78"/>
      <c r="X713" s="77"/>
      <c r="Z713" s="79"/>
      <c r="AB713" s="80"/>
    </row>
    <row r="714" ht="14.25" customHeight="1">
      <c r="T714" s="77"/>
      <c r="U714" s="78"/>
      <c r="V714" s="78"/>
      <c r="W714" s="78"/>
      <c r="X714" s="77"/>
      <c r="Z714" s="79"/>
      <c r="AB714" s="80"/>
    </row>
    <row r="715" ht="14.25" customHeight="1">
      <c r="T715" s="77"/>
      <c r="U715" s="78"/>
      <c r="V715" s="78"/>
      <c r="W715" s="78"/>
      <c r="X715" s="77"/>
      <c r="Z715" s="79"/>
      <c r="AB715" s="80"/>
    </row>
    <row r="716" ht="14.25" customHeight="1">
      <c r="T716" s="77"/>
      <c r="U716" s="78"/>
      <c r="V716" s="78"/>
      <c r="W716" s="78"/>
      <c r="X716" s="77"/>
      <c r="Z716" s="79"/>
      <c r="AB716" s="80"/>
    </row>
    <row r="717" ht="14.25" customHeight="1">
      <c r="T717" s="77"/>
      <c r="U717" s="78"/>
      <c r="V717" s="78"/>
      <c r="W717" s="78"/>
      <c r="X717" s="77"/>
      <c r="Z717" s="79"/>
      <c r="AB717" s="80"/>
    </row>
    <row r="718" ht="14.25" customHeight="1">
      <c r="T718" s="77"/>
      <c r="U718" s="78"/>
      <c r="V718" s="78"/>
      <c r="W718" s="78"/>
      <c r="X718" s="77"/>
      <c r="Z718" s="79"/>
      <c r="AB718" s="80"/>
    </row>
    <row r="719" ht="14.25" customHeight="1">
      <c r="T719" s="77"/>
      <c r="U719" s="78"/>
      <c r="V719" s="78"/>
      <c r="W719" s="78"/>
      <c r="X719" s="77"/>
      <c r="Z719" s="79"/>
      <c r="AB719" s="80"/>
    </row>
    <row r="720" ht="14.25" customHeight="1">
      <c r="T720" s="77"/>
      <c r="U720" s="78"/>
      <c r="V720" s="78"/>
      <c r="W720" s="78"/>
      <c r="X720" s="77"/>
      <c r="Z720" s="79"/>
      <c r="AB720" s="80"/>
    </row>
    <row r="721" ht="14.25" customHeight="1">
      <c r="T721" s="77"/>
      <c r="U721" s="78"/>
      <c r="V721" s="78"/>
      <c r="W721" s="78"/>
      <c r="X721" s="77"/>
      <c r="Z721" s="79"/>
      <c r="AB721" s="80"/>
    </row>
    <row r="722" ht="14.25" customHeight="1">
      <c r="T722" s="77"/>
      <c r="U722" s="78"/>
      <c r="V722" s="78"/>
      <c r="W722" s="78"/>
      <c r="X722" s="77"/>
      <c r="Z722" s="79"/>
      <c r="AB722" s="80"/>
    </row>
    <row r="723" ht="14.25" customHeight="1">
      <c r="T723" s="77"/>
      <c r="U723" s="78"/>
      <c r="V723" s="78"/>
      <c r="W723" s="78"/>
      <c r="X723" s="77"/>
      <c r="Z723" s="79"/>
      <c r="AB723" s="80"/>
    </row>
    <row r="724" ht="14.25" customHeight="1">
      <c r="T724" s="77"/>
      <c r="U724" s="78"/>
      <c r="V724" s="78"/>
      <c r="W724" s="78"/>
      <c r="X724" s="77"/>
      <c r="Z724" s="79"/>
      <c r="AB724" s="80"/>
    </row>
    <row r="725" ht="14.25" customHeight="1">
      <c r="T725" s="77"/>
      <c r="U725" s="78"/>
      <c r="V725" s="78"/>
      <c r="W725" s="78"/>
      <c r="X725" s="77"/>
      <c r="Z725" s="79"/>
      <c r="AB725" s="80"/>
    </row>
    <row r="726" ht="14.25" customHeight="1">
      <c r="T726" s="77"/>
      <c r="U726" s="78"/>
      <c r="V726" s="78"/>
      <c r="W726" s="78"/>
      <c r="X726" s="77"/>
      <c r="Z726" s="79"/>
      <c r="AB726" s="80"/>
    </row>
    <row r="727" ht="14.25" customHeight="1">
      <c r="T727" s="77"/>
      <c r="U727" s="78"/>
      <c r="V727" s="78"/>
      <c r="W727" s="78"/>
      <c r="X727" s="77"/>
      <c r="Z727" s="79"/>
      <c r="AB727" s="80"/>
    </row>
    <row r="728" ht="14.25" customHeight="1">
      <c r="T728" s="77"/>
      <c r="U728" s="78"/>
      <c r="V728" s="78"/>
      <c r="W728" s="78"/>
      <c r="X728" s="77"/>
      <c r="Z728" s="79"/>
      <c r="AB728" s="80"/>
    </row>
    <row r="729" ht="14.25" customHeight="1">
      <c r="T729" s="77"/>
      <c r="U729" s="78"/>
      <c r="V729" s="78"/>
      <c r="W729" s="78"/>
      <c r="X729" s="77"/>
      <c r="Z729" s="79"/>
      <c r="AB729" s="80"/>
    </row>
    <row r="730" ht="14.25" customHeight="1">
      <c r="T730" s="77"/>
      <c r="U730" s="78"/>
      <c r="V730" s="78"/>
      <c r="W730" s="78"/>
      <c r="X730" s="77"/>
      <c r="Z730" s="79"/>
      <c r="AB730" s="80"/>
    </row>
    <row r="731" ht="14.25" customHeight="1">
      <c r="T731" s="77"/>
      <c r="U731" s="78"/>
      <c r="V731" s="78"/>
      <c r="W731" s="78"/>
      <c r="X731" s="77"/>
      <c r="Z731" s="79"/>
      <c r="AB731" s="80"/>
    </row>
    <row r="732" ht="14.25" customHeight="1">
      <c r="T732" s="77"/>
      <c r="U732" s="78"/>
      <c r="V732" s="78"/>
      <c r="W732" s="78"/>
      <c r="X732" s="77"/>
      <c r="Z732" s="79"/>
      <c r="AB732" s="80"/>
    </row>
    <row r="733" ht="14.25" customHeight="1">
      <c r="T733" s="77"/>
      <c r="U733" s="78"/>
      <c r="V733" s="78"/>
      <c r="W733" s="78"/>
      <c r="X733" s="77"/>
      <c r="Z733" s="79"/>
      <c r="AB733" s="80"/>
    </row>
    <row r="734" ht="14.25" customHeight="1">
      <c r="T734" s="77"/>
      <c r="U734" s="78"/>
      <c r="V734" s="78"/>
      <c r="W734" s="78"/>
      <c r="X734" s="77"/>
      <c r="Z734" s="79"/>
      <c r="AB734" s="80"/>
    </row>
    <row r="735" ht="14.25" customHeight="1">
      <c r="T735" s="77"/>
      <c r="U735" s="78"/>
      <c r="V735" s="78"/>
      <c r="W735" s="78"/>
      <c r="X735" s="77"/>
      <c r="Z735" s="79"/>
      <c r="AB735" s="80"/>
    </row>
    <row r="736" ht="14.25" customHeight="1">
      <c r="T736" s="77"/>
      <c r="U736" s="78"/>
      <c r="V736" s="78"/>
      <c r="W736" s="78"/>
      <c r="X736" s="77"/>
      <c r="Z736" s="79"/>
      <c r="AB736" s="80"/>
    </row>
    <row r="737" ht="14.25" customHeight="1">
      <c r="T737" s="77"/>
      <c r="U737" s="78"/>
      <c r="V737" s="78"/>
      <c r="W737" s="78"/>
      <c r="X737" s="77"/>
      <c r="Z737" s="79"/>
      <c r="AB737" s="80"/>
    </row>
    <row r="738" ht="14.25" customHeight="1">
      <c r="T738" s="77"/>
      <c r="U738" s="78"/>
      <c r="V738" s="78"/>
      <c r="W738" s="78"/>
      <c r="X738" s="77"/>
      <c r="Z738" s="79"/>
      <c r="AB738" s="80"/>
    </row>
    <row r="739" ht="14.25" customHeight="1">
      <c r="T739" s="77"/>
      <c r="U739" s="78"/>
      <c r="V739" s="78"/>
      <c r="W739" s="78"/>
      <c r="X739" s="77"/>
      <c r="Z739" s="79"/>
      <c r="AB739" s="80"/>
    </row>
    <row r="740" ht="14.25" customHeight="1">
      <c r="T740" s="77"/>
      <c r="U740" s="78"/>
      <c r="V740" s="78"/>
      <c r="W740" s="78"/>
      <c r="X740" s="77"/>
      <c r="Z740" s="79"/>
      <c r="AB740" s="80"/>
    </row>
    <row r="741" ht="14.25" customHeight="1">
      <c r="T741" s="77"/>
      <c r="U741" s="78"/>
      <c r="V741" s="78"/>
      <c r="W741" s="78"/>
      <c r="X741" s="77"/>
      <c r="Z741" s="79"/>
      <c r="AB741" s="80"/>
    </row>
    <row r="742" ht="14.25" customHeight="1">
      <c r="T742" s="77"/>
      <c r="U742" s="78"/>
      <c r="V742" s="78"/>
      <c r="W742" s="78"/>
      <c r="X742" s="77"/>
      <c r="Z742" s="79"/>
      <c r="AB742" s="80"/>
    </row>
    <row r="743" ht="14.25" customHeight="1">
      <c r="T743" s="77"/>
      <c r="U743" s="78"/>
      <c r="V743" s="78"/>
      <c r="W743" s="78"/>
      <c r="X743" s="77"/>
      <c r="Z743" s="79"/>
      <c r="AB743" s="80"/>
    </row>
    <row r="744" ht="14.25" customHeight="1">
      <c r="T744" s="77"/>
      <c r="U744" s="78"/>
      <c r="V744" s="78"/>
      <c r="W744" s="78"/>
      <c r="X744" s="77"/>
      <c r="Z744" s="79"/>
      <c r="AB744" s="80"/>
    </row>
    <row r="745" ht="14.25" customHeight="1">
      <c r="T745" s="77"/>
      <c r="U745" s="78"/>
      <c r="V745" s="78"/>
      <c r="W745" s="78"/>
      <c r="X745" s="77"/>
      <c r="Z745" s="79"/>
      <c r="AB745" s="80"/>
    </row>
    <row r="746" ht="14.25" customHeight="1">
      <c r="T746" s="77"/>
      <c r="U746" s="78"/>
      <c r="V746" s="78"/>
      <c r="W746" s="78"/>
      <c r="X746" s="77"/>
      <c r="Z746" s="79"/>
      <c r="AB746" s="80"/>
    </row>
    <row r="747" ht="14.25" customHeight="1">
      <c r="T747" s="77"/>
      <c r="U747" s="78"/>
      <c r="V747" s="78"/>
      <c r="W747" s="78"/>
      <c r="X747" s="77"/>
      <c r="Z747" s="79"/>
      <c r="AB747" s="80"/>
    </row>
    <row r="748" ht="14.25" customHeight="1">
      <c r="T748" s="77"/>
      <c r="U748" s="78"/>
      <c r="V748" s="78"/>
      <c r="W748" s="78"/>
      <c r="X748" s="77"/>
      <c r="Z748" s="79"/>
      <c r="AB748" s="80"/>
    </row>
    <row r="749" ht="14.25" customHeight="1">
      <c r="T749" s="77"/>
      <c r="U749" s="78"/>
      <c r="V749" s="78"/>
      <c r="W749" s="78"/>
      <c r="X749" s="77"/>
      <c r="Z749" s="79"/>
      <c r="AB749" s="80"/>
    </row>
    <row r="750" ht="14.25" customHeight="1">
      <c r="T750" s="77"/>
      <c r="U750" s="78"/>
      <c r="V750" s="78"/>
      <c r="W750" s="78"/>
      <c r="X750" s="77"/>
      <c r="Z750" s="79"/>
      <c r="AB750" s="80"/>
    </row>
    <row r="751" ht="14.25" customHeight="1">
      <c r="T751" s="77"/>
      <c r="U751" s="78"/>
      <c r="V751" s="78"/>
      <c r="W751" s="78"/>
      <c r="X751" s="77"/>
      <c r="Z751" s="79"/>
      <c r="AB751" s="80"/>
    </row>
    <row r="752" ht="14.25" customHeight="1">
      <c r="T752" s="77"/>
      <c r="U752" s="78"/>
      <c r="V752" s="78"/>
      <c r="W752" s="78"/>
      <c r="X752" s="77"/>
      <c r="Z752" s="79"/>
      <c r="AB752" s="80"/>
    </row>
    <row r="753" ht="14.25" customHeight="1">
      <c r="T753" s="77"/>
      <c r="U753" s="78"/>
      <c r="V753" s="78"/>
      <c r="W753" s="78"/>
      <c r="X753" s="77"/>
      <c r="Z753" s="79"/>
      <c r="AB753" s="80"/>
    </row>
    <row r="754" ht="14.25" customHeight="1">
      <c r="T754" s="77"/>
      <c r="U754" s="78"/>
      <c r="V754" s="78"/>
      <c r="W754" s="78"/>
      <c r="X754" s="77"/>
      <c r="Z754" s="79"/>
      <c r="AB754" s="80"/>
    </row>
    <row r="755" ht="14.25" customHeight="1">
      <c r="T755" s="77"/>
      <c r="U755" s="78"/>
      <c r="V755" s="78"/>
      <c r="W755" s="78"/>
      <c r="X755" s="77"/>
      <c r="Z755" s="79"/>
      <c r="AB755" s="80"/>
    </row>
    <row r="756" ht="14.25" customHeight="1">
      <c r="T756" s="77"/>
      <c r="U756" s="78"/>
      <c r="V756" s="78"/>
      <c r="W756" s="78"/>
      <c r="X756" s="77"/>
      <c r="Z756" s="79"/>
      <c r="AB756" s="80"/>
    </row>
    <row r="757" ht="14.25" customHeight="1">
      <c r="T757" s="77"/>
      <c r="U757" s="78"/>
      <c r="V757" s="78"/>
      <c r="W757" s="78"/>
      <c r="X757" s="77"/>
      <c r="Z757" s="79"/>
      <c r="AB757" s="80"/>
    </row>
    <row r="758" ht="14.25" customHeight="1">
      <c r="T758" s="77"/>
      <c r="U758" s="78"/>
      <c r="V758" s="78"/>
      <c r="W758" s="78"/>
      <c r="X758" s="77"/>
      <c r="Z758" s="79"/>
      <c r="AB758" s="80"/>
    </row>
    <row r="759" ht="14.25" customHeight="1">
      <c r="T759" s="77"/>
      <c r="U759" s="78"/>
      <c r="V759" s="78"/>
      <c r="W759" s="78"/>
      <c r="X759" s="77"/>
      <c r="Z759" s="79"/>
      <c r="AB759" s="80"/>
    </row>
    <row r="760" ht="14.25" customHeight="1">
      <c r="T760" s="77"/>
      <c r="U760" s="78"/>
      <c r="V760" s="78"/>
      <c r="W760" s="78"/>
      <c r="X760" s="77"/>
      <c r="Z760" s="79"/>
      <c r="AB760" s="80"/>
    </row>
    <row r="761" ht="14.25" customHeight="1">
      <c r="T761" s="77"/>
      <c r="U761" s="78"/>
      <c r="V761" s="78"/>
      <c r="W761" s="78"/>
      <c r="X761" s="77"/>
      <c r="Z761" s="79"/>
      <c r="AB761" s="80"/>
    </row>
    <row r="762" ht="14.25" customHeight="1">
      <c r="T762" s="77"/>
      <c r="U762" s="78"/>
      <c r="V762" s="78"/>
      <c r="W762" s="78"/>
      <c r="X762" s="77"/>
      <c r="Z762" s="79"/>
      <c r="AB762" s="80"/>
    </row>
    <row r="763" ht="14.25" customHeight="1">
      <c r="T763" s="77"/>
      <c r="U763" s="78"/>
      <c r="V763" s="78"/>
      <c r="W763" s="78"/>
      <c r="X763" s="77"/>
      <c r="Z763" s="79"/>
      <c r="AB763" s="80"/>
    </row>
    <row r="764" ht="14.25" customHeight="1">
      <c r="T764" s="77"/>
      <c r="U764" s="78"/>
      <c r="V764" s="78"/>
      <c r="W764" s="78"/>
      <c r="X764" s="77"/>
      <c r="Z764" s="79"/>
      <c r="AB764" s="80"/>
    </row>
    <row r="765" ht="14.25" customHeight="1">
      <c r="T765" s="77"/>
      <c r="U765" s="78"/>
      <c r="V765" s="78"/>
      <c r="W765" s="78"/>
      <c r="X765" s="77"/>
      <c r="Z765" s="79"/>
      <c r="AB765" s="80"/>
    </row>
    <row r="766" ht="14.25" customHeight="1">
      <c r="T766" s="77"/>
      <c r="U766" s="78"/>
      <c r="V766" s="78"/>
      <c r="W766" s="78"/>
      <c r="X766" s="77"/>
      <c r="Z766" s="79"/>
      <c r="AB766" s="80"/>
    </row>
    <row r="767" ht="14.25" customHeight="1">
      <c r="T767" s="77"/>
      <c r="U767" s="78"/>
      <c r="V767" s="78"/>
      <c r="W767" s="78"/>
      <c r="X767" s="77"/>
      <c r="Z767" s="79"/>
      <c r="AB767" s="80"/>
    </row>
    <row r="768" ht="14.25" customHeight="1">
      <c r="T768" s="77"/>
      <c r="U768" s="78"/>
      <c r="V768" s="78"/>
      <c r="W768" s="78"/>
      <c r="X768" s="77"/>
      <c r="Z768" s="79"/>
      <c r="AB768" s="80"/>
    </row>
    <row r="769" ht="14.25" customHeight="1">
      <c r="T769" s="77"/>
      <c r="U769" s="78"/>
      <c r="V769" s="78"/>
      <c r="W769" s="78"/>
      <c r="X769" s="77"/>
      <c r="Z769" s="79"/>
      <c r="AB769" s="80"/>
    </row>
    <row r="770" ht="14.25" customHeight="1">
      <c r="T770" s="77"/>
      <c r="U770" s="78"/>
      <c r="V770" s="78"/>
      <c r="W770" s="78"/>
      <c r="X770" s="77"/>
      <c r="Z770" s="79"/>
      <c r="AB770" s="80"/>
    </row>
    <row r="771" ht="14.25" customHeight="1">
      <c r="T771" s="77"/>
      <c r="U771" s="78"/>
      <c r="V771" s="78"/>
      <c r="W771" s="78"/>
      <c r="X771" s="77"/>
      <c r="Z771" s="79"/>
      <c r="AB771" s="80"/>
    </row>
    <row r="772" ht="14.25" customHeight="1">
      <c r="T772" s="77"/>
      <c r="U772" s="78"/>
      <c r="V772" s="78"/>
      <c r="W772" s="78"/>
      <c r="X772" s="77"/>
      <c r="Z772" s="79"/>
      <c r="AB772" s="80"/>
    </row>
    <row r="773" ht="14.25" customHeight="1">
      <c r="T773" s="77"/>
      <c r="U773" s="78"/>
      <c r="V773" s="78"/>
      <c r="W773" s="78"/>
      <c r="X773" s="77"/>
      <c r="Z773" s="79"/>
      <c r="AB773" s="80"/>
    </row>
    <row r="774" ht="14.25" customHeight="1">
      <c r="T774" s="77"/>
      <c r="U774" s="78"/>
      <c r="V774" s="78"/>
      <c r="W774" s="78"/>
      <c r="X774" s="77"/>
      <c r="Z774" s="79"/>
      <c r="AB774" s="80"/>
    </row>
    <row r="775" ht="14.25" customHeight="1">
      <c r="T775" s="77"/>
      <c r="U775" s="78"/>
      <c r="V775" s="78"/>
      <c r="W775" s="78"/>
      <c r="X775" s="77"/>
      <c r="Z775" s="79"/>
      <c r="AB775" s="80"/>
    </row>
    <row r="776" ht="14.25" customHeight="1">
      <c r="T776" s="77"/>
      <c r="U776" s="78"/>
      <c r="V776" s="78"/>
      <c r="W776" s="78"/>
      <c r="X776" s="77"/>
      <c r="Z776" s="79"/>
      <c r="AB776" s="80"/>
    </row>
    <row r="777" ht="14.25" customHeight="1">
      <c r="T777" s="77"/>
      <c r="U777" s="78"/>
      <c r="V777" s="78"/>
      <c r="W777" s="78"/>
      <c r="X777" s="77"/>
      <c r="Z777" s="79"/>
      <c r="AB777" s="80"/>
    </row>
    <row r="778" ht="14.25" customHeight="1">
      <c r="T778" s="77"/>
      <c r="U778" s="78"/>
      <c r="V778" s="78"/>
      <c r="W778" s="78"/>
      <c r="X778" s="77"/>
      <c r="Z778" s="79"/>
      <c r="AB778" s="80"/>
    </row>
    <row r="779" ht="14.25" customHeight="1">
      <c r="T779" s="77"/>
      <c r="U779" s="78"/>
      <c r="V779" s="78"/>
      <c r="W779" s="78"/>
      <c r="X779" s="77"/>
      <c r="Z779" s="79"/>
      <c r="AB779" s="80"/>
    </row>
    <row r="780" ht="14.25" customHeight="1">
      <c r="T780" s="77"/>
      <c r="U780" s="78"/>
      <c r="V780" s="78"/>
      <c r="W780" s="78"/>
      <c r="X780" s="77"/>
      <c r="Z780" s="79"/>
      <c r="AB780" s="80"/>
    </row>
    <row r="781" ht="14.25" customHeight="1">
      <c r="T781" s="77"/>
      <c r="U781" s="78"/>
      <c r="V781" s="78"/>
      <c r="W781" s="78"/>
      <c r="X781" s="77"/>
      <c r="Z781" s="79"/>
      <c r="AB781" s="80"/>
    </row>
    <row r="782" ht="14.25" customHeight="1">
      <c r="T782" s="77"/>
      <c r="U782" s="78"/>
      <c r="V782" s="78"/>
      <c r="W782" s="78"/>
      <c r="X782" s="77"/>
      <c r="Z782" s="79"/>
      <c r="AB782" s="80"/>
    </row>
    <row r="783" ht="14.25" customHeight="1">
      <c r="T783" s="77"/>
      <c r="U783" s="78"/>
      <c r="V783" s="78"/>
      <c r="W783" s="78"/>
      <c r="X783" s="77"/>
      <c r="Z783" s="79"/>
      <c r="AB783" s="80"/>
    </row>
    <row r="784" ht="14.25" customHeight="1">
      <c r="T784" s="77"/>
      <c r="U784" s="78"/>
      <c r="V784" s="78"/>
      <c r="W784" s="78"/>
      <c r="X784" s="77"/>
      <c r="Z784" s="79"/>
      <c r="AB784" s="80"/>
    </row>
    <row r="785" ht="14.25" customHeight="1">
      <c r="T785" s="77"/>
      <c r="U785" s="78"/>
      <c r="V785" s="78"/>
      <c r="W785" s="78"/>
      <c r="X785" s="77"/>
      <c r="Z785" s="79"/>
      <c r="AB785" s="80"/>
    </row>
    <row r="786" ht="14.25" customHeight="1">
      <c r="T786" s="77"/>
      <c r="U786" s="78"/>
      <c r="V786" s="78"/>
      <c r="W786" s="78"/>
      <c r="X786" s="77"/>
      <c r="Z786" s="79"/>
      <c r="AB786" s="80"/>
    </row>
    <row r="787" ht="14.25" customHeight="1">
      <c r="T787" s="77"/>
      <c r="U787" s="78"/>
      <c r="V787" s="78"/>
      <c r="W787" s="78"/>
      <c r="X787" s="77"/>
      <c r="Z787" s="79"/>
      <c r="AB787" s="80"/>
    </row>
    <row r="788" ht="14.25" customHeight="1">
      <c r="T788" s="77"/>
      <c r="U788" s="78"/>
      <c r="V788" s="78"/>
      <c r="W788" s="78"/>
      <c r="X788" s="77"/>
      <c r="Z788" s="79"/>
      <c r="AB788" s="80"/>
    </row>
    <row r="789" ht="14.25" customHeight="1">
      <c r="T789" s="77"/>
      <c r="U789" s="78"/>
      <c r="V789" s="78"/>
      <c r="W789" s="78"/>
      <c r="X789" s="77"/>
      <c r="Z789" s="79"/>
      <c r="AB789" s="80"/>
    </row>
    <row r="790" ht="14.25" customHeight="1">
      <c r="T790" s="77"/>
      <c r="U790" s="78"/>
      <c r="V790" s="78"/>
      <c r="W790" s="78"/>
      <c r="X790" s="77"/>
      <c r="Z790" s="79"/>
      <c r="AB790" s="80"/>
    </row>
    <row r="791" ht="14.25" customHeight="1">
      <c r="T791" s="77"/>
      <c r="U791" s="78"/>
      <c r="V791" s="78"/>
      <c r="W791" s="78"/>
      <c r="X791" s="77"/>
      <c r="Z791" s="79"/>
      <c r="AB791" s="80"/>
    </row>
    <row r="792" ht="14.25" customHeight="1">
      <c r="T792" s="77"/>
      <c r="U792" s="78"/>
      <c r="V792" s="78"/>
      <c r="W792" s="78"/>
      <c r="X792" s="77"/>
      <c r="Z792" s="79"/>
      <c r="AB792" s="80"/>
    </row>
    <row r="793" ht="14.25" customHeight="1">
      <c r="T793" s="77"/>
      <c r="U793" s="78"/>
      <c r="V793" s="78"/>
      <c r="W793" s="78"/>
      <c r="X793" s="77"/>
      <c r="Z793" s="79"/>
      <c r="AB793" s="80"/>
    </row>
    <row r="794" ht="14.25" customHeight="1">
      <c r="T794" s="77"/>
      <c r="U794" s="78"/>
      <c r="V794" s="78"/>
      <c r="W794" s="78"/>
      <c r="X794" s="77"/>
      <c r="Z794" s="79"/>
      <c r="AB794" s="80"/>
    </row>
    <row r="795" ht="14.25" customHeight="1">
      <c r="T795" s="77"/>
      <c r="U795" s="78"/>
      <c r="V795" s="78"/>
      <c r="W795" s="78"/>
      <c r="X795" s="77"/>
      <c r="Z795" s="79"/>
      <c r="AB795" s="80"/>
    </row>
    <row r="796" ht="14.25" customHeight="1">
      <c r="T796" s="77"/>
      <c r="U796" s="78"/>
      <c r="V796" s="78"/>
      <c r="W796" s="78"/>
      <c r="X796" s="77"/>
      <c r="Z796" s="79"/>
      <c r="AB796" s="80"/>
    </row>
    <row r="797" ht="14.25" customHeight="1">
      <c r="T797" s="77"/>
      <c r="U797" s="78"/>
      <c r="V797" s="78"/>
      <c r="W797" s="78"/>
      <c r="X797" s="77"/>
      <c r="Z797" s="79"/>
      <c r="AB797" s="80"/>
    </row>
    <row r="798" ht="14.25" customHeight="1">
      <c r="T798" s="77"/>
      <c r="U798" s="78"/>
      <c r="V798" s="78"/>
      <c r="W798" s="78"/>
      <c r="X798" s="77"/>
      <c r="Z798" s="79"/>
      <c r="AB798" s="80"/>
    </row>
    <row r="799" ht="14.25" customHeight="1">
      <c r="T799" s="77"/>
      <c r="U799" s="78"/>
      <c r="V799" s="78"/>
      <c r="W799" s="78"/>
      <c r="X799" s="77"/>
      <c r="Z799" s="79"/>
      <c r="AB799" s="80"/>
    </row>
    <row r="800" ht="14.25" customHeight="1">
      <c r="T800" s="77"/>
      <c r="U800" s="78"/>
      <c r="V800" s="78"/>
      <c r="W800" s="78"/>
      <c r="X800" s="77"/>
      <c r="Z800" s="79"/>
      <c r="AB800" s="80"/>
    </row>
    <row r="801" ht="14.25" customHeight="1">
      <c r="T801" s="77"/>
      <c r="U801" s="78"/>
      <c r="V801" s="78"/>
      <c r="W801" s="78"/>
      <c r="X801" s="77"/>
      <c r="Z801" s="79"/>
      <c r="AB801" s="80"/>
    </row>
    <row r="802" ht="14.25" customHeight="1">
      <c r="T802" s="77"/>
      <c r="U802" s="78"/>
      <c r="V802" s="78"/>
      <c r="W802" s="78"/>
      <c r="X802" s="77"/>
      <c r="Z802" s="79"/>
      <c r="AB802" s="80"/>
    </row>
    <row r="803" ht="14.25" customHeight="1">
      <c r="T803" s="77"/>
      <c r="U803" s="78"/>
      <c r="V803" s="78"/>
      <c r="W803" s="78"/>
      <c r="X803" s="77"/>
      <c r="Z803" s="79"/>
      <c r="AB803" s="80"/>
    </row>
    <row r="804" ht="14.25" customHeight="1">
      <c r="T804" s="77"/>
      <c r="U804" s="78"/>
      <c r="V804" s="78"/>
      <c r="W804" s="78"/>
      <c r="X804" s="77"/>
      <c r="Z804" s="79"/>
      <c r="AB804" s="80"/>
    </row>
    <row r="805" ht="14.25" customHeight="1">
      <c r="T805" s="77"/>
      <c r="U805" s="78"/>
      <c r="V805" s="78"/>
      <c r="W805" s="78"/>
      <c r="X805" s="77"/>
      <c r="Z805" s="79"/>
      <c r="AB805" s="80"/>
    </row>
    <row r="806" ht="14.25" customHeight="1">
      <c r="T806" s="77"/>
      <c r="U806" s="78"/>
      <c r="V806" s="78"/>
      <c r="W806" s="78"/>
      <c r="X806" s="77"/>
      <c r="Z806" s="79"/>
      <c r="AB806" s="80"/>
    </row>
    <row r="807" ht="14.25" customHeight="1">
      <c r="T807" s="77"/>
      <c r="U807" s="78"/>
      <c r="V807" s="78"/>
      <c r="W807" s="78"/>
      <c r="X807" s="77"/>
      <c r="Z807" s="79"/>
      <c r="AB807" s="80"/>
    </row>
    <row r="808" ht="14.25" customHeight="1">
      <c r="T808" s="77"/>
      <c r="U808" s="78"/>
      <c r="V808" s="78"/>
      <c r="W808" s="78"/>
      <c r="X808" s="77"/>
      <c r="Z808" s="79"/>
      <c r="AB808" s="80"/>
    </row>
    <row r="809" ht="14.25" customHeight="1">
      <c r="T809" s="77"/>
      <c r="U809" s="78"/>
      <c r="V809" s="78"/>
      <c r="W809" s="78"/>
      <c r="X809" s="77"/>
      <c r="Z809" s="79"/>
      <c r="AB809" s="80"/>
    </row>
    <row r="810" ht="14.25" customHeight="1">
      <c r="T810" s="77"/>
      <c r="U810" s="78"/>
      <c r="V810" s="78"/>
      <c r="W810" s="78"/>
      <c r="X810" s="77"/>
      <c r="Z810" s="79"/>
      <c r="AB810" s="80"/>
    </row>
    <row r="811" ht="14.25" customHeight="1">
      <c r="T811" s="77"/>
      <c r="U811" s="78"/>
      <c r="V811" s="78"/>
      <c r="W811" s="78"/>
      <c r="X811" s="77"/>
      <c r="Z811" s="79"/>
      <c r="AB811" s="80"/>
    </row>
    <row r="812" ht="14.25" customHeight="1">
      <c r="T812" s="77"/>
      <c r="U812" s="78"/>
      <c r="V812" s="78"/>
      <c r="W812" s="78"/>
      <c r="X812" s="77"/>
      <c r="Z812" s="79"/>
      <c r="AB812" s="80"/>
    </row>
    <row r="813" ht="14.25" customHeight="1">
      <c r="T813" s="77"/>
      <c r="U813" s="78"/>
      <c r="V813" s="78"/>
      <c r="W813" s="78"/>
      <c r="X813" s="77"/>
      <c r="Z813" s="79"/>
      <c r="AB813" s="80"/>
    </row>
    <row r="814" ht="14.25" customHeight="1">
      <c r="T814" s="77"/>
      <c r="U814" s="78"/>
      <c r="V814" s="78"/>
      <c r="W814" s="78"/>
      <c r="X814" s="77"/>
      <c r="Z814" s="79"/>
      <c r="AB814" s="80"/>
    </row>
    <row r="815" ht="14.25" customHeight="1">
      <c r="T815" s="77"/>
      <c r="U815" s="78"/>
      <c r="V815" s="78"/>
      <c r="W815" s="78"/>
      <c r="X815" s="77"/>
      <c r="Z815" s="79"/>
      <c r="AB815" s="80"/>
    </row>
    <row r="816" ht="14.25" customHeight="1">
      <c r="T816" s="77"/>
      <c r="U816" s="78"/>
      <c r="V816" s="78"/>
      <c r="W816" s="78"/>
      <c r="X816" s="77"/>
      <c r="Z816" s="79"/>
      <c r="AB816" s="80"/>
    </row>
    <row r="817" ht="14.25" customHeight="1">
      <c r="T817" s="77"/>
      <c r="U817" s="78"/>
      <c r="V817" s="78"/>
      <c r="W817" s="78"/>
      <c r="X817" s="77"/>
      <c r="Z817" s="79"/>
      <c r="AB817" s="80"/>
    </row>
    <row r="818" ht="14.25" customHeight="1">
      <c r="T818" s="77"/>
      <c r="U818" s="78"/>
      <c r="V818" s="78"/>
      <c r="W818" s="78"/>
      <c r="X818" s="77"/>
      <c r="Z818" s="79"/>
      <c r="AB818" s="80"/>
    </row>
    <row r="819" ht="14.25" customHeight="1">
      <c r="T819" s="77"/>
      <c r="U819" s="78"/>
      <c r="V819" s="78"/>
      <c r="W819" s="78"/>
      <c r="X819" s="77"/>
      <c r="Z819" s="79"/>
      <c r="AB819" s="80"/>
    </row>
    <row r="820" ht="14.25" customHeight="1">
      <c r="T820" s="77"/>
      <c r="U820" s="78"/>
      <c r="V820" s="78"/>
      <c r="W820" s="78"/>
      <c r="X820" s="77"/>
      <c r="Z820" s="79"/>
      <c r="AB820" s="80"/>
    </row>
    <row r="821" ht="14.25" customHeight="1">
      <c r="T821" s="77"/>
      <c r="U821" s="78"/>
      <c r="V821" s="78"/>
      <c r="W821" s="78"/>
      <c r="X821" s="77"/>
      <c r="Z821" s="79"/>
      <c r="AB821" s="80"/>
    </row>
    <row r="822" ht="14.25" customHeight="1">
      <c r="T822" s="77"/>
      <c r="U822" s="78"/>
      <c r="V822" s="78"/>
      <c r="W822" s="78"/>
      <c r="X822" s="77"/>
      <c r="Z822" s="79"/>
      <c r="AB822" s="80"/>
    </row>
    <row r="823" ht="14.25" customHeight="1">
      <c r="T823" s="77"/>
      <c r="U823" s="78"/>
      <c r="V823" s="78"/>
      <c r="W823" s="78"/>
      <c r="X823" s="77"/>
      <c r="Z823" s="79"/>
      <c r="AB823" s="80"/>
    </row>
    <row r="824" ht="14.25" customHeight="1">
      <c r="T824" s="77"/>
      <c r="U824" s="78"/>
      <c r="V824" s="78"/>
      <c r="W824" s="78"/>
      <c r="X824" s="77"/>
      <c r="Z824" s="79"/>
      <c r="AB824" s="80"/>
    </row>
    <row r="825" ht="14.25" customHeight="1">
      <c r="T825" s="77"/>
      <c r="U825" s="78"/>
      <c r="V825" s="78"/>
      <c r="W825" s="78"/>
      <c r="X825" s="77"/>
      <c r="Z825" s="79"/>
      <c r="AB825" s="80"/>
    </row>
    <row r="826" ht="14.25" customHeight="1">
      <c r="T826" s="77"/>
      <c r="U826" s="78"/>
      <c r="V826" s="78"/>
      <c r="W826" s="78"/>
      <c r="X826" s="77"/>
      <c r="Z826" s="79"/>
      <c r="AB826" s="80"/>
    </row>
    <row r="827" ht="14.25" customHeight="1">
      <c r="T827" s="77"/>
      <c r="U827" s="78"/>
      <c r="V827" s="78"/>
      <c r="W827" s="78"/>
      <c r="X827" s="77"/>
      <c r="Z827" s="79"/>
      <c r="AB827" s="80"/>
    </row>
    <row r="828" ht="14.25" customHeight="1">
      <c r="T828" s="77"/>
      <c r="U828" s="78"/>
      <c r="V828" s="78"/>
      <c r="W828" s="78"/>
      <c r="X828" s="77"/>
      <c r="Z828" s="79"/>
      <c r="AB828" s="80"/>
    </row>
    <row r="829" ht="14.25" customHeight="1">
      <c r="T829" s="77"/>
      <c r="U829" s="78"/>
      <c r="V829" s="78"/>
      <c r="W829" s="78"/>
      <c r="X829" s="77"/>
      <c r="Z829" s="79"/>
      <c r="AB829" s="80"/>
    </row>
    <row r="830" ht="14.25" customHeight="1">
      <c r="T830" s="77"/>
      <c r="U830" s="78"/>
      <c r="V830" s="78"/>
      <c r="W830" s="78"/>
      <c r="X830" s="77"/>
      <c r="Z830" s="79"/>
      <c r="AB830" s="80"/>
    </row>
    <row r="831" ht="14.25" customHeight="1">
      <c r="T831" s="77"/>
      <c r="U831" s="78"/>
      <c r="V831" s="78"/>
      <c r="W831" s="78"/>
      <c r="X831" s="77"/>
      <c r="Z831" s="79"/>
      <c r="AB831" s="80"/>
    </row>
    <row r="832" ht="14.25" customHeight="1">
      <c r="T832" s="77"/>
      <c r="U832" s="78"/>
      <c r="V832" s="78"/>
      <c r="W832" s="78"/>
      <c r="X832" s="77"/>
      <c r="Z832" s="79"/>
      <c r="AB832" s="80"/>
    </row>
    <row r="833" ht="14.25" customHeight="1">
      <c r="T833" s="77"/>
      <c r="U833" s="78"/>
      <c r="V833" s="78"/>
      <c r="W833" s="78"/>
      <c r="X833" s="77"/>
      <c r="Z833" s="79"/>
      <c r="AB833" s="80"/>
    </row>
    <row r="834" ht="14.25" customHeight="1">
      <c r="T834" s="77"/>
      <c r="U834" s="78"/>
      <c r="V834" s="78"/>
      <c r="W834" s="78"/>
      <c r="X834" s="77"/>
      <c r="Z834" s="79"/>
      <c r="AB834" s="80"/>
    </row>
    <row r="835" ht="14.25" customHeight="1">
      <c r="T835" s="77"/>
      <c r="U835" s="78"/>
      <c r="V835" s="78"/>
      <c r="W835" s="78"/>
      <c r="X835" s="77"/>
      <c r="Z835" s="79"/>
      <c r="AB835" s="80"/>
    </row>
    <row r="836" ht="14.25" customHeight="1">
      <c r="T836" s="77"/>
      <c r="U836" s="78"/>
      <c r="V836" s="78"/>
      <c r="W836" s="78"/>
      <c r="X836" s="77"/>
      <c r="Z836" s="79"/>
      <c r="AB836" s="80"/>
    </row>
    <row r="837" ht="14.25" customHeight="1">
      <c r="T837" s="77"/>
      <c r="U837" s="78"/>
      <c r="V837" s="78"/>
      <c r="W837" s="78"/>
      <c r="X837" s="77"/>
      <c r="Z837" s="79"/>
      <c r="AB837" s="80"/>
    </row>
    <row r="838" ht="14.25" customHeight="1">
      <c r="T838" s="77"/>
      <c r="U838" s="78"/>
      <c r="V838" s="78"/>
      <c r="W838" s="78"/>
      <c r="X838" s="77"/>
      <c r="Z838" s="79"/>
      <c r="AB838" s="80"/>
    </row>
    <row r="839" ht="14.25" customHeight="1">
      <c r="T839" s="77"/>
      <c r="U839" s="78"/>
      <c r="V839" s="78"/>
      <c r="W839" s="78"/>
      <c r="X839" s="77"/>
      <c r="Z839" s="79"/>
      <c r="AB839" s="80"/>
    </row>
    <row r="840" ht="14.25" customHeight="1">
      <c r="T840" s="77"/>
      <c r="U840" s="78"/>
      <c r="V840" s="78"/>
      <c r="W840" s="78"/>
      <c r="X840" s="77"/>
      <c r="Z840" s="79"/>
      <c r="AB840" s="80"/>
    </row>
    <row r="841" ht="14.25" customHeight="1">
      <c r="T841" s="77"/>
      <c r="U841" s="78"/>
      <c r="V841" s="78"/>
      <c r="W841" s="78"/>
      <c r="X841" s="77"/>
      <c r="Z841" s="79"/>
      <c r="AB841" s="80"/>
    </row>
    <row r="842" ht="14.25" customHeight="1">
      <c r="T842" s="77"/>
      <c r="U842" s="78"/>
      <c r="V842" s="78"/>
      <c r="W842" s="78"/>
      <c r="X842" s="77"/>
      <c r="Z842" s="79"/>
      <c r="AB842" s="80"/>
    </row>
    <row r="843" ht="14.25" customHeight="1">
      <c r="T843" s="77"/>
      <c r="U843" s="78"/>
      <c r="V843" s="78"/>
      <c r="W843" s="78"/>
      <c r="X843" s="77"/>
      <c r="Z843" s="79"/>
      <c r="AB843" s="80"/>
    </row>
    <row r="844" ht="14.25" customHeight="1">
      <c r="T844" s="77"/>
      <c r="U844" s="78"/>
      <c r="V844" s="78"/>
      <c r="W844" s="78"/>
      <c r="X844" s="77"/>
      <c r="Z844" s="79"/>
      <c r="AB844" s="80"/>
    </row>
    <row r="845" ht="14.25" customHeight="1">
      <c r="T845" s="77"/>
      <c r="U845" s="78"/>
      <c r="V845" s="78"/>
      <c r="W845" s="78"/>
      <c r="X845" s="77"/>
      <c r="Z845" s="79"/>
      <c r="AB845" s="80"/>
    </row>
    <row r="846" ht="14.25" customHeight="1">
      <c r="T846" s="77"/>
      <c r="U846" s="78"/>
      <c r="V846" s="78"/>
      <c r="W846" s="78"/>
      <c r="X846" s="77"/>
      <c r="Z846" s="79"/>
      <c r="AB846" s="80"/>
    </row>
    <row r="847" ht="14.25" customHeight="1">
      <c r="T847" s="77"/>
      <c r="U847" s="78"/>
      <c r="V847" s="78"/>
      <c r="W847" s="78"/>
      <c r="X847" s="77"/>
      <c r="Z847" s="79"/>
      <c r="AB847" s="80"/>
    </row>
    <row r="848" ht="14.25" customHeight="1">
      <c r="T848" s="77"/>
      <c r="U848" s="78"/>
      <c r="V848" s="78"/>
      <c r="W848" s="78"/>
      <c r="X848" s="77"/>
      <c r="Z848" s="79"/>
      <c r="AB848" s="80"/>
    </row>
    <row r="849" ht="14.25" customHeight="1">
      <c r="T849" s="77"/>
      <c r="U849" s="78"/>
      <c r="V849" s="78"/>
      <c r="W849" s="78"/>
      <c r="X849" s="77"/>
      <c r="Z849" s="79"/>
      <c r="AB849" s="80"/>
    </row>
    <row r="850" ht="14.25" customHeight="1">
      <c r="T850" s="77"/>
      <c r="U850" s="78"/>
      <c r="V850" s="78"/>
      <c r="W850" s="78"/>
      <c r="X850" s="77"/>
      <c r="Z850" s="79"/>
      <c r="AB850" s="80"/>
    </row>
    <row r="851" ht="14.25" customHeight="1">
      <c r="T851" s="77"/>
      <c r="U851" s="78"/>
      <c r="V851" s="78"/>
      <c r="W851" s="78"/>
      <c r="X851" s="77"/>
      <c r="Z851" s="79"/>
      <c r="AB851" s="80"/>
    </row>
    <row r="852" ht="14.25" customHeight="1">
      <c r="T852" s="77"/>
      <c r="U852" s="78"/>
      <c r="V852" s="78"/>
      <c r="W852" s="78"/>
      <c r="X852" s="77"/>
      <c r="Z852" s="79"/>
      <c r="AB852" s="80"/>
    </row>
    <row r="853" ht="14.25" customHeight="1">
      <c r="T853" s="77"/>
      <c r="U853" s="78"/>
      <c r="V853" s="78"/>
      <c r="W853" s="78"/>
      <c r="X853" s="77"/>
      <c r="Z853" s="79"/>
      <c r="AB853" s="80"/>
    </row>
    <row r="854" ht="14.25" customHeight="1">
      <c r="T854" s="77"/>
      <c r="U854" s="78"/>
      <c r="V854" s="78"/>
      <c r="W854" s="78"/>
      <c r="X854" s="77"/>
      <c r="Z854" s="79"/>
      <c r="AB854" s="80"/>
    </row>
    <row r="855" ht="14.25" customHeight="1">
      <c r="T855" s="77"/>
      <c r="U855" s="78"/>
      <c r="V855" s="78"/>
      <c r="W855" s="78"/>
      <c r="X855" s="77"/>
      <c r="Z855" s="79"/>
      <c r="AB855" s="80"/>
    </row>
    <row r="856" ht="14.25" customHeight="1">
      <c r="T856" s="77"/>
      <c r="U856" s="78"/>
      <c r="V856" s="78"/>
      <c r="W856" s="78"/>
      <c r="X856" s="77"/>
      <c r="Z856" s="79"/>
      <c r="AB856" s="80"/>
    </row>
    <row r="857" ht="14.25" customHeight="1">
      <c r="T857" s="77"/>
      <c r="U857" s="78"/>
      <c r="V857" s="78"/>
      <c r="W857" s="78"/>
      <c r="X857" s="77"/>
      <c r="Z857" s="79"/>
      <c r="AB857" s="80"/>
    </row>
    <row r="858" ht="14.25" customHeight="1">
      <c r="T858" s="77"/>
      <c r="U858" s="78"/>
      <c r="V858" s="78"/>
      <c r="W858" s="78"/>
      <c r="X858" s="77"/>
      <c r="Z858" s="79"/>
      <c r="AB858" s="80"/>
    </row>
    <row r="859" ht="14.25" customHeight="1">
      <c r="T859" s="77"/>
      <c r="U859" s="78"/>
      <c r="V859" s="78"/>
      <c r="W859" s="78"/>
      <c r="X859" s="77"/>
      <c r="Z859" s="79"/>
      <c r="AB859" s="80"/>
    </row>
    <row r="860" ht="14.25" customHeight="1">
      <c r="T860" s="77"/>
      <c r="U860" s="78"/>
      <c r="V860" s="78"/>
      <c r="W860" s="78"/>
      <c r="X860" s="77"/>
      <c r="Z860" s="79"/>
      <c r="AB860" s="80"/>
    </row>
    <row r="861" ht="14.25" customHeight="1">
      <c r="T861" s="77"/>
      <c r="U861" s="78"/>
      <c r="V861" s="78"/>
      <c r="W861" s="78"/>
      <c r="X861" s="77"/>
      <c r="Z861" s="79"/>
      <c r="AB861" s="80"/>
    </row>
    <row r="862" ht="14.25" customHeight="1">
      <c r="T862" s="77"/>
      <c r="U862" s="78"/>
      <c r="V862" s="78"/>
      <c r="W862" s="78"/>
      <c r="X862" s="77"/>
      <c r="Z862" s="79"/>
      <c r="AB862" s="80"/>
    </row>
    <row r="863" ht="14.25" customHeight="1">
      <c r="T863" s="77"/>
      <c r="U863" s="78"/>
      <c r="V863" s="78"/>
      <c r="W863" s="78"/>
      <c r="X863" s="77"/>
      <c r="Z863" s="79"/>
      <c r="AB863" s="80"/>
    </row>
    <row r="864" ht="14.25" customHeight="1">
      <c r="T864" s="77"/>
      <c r="U864" s="78"/>
      <c r="V864" s="78"/>
      <c r="W864" s="78"/>
      <c r="X864" s="77"/>
      <c r="Z864" s="79"/>
      <c r="AB864" s="80"/>
    </row>
    <row r="865" ht="14.25" customHeight="1">
      <c r="T865" s="77"/>
      <c r="U865" s="78"/>
      <c r="V865" s="78"/>
      <c r="W865" s="78"/>
      <c r="X865" s="77"/>
      <c r="Z865" s="79"/>
      <c r="AB865" s="80"/>
    </row>
    <row r="866" ht="14.25" customHeight="1">
      <c r="T866" s="77"/>
      <c r="U866" s="78"/>
      <c r="V866" s="78"/>
      <c r="W866" s="78"/>
      <c r="X866" s="77"/>
      <c r="Z866" s="79"/>
      <c r="AB866" s="80"/>
    </row>
    <row r="867" ht="14.25" customHeight="1">
      <c r="T867" s="77"/>
      <c r="U867" s="78"/>
      <c r="V867" s="78"/>
      <c r="W867" s="78"/>
      <c r="X867" s="77"/>
      <c r="Z867" s="79"/>
      <c r="AB867" s="80"/>
    </row>
    <row r="868" ht="14.25" customHeight="1">
      <c r="T868" s="77"/>
      <c r="U868" s="78"/>
      <c r="V868" s="78"/>
      <c r="W868" s="78"/>
      <c r="X868" s="77"/>
      <c r="Z868" s="79"/>
      <c r="AB868" s="80"/>
    </row>
    <row r="869" ht="14.25" customHeight="1">
      <c r="T869" s="77"/>
      <c r="U869" s="78"/>
      <c r="V869" s="78"/>
      <c r="W869" s="78"/>
      <c r="X869" s="77"/>
      <c r="Z869" s="79"/>
      <c r="AB869" s="80"/>
    </row>
    <row r="870" ht="14.25" customHeight="1">
      <c r="T870" s="77"/>
      <c r="U870" s="78"/>
      <c r="V870" s="78"/>
      <c r="W870" s="78"/>
      <c r="X870" s="77"/>
      <c r="Z870" s="79"/>
      <c r="AB870" s="80"/>
    </row>
    <row r="871" ht="14.25" customHeight="1">
      <c r="T871" s="77"/>
      <c r="U871" s="78"/>
      <c r="V871" s="78"/>
      <c r="W871" s="78"/>
      <c r="X871" s="77"/>
      <c r="Z871" s="79"/>
      <c r="AB871" s="80"/>
    </row>
    <row r="872" ht="14.25" customHeight="1">
      <c r="T872" s="77"/>
      <c r="U872" s="78"/>
      <c r="V872" s="78"/>
      <c r="W872" s="78"/>
      <c r="X872" s="77"/>
      <c r="Z872" s="79"/>
      <c r="AB872" s="80"/>
    </row>
    <row r="873" ht="14.25" customHeight="1">
      <c r="T873" s="77"/>
      <c r="U873" s="78"/>
      <c r="V873" s="78"/>
      <c r="W873" s="78"/>
      <c r="X873" s="77"/>
      <c r="Z873" s="79"/>
      <c r="AB873" s="80"/>
    </row>
    <row r="874" ht="14.25" customHeight="1">
      <c r="T874" s="77"/>
      <c r="U874" s="78"/>
      <c r="V874" s="78"/>
      <c r="W874" s="78"/>
      <c r="X874" s="77"/>
      <c r="Z874" s="79"/>
      <c r="AB874" s="80"/>
    </row>
    <row r="875" ht="14.25" customHeight="1">
      <c r="T875" s="77"/>
      <c r="U875" s="78"/>
      <c r="V875" s="78"/>
      <c r="W875" s="78"/>
      <c r="X875" s="77"/>
      <c r="Z875" s="79"/>
      <c r="AB875" s="80"/>
    </row>
    <row r="876" ht="14.25" customHeight="1">
      <c r="T876" s="77"/>
      <c r="U876" s="78"/>
      <c r="V876" s="78"/>
      <c r="W876" s="78"/>
      <c r="X876" s="77"/>
      <c r="Z876" s="79"/>
      <c r="AB876" s="80"/>
    </row>
    <row r="877" ht="14.25" customHeight="1">
      <c r="T877" s="77"/>
      <c r="U877" s="78"/>
      <c r="V877" s="78"/>
      <c r="W877" s="78"/>
      <c r="X877" s="77"/>
      <c r="Z877" s="79"/>
      <c r="AB877" s="80"/>
    </row>
    <row r="878" ht="14.25" customHeight="1">
      <c r="T878" s="77"/>
      <c r="U878" s="78"/>
      <c r="V878" s="78"/>
      <c r="W878" s="78"/>
      <c r="X878" s="77"/>
      <c r="Z878" s="79"/>
      <c r="AB878" s="80"/>
    </row>
    <row r="879" ht="14.25" customHeight="1">
      <c r="T879" s="77"/>
      <c r="U879" s="78"/>
      <c r="V879" s="78"/>
      <c r="W879" s="78"/>
      <c r="X879" s="77"/>
      <c r="Z879" s="79"/>
      <c r="AB879" s="80"/>
    </row>
    <row r="880" ht="14.25" customHeight="1">
      <c r="T880" s="77"/>
      <c r="U880" s="78"/>
      <c r="V880" s="78"/>
      <c r="W880" s="78"/>
      <c r="X880" s="77"/>
      <c r="Z880" s="79"/>
      <c r="AB880" s="80"/>
    </row>
    <row r="881" ht="14.25" customHeight="1">
      <c r="T881" s="77"/>
      <c r="U881" s="78"/>
      <c r="V881" s="78"/>
      <c r="W881" s="78"/>
      <c r="X881" s="77"/>
      <c r="Z881" s="79"/>
      <c r="AB881" s="80"/>
    </row>
    <row r="882" ht="14.25" customHeight="1">
      <c r="T882" s="77"/>
      <c r="U882" s="78"/>
      <c r="V882" s="78"/>
      <c r="W882" s="78"/>
      <c r="X882" s="77"/>
      <c r="Z882" s="79"/>
      <c r="AB882" s="80"/>
    </row>
    <row r="883" ht="14.25" customHeight="1">
      <c r="T883" s="77"/>
      <c r="U883" s="78"/>
      <c r="V883" s="78"/>
      <c r="W883" s="78"/>
      <c r="X883" s="77"/>
      <c r="Z883" s="79"/>
      <c r="AB883" s="80"/>
    </row>
    <row r="884" ht="14.25" customHeight="1">
      <c r="T884" s="77"/>
      <c r="U884" s="78"/>
      <c r="V884" s="78"/>
      <c r="W884" s="78"/>
      <c r="X884" s="77"/>
      <c r="Z884" s="79"/>
      <c r="AB884" s="80"/>
    </row>
    <row r="885" ht="14.25" customHeight="1">
      <c r="T885" s="77"/>
      <c r="U885" s="78"/>
      <c r="V885" s="78"/>
      <c r="W885" s="78"/>
      <c r="X885" s="77"/>
      <c r="Z885" s="79"/>
      <c r="AB885" s="80"/>
    </row>
    <row r="886" ht="14.25" customHeight="1">
      <c r="T886" s="77"/>
      <c r="U886" s="78"/>
      <c r="V886" s="78"/>
      <c r="W886" s="78"/>
      <c r="X886" s="77"/>
      <c r="Z886" s="79"/>
      <c r="AB886" s="80"/>
    </row>
    <row r="887" ht="14.25" customHeight="1">
      <c r="T887" s="77"/>
      <c r="U887" s="78"/>
      <c r="V887" s="78"/>
      <c r="W887" s="78"/>
      <c r="X887" s="77"/>
      <c r="Z887" s="79"/>
      <c r="AB887" s="80"/>
    </row>
    <row r="888" ht="14.25" customHeight="1">
      <c r="T888" s="77"/>
      <c r="U888" s="78"/>
      <c r="V888" s="78"/>
      <c r="W888" s="78"/>
      <c r="X888" s="77"/>
      <c r="Z888" s="79"/>
      <c r="AB888" s="80"/>
    </row>
    <row r="889" ht="14.25" customHeight="1">
      <c r="T889" s="77"/>
      <c r="U889" s="78"/>
      <c r="V889" s="78"/>
      <c r="W889" s="78"/>
      <c r="X889" s="77"/>
      <c r="Z889" s="79"/>
      <c r="AB889" s="80"/>
    </row>
    <row r="890" ht="14.25" customHeight="1">
      <c r="T890" s="77"/>
      <c r="U890" s="78"/>
      <c r="V890" s="78"/>
      <c r="W890" s="78"/>
      <c r="X890" s="77"/>
      <c r="Z890" s="79"/>
      <c r="AB890" s="80"/>
    </row>
    <row r="891" ht="14.25" customHeight="1">
      <c r="T891" s="77"/>
      <c r="U891" s="78"/>
      <c r="V891" s="78"/>
      <c r="W891" s="78"/>
      <c r="X891" s="77"/>
      <c r="Z891" s="79"/>
      <c r="AB891" s="80"/>
    </row>
    <row r="892" ht="14.25" customHeight="1">
      <c r="T892" s="77"/>
      <c r="U892" s="78"/>
      <c r="V892" s="78"/>
      <c r="W892" s="78"/>
      <c r="X892" s="77"/>
      <c r="Z892" s="79"/>
      <c r="AB892" s="80"/>
    </row>
    <row r="893" ht="14.25" customHeight="1">
      <c r="T893" s="77"/>
      <c r="U893" s="78"/>
      <c r="V893" s="78"/>
      <c r="W893" s="78"/>
      <c r="X893" s="77"/>
      <c r="Z893" s="79"/>
      <c r="AB893" s="80"/>
    </row>
    <row r="894" ht="14.25" customHeight="1">
      <c r="T894" s="77"/>
      <c r="U894" s="78"/>
      <c r="V894" s="78"/>
      <c r="W894" s="78"/>
      <c r="X894" s="77"/>
      <c r="Z894" s="79"/>
      <c r="AB894" s="80"/>
    </row>
    <row r="895" ht="14.25" customHeight="1">
      <c r="T895" s="77"/>
      <c r="U895" s="78"/>
      <c r="V895" s="78"/>
      <c r="W895" s="78"/>
      <c r="X895" s="77"/>
      <c r="Z895" s="79"/>
      <c r="AB895" s="80"/>
    </row>
    <row r="896" ht="14.25" customHeight="1">
      <c r="T896" s="77"/>
      <c r="U896" s="78"/>
      <c r="V896" s="78"/>
      <c r="W896" s="78"/>
      <c r="X896" s="77"/>
      <c r="Z896" s="79"/>
      <c r="AB896" s="80"/>
    </row>
    <row r="897" ht="14.25" customHeight="1">
      <c r="T897" s="77"/>
      <c r="U897" s="78"/>
      <c r="V897" s="78"/>
      <c r="W897" s="78"/>
      <c r="X897" s="77"/>
      <c r="Z897" s="79"/>
      <c r="AB897" s="80"/>
    </row>
    <row r="898" ht="14.25" customHeight="1">
      <c r="T898" s="77"/>
      <c r="U898" s="78"/>
      <c r="V898" s="78"/>
      <c r="W898" s="78"/>
      <c r="X898" s="77"/>
      <c r="Z898" s="79"/>
      <c r="AB898" s="80"/>
    </row>
    <row r="899" ht="14.25" customHeight="1">
      <c r="T899" s="77"/>
      <c r="U899" s="78"/>
      <c r="V899" s="78"/>
      <c r="W899" s="78"/>
      <c r="X899" s="77"/>
      <c r="Z899" s="79"/>
      <c r="AB899" s="80"/>
    </row>
    <row r="900" ht="14.25" customHeight="1">
      <c r="T900" s="77"/>
      <c r="U900" s="78"/>
      <c r="V900" s="78"/>
      <c r="W900" s="78"/>
      <c r="X900" s="77"/>
      <c r="Z900" s="79"/>
      <c r="AB900" s="80"/>
    </row>
    <row r="901" ht="14.25" customHeight="1">
      <c r="T901" s="77"/>
      <c r="U901" s="78"/>
      <c r="V901" s="78"/>
      <c r="W901" s="78"/>
      <c r="X901" s="77"/>
      <c r="Z901" s="79"/>
      <c r="AB901" s="80"/>
    </row>
    <row r="902" ht="14.25" customHeight="1">
      <c r="T902" s="77"/>
      <c r="U902" s="78"/>
      <c r="V902" s="78"/>
      <c r="W902" s="78"/>
      <c r="X902" s="77"/>
      <c r="Z902" s="79"/>
      <c r="AB902" s="80"/>
    </row>
    <row r="903" ht="14.25" customHeight="1">
      <c r="T903" s="77"/>
      <c r="U903" s="78"/>
      <c r="V903" s="78"/>
      <c r="W903" s="78"/>
      <c r="X903" s="77"/>
      <c r="Z903" s="79"/>
      <c r="AB903" s="80"/>
    </row>
    <row r="904" ht="14.25" customHeight="1">
      <c r="T904" s="77"/>
      <c r="U904" s="78"/>
      <c r="V904" s="78"/>
      <c r="W904" s="78"/>
      <c r="X904" s="77"/>
      <c r="Z904" s="79"/>
      <c r="AB904" s="80"/>
    </row>
    <row r="905" ht="14.25" customHeight="1">
      <c r="T905" s="77"/>
      <c r="U905" s="78"/>
      <c r="V905" s="78"/>
      <c r="W905" s="78"/>
      <c r="X905" s="77"/>
      <c r="Z905" s="79"/>
      <c r="AB905" s="80"/>
    </row>
    <row r="906" ht="14.25" customHeight="1">
      <c r="T906" s="77"/>
      <c r="U906" s="78"/>
      <c r="V906" s="78"/>
      <c r="W906" s="78"/>
      <c r="X906" s="77"/>
      <c r="Z906" s="79"/>
      <c r="AB906" s="80"/>
    </row>
    <row r="907" ht="14.25" customHeight="1">
      <c r="T907" s="77"/>
      <c r="U907" s="78"/>
      <c r="V907" s="78"/>
      <c r="W907" s="78"/>
      <c r="X907" s="77"/>
      <c r="Z907" s="79"/>
      <c r="AB907" s="80"/>
    </row>
    <row r="908" ht="14.25" customHeight="1">
      <c r="T908" s="77"/>
      <c r="U908" s="78"/>
      <c r="V908" s="78"/>
      <c r="W908" s="78"/>
      <c r="X908" s="77"/>
      <c r="Z908" s="79"/>
      <c r="AB908" s="80"/>
    </row>
    <row r="909" ht="14.25" customHeight="1">
      <c r="T909" s="77"/>
      <c r="U909" s="78"/>
      <c r="V909" s="78"/>
      <c r="W909" s="78"/>
      <c r="X909" s="77"/>
      <c r="Z909" s="79"/>
      <c r="AB909" s="80"/>
    </row>
    <row r="910" ht="14.25" customHeight="1">
      <c r="T910" s="77"/>
      <c r="U910" s="78"/>
      <c r="V910" s="78"/>
      <c r="W910" s="78"/>
      <c r="X910" s="77"/>
      <c r="Z910" s="79"/>
      <c r="AB910" s="80"/>
    </row>
    <row r="911" ht="14.25" customHeight="1">
      <c r="T911" s="77"/>
      <c r="U911" s="78"/>
      <c r="V911" s="78"/>
      <c r="W911" s="78"/>
      <c r="X911" s="77"/>
      <c r="Z911" s="79"/>
      <c r="AB911" s="80"/>
    </row>
    <row r="912" ht="14.25" customHeight="1">
      <c r="T912" s="77"/>
      <c r="U912" s="78"/>
      <c r="V912" s="78"/>
      <c r="W912" s="78"/>
      <c r="X912" s="77"/>
      <c r="Z912" s="79"/>
      <c r="AB912" s="80"/>
    </row>
    <row r="913" ht="14.25" customHeight="1">
      <c r="T913" s="77"/>
      <c r="U913" s="78"/>
      <c r="V913" s="78"/>
      <c r="W913" s="78"/>
      <c r="X913" s="77"/>
      <c r="Z913" s="79"/>
      <c r="AB913" s="80"/>
    </row>
    <row r="914" ht="14.25" customHeight="1">
      <c r="T914" s="77"/>
      <c r="U914" s="78"/>
      <c r="V914" s="78"/>
      <c r="W914" s="78"/>
      <c r="X914" s="77"/>
      <c r="Z914" s="79"/>
      <c r="AB914" s="80"/>
    </row>
    <row r="915" ht="14.25" customHeight="1">
      <c r="T915" s="77"/>
      <c r="U915" s="78"/>
      <c r="V915" s="78"/>
      <c r="W915" s="78"/>
      <c r="X915" s="77"/>
      <c r="Z915" s="79"/>
      <c r="AB915" s="80"/>
    </row>
    <row r="916" ht="14.25" customHeight="1">
      <c r="T916" s="77"/>
      <c r="U916" s="78"/>
      <c r="V916" s="78"/>
      <c r="W916" s="78"/>
      <c r="X916" s="77"/>
      <c r="Z916" s="79"/>
      <c r="AB916" s="80"/>
    </row>
    <row r="917" ht="14.25" customHeight="1">
      <c r="T917" s="77"/>
      <c r="U917" s="78"/>
      <c r="V917" s="78"/>
      <c r="W917" s="78"/>
      <c r="X917" s="77"/>
      <c r="Z917" s="79"/>
      <c r="AB917" s="80"/>
    </row>
    <row r="918" ht="14.25" customHeight="1">
      <c r="T918" s="77"/>
      <c r="U918" s="78"/>
      <c r="V918" s="78"/>
      <c r="W918" s="78"/>
      <c r="X918" s="77"/>
      <c r="Z918" s="79"/>
      <c r="AB918" s="80"/>
    </row>
    <row r="919" ht="14.25" customHeight="1">
      <c r="T919" s="77"/>
      <c r="U919" s="78"/>
      <c r="V919" s="78"/>
      <c r="W919" s="78"/>
      <c r="X919" s="77"/>
      <c r="Z919" s="79"/>
      <c r="AB919" s="80"/>
    </row>
    <row r="920" ht="14.25" customHeight="1">
      <c r="T920" s="77"/>
      <c r="U920" s="78"/>
      <c r="V920" s="78"/>
      <c r="W920" s="78"/>
      <c r="X920" s="77"/>
      <c r="Z920" s="79"/>
      <c r="AB920" s="80"/>
    </row>
    <row r="921" ht="14.25" customHeight="1">
      <c r="T921" s="77"/>
      <c r="U921" s="78"/>
      <c r="V921" s="78"/>
      <c r="W921" s="78"/>
      <c r="X921" s="77"/>
      <c r="Z921" s="79"/>
      <c r="AB921" s="80"/>
    </row>
    <row r="922" ht="14.25" customHeight="1">
      <c r="T922" s="77"/>
      <c r="U922" s="78"/>
      <c r="V922" s="78"/>
      <c r="W922" s="78"/>
      <c r="X922" s="77"/>
      <c r="Z922" s="79"/>
      <c r="AB922" s="80"/>
    </row>
    <row r="923" ht="14.25" customHeight="1">
      <c r="T923" s="77"/>
      <c r="U923" s="78"/>
      <c r="V923" s="78"/>
      <c r="W923" s="78"/>
      <c r="X923" s="77"/>
      <c r="Z923" s="79"/>
      <c r="AB923" s="80"/>
    </row>
    <row r="924" ht="14.25" customHeight="1">
      <c r="T924" s="77"/>
      <c r="U924" s="78"/>
      <c r="V924" s="78"/>
      <c r="W924" s="78"/>
      <c r="X924" s="77"/>
      <c r="Z924" s="79"/>
      <c r="AB924" s="80"/>
    </row>
    <row r="925" ht="14.25" customHeight="1">
      <c r="T925" s="77"/>
      <c r="U925" s="78"/>
      <c r="V925" s="78"/>
      <c r="W925" s="78"/>
      <c r="X925" s="77"/>
      <c r="Z925" s="79"/>
      <c r="AB925" s="80"/>
    </row>
    <row r="926" ht="14.25" customHeight="1">
      <c r="T926" s="77"/>
      <c r="U926" s="78"/>
      <c r="V926" s="78"/>
      <c r="W926" s="78"/>
      <c r="X926" s="77"/>
      <c r="Z926" s="79"/>
      <c r="AB926" s="80"/>
    </row>
    <row r="927" ht="14.25" customHeight="1">
      <c r="T927" s="77"/>
      <c r="U927" s="78"/>
      <c r="V927" s="78"/>
      <c r="W927" s="78"/>
      <c r="X927" s="77"/>
      <c r="Z927" s="79"/>
      <c r="AB927" s="80"/>
    </row>
    <row r="928" ht="14.25" customHeight="1">
      <c r="T928" s="77"/>
      <c r="U928" s="78"/>
      <c r="V928" s="78"/>
      <c r="W928" s="78"/>
      <c r="X928" s="77"/>
      <c r="Z928" s="79"/>
      <c r="AB928" s="80"/>
    </row>
    <row r="929" ht="14.25" customHeight="1">
      <c r="T929" s="77"/>
      <c r="U929" s="78"/>
      <c r="V929" s="78"/>
      <c r="W929" s="78"/>
      <c r="X929" s="77"/>
      <c r="Z929" s="79"/>
      <c r="AB929" s="80"/>
    </row>
    <row r="930" ht="14.25" customHeight="1">
      <c r="T930" s="77"/>
      <c r="U930" s="78"/>
      <c r="V930" s="78"/>
      <c r="W930" s="78"/>
      <c r="X930" s="77"/>
      <c r="Z930" s="79"/>
      <c r="AB930" s="80"/>
    </row>
    <row r="931" ht="14.25" customHeight="1">
      <c r="T931" s="77"/>
      <c r="U931" s="78"/>
      <c r="V931" s="78"/>
      <c r="W931" s="78"/>
      <c r="X931" s="77"/>
      <c r="Z931" s="79"/>
      <c r="AB931" s="80"/>
    </row>
    <row r="932" ht="14.25" customHeight="1">
      <c r="T932" s="77"/>
      <c r="U932" s="78"/>
      <c r="V932" s="78"/>
      <c r="W932" s="78"/>
      <c r="X932" s="77"/>
      <c r="Z932" s="79"/>
      <c r="AB932" s="80"/>
    </row>
    <row r="933" ht="14.25" customHeight="1">
      <c r="T933" s="77"/>
      <c r="U933" s="78"/>
      <c r="V933" s="78"/>
      <c r="W933" s="78"/>
      <c r="X933" s="77"/>
      <c r="Z933" s="79"/>
      <c r="AB933" s="80"/>
    </row>
    <row r="934" ht="14.25" customHeight="1">
      <c r="T934" s="77"/>
      <c r="U934" s="78"/>
      <c r="V934" s="78"/>
      <c r="W934" s="78"/>
      <c r="X934" s="77"/>
      <c r="Z934" s="79"/>
      <c r="AB934" s="80"/>
    </row>
    <row r="935" ht="14.25" customHeight="1">
      <c r="T935" s="77"/>
      <c r="U935" s="78"/>
      <c r="V935" s="78"/>
      <c r="W935" s="78"/>
      <c r="X935" s="77"/>
      <c r="Z935" s="79"/>
      <c r="AB935" s="80"/>
    </row>
    <row r="936" ht="14.25" customHeight="1">
      <c r="T936" s="77"/>
      <c r="U936" s="78"/>
      <c r="V936" s="78"/>
      <c r="W936" s="78"/>
      <c r="X936" s="77"/>
      <c r="Z936" s="79"/>
      <c r="AB936" s="80"/>
    </row>
    <row r="937" ht="14.25" customHeight="1">
      <c r="T937" s="77"/>
      <c r="U937" s="78"/>
      <c r="V937" s="78"/>
      <c r="W937" s="78"/>
      <c r="X937" s="77"/>
      <c r="Z937" s="79"/>
      <c r="AB937" s="80"/>
    </row>
    <row r="938" ht="14.25" customHeight="1">
      <c r="T938" s="77"/>
      <c r="U938" s="78"/>
      <c r="V938" s="78"/>
      <c r="W938" s="78"/>
      <c r="X938" s="77"/>
      <c r="Z938" s="79"/>
      <c r="AB938" s="80"/>
    </row>
    <row r="939" ht="14.25" customHeight="1">
      <c r="T939" s="77"/>
      <c r="U939" s="78"/>
      <c r="V939" s="78"/>
      <c r="W939" s="78"/>
      <c r="X939" s="77"/>
      <c r="Z939" s="79"/>
      <c r="AB939" s="80"/>
    </row>
    <row r="940" ht="14.25" customHeight="1">
      <c r="T940" s="77"/>
      <c r="U940" s="78"/>
      <c r="V940" s="78"/>
      <c r="W940" s="78"/>
      <c r="X940" s="77"/>
      <c r="Z940" s="79"/>
      <c r="AB940" s="80"/>
    </row>
    <row r="941" ht="14.25" customHeight="1">
      <c r="T941" s="77"/>
      <c r="U941" s="78"/>
      <c r="V941" s="78"/>
      <c r="W941" s="78"/>
      <c r="X941" s="77"/>
      <c r="Z941" s="79"/>
      <c r="AB941" s="80"/>
    </row>
    <row r="942" ht="14.25" customHeight="1">
      <c r="T942" s="77"/>
      <c r="U942" s="78"/>
      <c r="V942" s="78"/>
      <c r="W942" s="78"/>
      <c r="X942" s="77"/>
      <c r="Z942" s="79"/>
      <c r="AB942" s="80"/>
    </row>
    <row r="943" ht="14.25" customHeight="1">
      <c r="T943" s="77"/>
      <c r="U943" s="78"/>
      <c r="V943" s="78"/>
      <c r="W943" s="78"/>
      <c r="X943" s="77"/>
      <c r="Z943" s="79"/>
      <c r="AB943" s="80"/>
    </row>
    <row r="944" ht="14.25" customHeight="1">
      <c r="T944" s="77"/>
      <c r="U944" s="78"/>
      <c r="V944" s="78"/>
      <c r="W944" s="78"/>
      <c r="X944" s="77"/>
      <c r="Z944" s="79"/>
      <c r="AB944" s="80"/>
    </row>
    <row r="945" ht="14.25" customHeight="1">
      <c r="T945" s="77"/>
      <c r="U945" s="78"/>
      <c r="V945" s="78"/>
      <c r="W945" s="78"/>
      <c r="X945" s="77"/>
      <c r="Z945" s="79"/>
      <c r="AB945" s="80"/>
    </row>
    <row r="946" ht="14.25" customHeight="1">
      <c r="T946" s="77"/>
      <c r="U946" s="78"/>
      <c r="V946" s="78"/>
      <c r="W946" s="78"/>
      <c r="X946" s="77"/>
      <c r="Z946" s="79"/>
      <c r="AB946" s="80"/>
    </row>
    <row r="947" ht="14.25" customHeight="1">
      <c r="T947" s="77"/>
      <c r="U947" s="78"/>
      <c r="V947" s="78"/>
      <c r="W947" s="78"/>
      <c r="X947" s="77"/>
      <c r="Z947" s="79"/>
      <c r="AB947" s="80"/>
    </row>
    <row r="948" ht="14.25" customHeight="1">
      <c r="T948" s="77"/>
      <c r="U948" s="78"/>
      <c r="V948" s="78"/>
      <c r="W948" s="78"/>
      <c r="X948" s="77"/>
      <c r="Z948" s="79"/>
      <c r="AB948" s="80"/>
    </row>
    <row r="949" ht="14.25" customHeight="1">
      <c r="T949" s="77"/>
      <c r="U949" s="78"/>
      <c r="V949" s="78"/>
      <c r="W949" s="78"/>
      <c r="X949" s="77"/>
      <c r="Z949" s="79"/>
      <c r="AB949" s="80"/>
    </row>
    <row r="950" ht="14.25" customHeight="1">
      <c r="T950" s="77"/>
      <c r="U950" s="78"/>
      <c r="V950" s="78"/>
      <c r="W950" s="78"/>
      <c r="X950" s="77"/>
      <c r="Z950" s="79"/>
      <c r="AB950" s="80"/>
    </row>
    <row r="951" ht="14.25" customHeight="1">
      <c r="T951" s="77"/>
      <c r="U951" s="78"/>
      <c r="V951" s="78"/>
      <c r="W951" s="78"/>
      <c r="X951" s="77"/>
      <c r="Z951" s="79"/>
      <c r="AB951" s="80"/>
    </row>
    <row r="952" ht="14.25" customHeight="1">
      <c r="T952" s="77"/>
      <c r="U952" s="78"/>
      <c r="V952" s="78"/>
      <c r="W952" s="78"/>
      <c r="X952" s="77"/>
      <c r="Z952" s="79"/>
      <c r="AB952" s="80"/>
    </row>
    <row r="953" ht="14.25" customHeight="1">
      <c r="T953" s="77"/>
      <c r="U953" s="78"/>
      <c r="V953" s="78"/>
      <c r="W953" s="78"/>
      <c r="X953" s="77"/>
      <c r="Z953" s="79"/>
      <c r="AB953" s="80"/>
    </row>
    <row r="954" ht="14.25" customHeight="1">
      <c r="T954" s="77"/>
      <c r="U954" s="78"/>
      <c r="V954" s="78"/>
      <c r="W954" s="78"/>
      <c r="X954" s="77"/>
      <c r="Z954" s="79"/>
      <c r="AB954" s="80"/>
    </row>
    <row r="955" ht="14.25" customHeight="1">
      <c r="T955" s="77"/>
      <c r="U955" s="78"/>
      <c r="V955" s="78"/>
      <c r="W955" s="78"/>
      <c r="X955" s="77"/>
      <c r="Z955" s="79"/>
      <c r="AB955" s="80"/>
    </row>
    <row r="956" ht="14.25" customHeight="1">
      <c r="T956" s="77"/>
      <c r="U956" s="78"/>
      <c r="V956" s="78"/>
      <c r="W956" s="78"/>
      <c r="X956" s="77"/>
      <c r="Z956" s="79"/>
      <c r="AB956" s="80"/>
    </row>
    <row r="957" ht="14.25" customHeight="1">
      <c r="T957" s="77"/>
      <c r="U957" s="78"/>
      <c r="V957" s="78"/>
      <c r="W957" s="78"/>
      <c r="X957" s="77"/>
      <c r="Z957" s="79"/>
      <c r="AB957" s="80"/>
    </row>
    <row r="958" ht="14.25" customHeight="1">
      <c r="T958" s="77"/>
      <c r="U958" s="78"/>
      <c r="V958" s="78"/>
      <c r="W958" s="78"/>
      <c r="X958" s="77"/>
      <c r="Z958" s="79"/>
      <c r="AB958" s="80"/>
    </row>
    <row r="959" ht="14.25" customHeight="1">
      <c r="T959" s="77"/>
      <c r="U959" s="78"/>
      <c r="V959" s="78"/>
      <c r="W959" s="78"/>
      <c r="X959" s="77"/>
      <c r="Z959" s="79"/>
      <c r="AB959" s="80"/>
    </row>
    <row r="960" ht="14.25" customHeight="1">
      <c r="T960" s="77"/>
      <c r="U960" s="78"/>
      <c r="V960" s="78"/>
      <c r="W960" s="78"/>
      <c r="X960" s="77"/>
      <c r="Z960" s="79"/>
      <c r="AB960" s="80"/>
    </row>
    <row r="961" ht="14.25" customHeight="1">
      <c r="T961" s="77"/>
      <c r="U961" s="78"/>
      <c r="V961" s="78"/>
      <c r="W961" s="78"/>
      <c r="X961" s="77"/>
      <c r="Z961" s="79"/>
      <c r="AB961" s="80"/>
    </row>
    <row r="962" ht="14.25" customHeight="1">
      <c r="T962" s="77"/>
      <c r="U962" s="78"/>
      <c r="V962" s="78"/>
      <c r="W962" s="78"/>
      <c r="X962" s="77"/>
      <c r="Z962" s="79"/>
      <c r="AB962" s="80"/>
    </row>
    <row r="963" ht="14.25" customHeight="1">
      <c r="T963" s="77"/>
      <c r="U963" s="78"/>
      <c r="V963" s="78"/>
      <c r="W963" s="78"/>
      <c r="X963" s="77"/>
      <c r="Z963" s="79"/>
      <c r="AB963" s="80"/>
    </row>
    <row r="964" ht="14.25" customHeight="1">
      <c r="T964" s="77"/>
      <c r="U964" s="78"/>
      <c r="V964" s="78"/>
      <c r="W964" s="78"/>
      <c r="X964" s="77"/>
      <c r="Z964" s="79"/>
      <c r="AB964" s="80"/>
    </row>
    <row r="965" ht="14.25" customHeight="1">
      <c r="T965" s="77"/>
      <c r="U965" s="78"/>
      <c r="V965" s="78"/>
      <c r="W965" s="78"/>
      <c r="X965" s="77"/>
      <c r="Z965" s="79"/>
      <c r="AB965" s="80"/>
    </row>
    <row r="966" ht="14.25" customHeight="1">
      <c r="T966" s="77"/>
      <c r="U966" s="78"/>
      <c r="V966" s="78"/>
      <c r="W966" s="78"/>
      <c r="X966" s="77"/>
      <c r="Z966" s="79"/>
      <c r="AB966" s="80"/>
    </row>
    <row r="967" ht="14.25" customHeight="1">
      <c r="T967" s="77"/>
      <c r="U967" s="78"/>
      <c r="V967" s="78"/>
      <c r="W967" s="78"/>
      <c r="X967" s="77"/>
      <c r="Z967" s="79"/>
      <c r="AB967" s="80"/>
    </row>
    <row r="968" ht="14.25" customHeight="1">
      <c r="T968" s="77"/>
      <c r="U968" s="78"/>
      <c r="V968" s="78"/>
      <c r="W968" s="78"/>
      <c r="X968" s="77"/>
      <c r="Z968" s="79"/>
      <c r="AB968" s="80"/>
    </row>
    <row r="969" ht="14.25" customHeight="1">
      <c r="T969" s="77"/>
      <c r="U969" s="78"/>
      <c r="V969" s="78"/>
      <c r="W969" s="78"/>
      <c r="X969" s="77"/>
      <c r="Z969" s="79"/>
      <c r="AB969" s="80"/>
    </row>
    <row r="970" ht="14.25" customHeight="1">
      <c r="T970" s="77"/>
      <c r="U970" s="78"/>
      <c r="V970" s="78"/>
      <c r="W970" s="78"/>
      <c r="X970" s="77"/>
      <c r="Z970" s="79"/>
      <c r="AB970" s="80"/>
    </row>
    <row r="971" ht="14.25" customHeight="1">
      <c r="T971" s="77"/>
      <c r="U971" s="78"/>
      <c r="V971" s="78"/>
      <c r="W971" s="78"/>
      <c r="X971" s="77"/>
      <c r="Z971" s="79"/>
      <c r="AB971" s="80"/>
    </row>
    <row r="972" ht="14.25" customHeight="1">
      <c r="T972" s="77"/>
      <c r="U972" s="78"/>
      <c r="V972" s="78"/>
      <c r="W972" s="78"/>
      <c r="X972" s="77"/>
      <c r="Z972" s="79"/>
      <c r="AB972" s="80"/>
    </row>
    <row r="973" ht="14.25" customHeight="1">
      <c r="T973" s="77"/>
      <c r="U973" s="78"/>
      <c r="V973" s="78"/>
      <c r="W973" s="78"/>
      <c r="X973" s="77"/>
      <c r="Z973" s="79"/>
      <c r="AB973" s="80"/>
    </row>
    <row r="974" ht="14.25" customHeight="1">
      <c r="T974" s="77"/>
      <c r="U974" s="78"/>
      <c r="V974" s="78"/>
      <c r="W974" s="78"/>
      <c r="X974" s="77"/>
      <c r="Z974" s="79"/>
      <c r="AB974" s="80"/>
    </row>
    <row r="975" ht="14.25" customHeight="1">
      <c r="T975" s="77"/>
      <c r="U975" s="78"/>
      <c r="V975" s="78"/>
      <c r="W975" s="78"/>
      <c r="X975" s="77"/>
      <c r="Z975" s="79"/>
      <c r="AB975" s="80"/>
    </row>
    <row r="976" ht="14.25" customHeight="1">
      <c r="T976" s="77"/>
      <c r="U976" s="78"/>
      <c r="V976" s="78"/>
      <c r="W976" s="78"/>
      <c r="X976" s="77"/>
      <c r="Z976" s="79"/>
      <c r="AB976" s="80"/>
    </row>
    <row r="977" ht="14.25" customHeight="1">
      <c r="T977" s="77"/>
      <c r="U977" s="78"/>
      <c r="V977" s="78"/>
      <c r="W977" s="78"/>
      <c r="X977" s="77"/>
      <c r="Z977" s="79"/>
      <c r="AB977" s="80"/>
    </row>
    <row r="978" ht="14.25" customHeight="1">
      <c r="T978" s="77"/>
      <c r="U978" s="78"/>
      <c r="V978" s="78"/>
      <c r="W978" s="78"/>
      <c r="X978" s="77"/>
      <c r="Z978" s="79"/>
      <c r="AB978" s="80"/>
    </row>
    <row r="979" ht="14.25" customHeight="1">
      <c r="T979" s="77"/>
      <c r="U979" s="78"/>
      <c r="V979" s="78"/>
      <c r="W979" s="78"/>
      <c r="X979" s="77"/>
      <c r="Z979" s="79"/>
      <c r="AB979" s="80"/>
    </row>
    <row r="980" ht="14.25" customHeight="1">
      <c r="T980" s="77"/>
      <c r="U980" s="78"/>
      <c r="V980" s="78"/>
      <c r="W980" s="78"/>
      <c r="X980" s="77"/>
      <c r="Z980" s="79"/>
      <c r="AB980" s="80"/>
    </row>
    <row r="981" ht="14.25" customHeight="1">
      <c r="T981" s="77"/>
      <c r="U981" s="78"/>
      <c r="V981" s="78"/>
      <c r="W981" s="78"/>
      <c r="X981" s="77"/>
      <c r="Z981" s="79"/>
      <c r="AB981" s="80"/>
    </row>
    <row r="982" ht="14.25" customHeight="1">
      <c r="T982" s="77"/>
      <c r="U982" s="78"/>
      <c r="V982" s="78"/>
      <c r="W982" s="78"/>
      <c r="X982" s="77"/>
      <c r="Z982" s="79"/>
      <c r="AB982" s="80"/>
    </row>
    <row r="983" ht="14.25" customHeight="1">
      <c r="T983" s="77"/>
      <c r="U983" s="78"/>
      <c r="V983" s="78"/>
      <c r="W983" s="78"/>
      <c r="X983" s="77"/>
      <c r="Z983" s="79"/>
      <c r="AB983" s="80"/>
    </row>
    <row r="984" ht="14.25" customHeight="1">
      <c r="T984" s="77"/>
      <c r="U984" s="78"/>
      <c r="V984" s="78"/>
      <c r="W984" s="78"/>
      <c r="X984" s="77"/>
      <c r="Z984" s="79"/>
      <c r="AB984" s="80"/>
    </row>
    <row r="985" ht="14.25" customHeight="1">
      <c r="T985" s="77"/>
      <c r="U985" s="78"/>
      <c r="V985" s="78"/>
      <c r="W985" s="78"/>
      <c r="X985" s="77"/>
      <c r="Z985" s="79"/>
      <c r="AB985" s="80"/>
    </row>
    <row r="986" ht="14.25" customHeight="1">
      <c r="T986" s="77"/>
      <c r="U986" s="78"/>
      <c r="V986" s="78"/>
      <c r="W986" s="78"/>
      <c r="X986" s="77"/>
      <c r="Z986" s="79"/>
      <c r="AB986" s="80"/>
    </row>
    <row r="987" ht="14.25" customHeight="1">
      <c r="T987" s="77"/>
      <c r="U987" s="78"/>
      <c r="V987" s="78"/>
      <c r="W987" s="78"/>
      <c r="X987" s="77"/>
      <c r="Z987" s="79"/>
      <c r="AB987" s="80"/>
    </row>
    <row r="988" ht="14.25" customHeight="1">
      <c r="T988" s="77"/>
      <c r="U988" s="78"/>
      <c r="V988" s="78"/>
      <c r="W988" s="78"/>
      <c r="X988" s="77"/>
      <c r="Z988" s="79"/>
      <c r="AB988" s="80"/>
    </row>
    <row r="989" ht="14.25" customHeight="1">
      <c r="T989" s="77"/>
      <c r="U989" s="78"/>
      <c r="V989" s="78"/>
      <c r="W989" s="78"/>
      <c r="X989" s="77"/>
      <c r="Z989" s="79"/>
      <c r="AB989" s="80"/>
    </row>
    <row r="990" ht="14.25" customHeight="1">
      <c r="T990" s="77"/>
      <c r="U990" s="78"/>
      <c r="V990" s="78"/>
      <c r="W990" s="78"/>
      <c r="X990" s="77"/>
      <c r="Z990" s="79"/>
      <c r="AB990" s="80"/>
    </row>
    <row r="991" ht="14.25" customHeight="1">
      <c r="T991" s="77"/>
      <c r="U991" s="78"/>
      <c r="V991" s="78"/>
      <c r="W991" s="78"/>
      <c r="X991" s="77"/>
      <c r="Z991" s="79"/>
      <c r="AB991" s="80"/>
    </row>
    <row r="992" ht="14.25" customHeight="1">
      <c r="T992" s="77"/>
      <c r="U992" s="78"/>
      <c r="V992" s="78"/>
      <c r="W992" s="78"/>
      <c r="X992" s="77"/>
      <c r="Z992" s="79"/>
      <c r="AB992" s="80"/>
    </row>
    <row r="993" ht="14.25" customHeight="1">
      <c r="T993" s="77"/>
      <c r="U993" s="78"/>
      <c r="V993" s="78"/>
      <c r="W993" s="78"/>
      <c r="X993" s="77"/>
      <c r="Z993" s="79"/>
      <c r="AB993" s="80"/>
    </row>
    <row r="994" ht="14.25" customHeight="1">
      <c r="T994" s="77"/>
      <c r="U994" s="78"/>
      <c r="V994" s="78"/>
      <c r="W994" s="78"/>
      <c r="X994" s="77"/>
      <c r="Z994" s="79"/>
      <c r="AB994" s="80"/>
    </row>
    <row r="995" ht="14.25" customHeight="1">
      <c r="T995" s="77"/>
      <c r="U995" s="78"/>
      <c r="V995" s="78"/>
      <c r="W995" s="78"/>
      <c r="X995" s="77"/>
      <c r="Z995" s="79"/>
      <c r="AB995" s="80"/>
    </row>
    <row r="996" ht="14.25" customHeight="1">
      <c r="T996" s="77"/>
      <c r="U996" s="78"/>
      <c r="V996" s="78"/>
      <c r="W996" s="78"/>
      <c r="X996" s="77"/>
      <c r="Z996" s="79"/>
      <c r="AB996" s="80"/>
    </row>
    <row r="997" ht="14.25" customHeight="1">
      <c r="T997" s="77"/>
      <c r="U997" s="78"/>
      <c r="V997" s="78"/>
      <c r="W997" s="78"/>
      <c r="X997" s="77"/>
      <c r="Z997" s="79"/>
      <c r="AB997" s="80"/>
    </row>
    <row r="998" ht="14.25" customHeight="1">
      <c r="T998" s="77"/>
      <c r="U998" s="78"/>
      <c r="V998" s="78"/>
      <c r="W998" s="78"/>
      <c r="X998" s="77"/>
      <c r="Z998" s="79"/>
      <c r="AB998" s="80"/>
    </row>
    <row r="999" ht="14.25" customHeight="1">
      <c r="T999" s="77"/>
      <c r="U999" s="78"/>
      <c r="V999" s="78"/>
      <c r="W999" s="78"/>
      <c r="X999" s="77"/>
      <c r="Z999" s="79"/>
      <c r="AB999" s="80"/>
    </row>
    <row r="1000" ht="14.25" customHeight="1">
      <c r="T1000" s="77"/>
      <c r="U1000" s="78"/>
      <c r="V1000" s="78"/>
      <c r="W1000" s="78"/>
      <c r="X1000" s="77"/>
      <c r="Z1000" s="79"/>
      <c r="AB1000" s="80"/>
    </row>
  </sheetData>
  <dataValidations>
    <dataValidation type="decimal" allowBlank="1" showInputMessage="1" showErrorMessage="1" prompt="입력 범위 오류 - 1~3 사이의 정수만 입력하세요." sqref="T3 T9 T11:T15 T23 T27 T31 T34 T38:T42">
      <formula1>1.0</formula1>
      <formula2>3.0</formula2>
    </dataValidation>
    <dataValidation type="decimal" allowBlank="1" showInputMessage="1" showErrorMessage="1" prompt="입력 범위 오류 - 1~5 사이의 정수만 입력하세요." sqref="T2 T4:T8 T10 T17 T20:T22 T24:T26 T28:T29 T32:T33 T36">
      <formula1>1.0</formula1>
      <formula2>5.0</formula2>
    </dataValidation>
    <dataValidation type="decimal" allowBlank="1" showInputMessage="1" showErrorMessage="1" prompt="입력 오류 - 0(해당없음) 또는 1(해당)만 입력하세요." sqref="U16:W16 U35:W35 U37:W37 U43:W43">
      <formula1>0.0</formula1>
      <formula2>1.0</formula2>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3" width="9.0"/>
    <col customWidth="1" min="4" max="4" width="10.0"/>
    <col customWidth="1" min="5" max="5" width="8.0"/>
    <col customWidth="1" min="6" max="6" width="80.0"/>
    <col customWidth="1" min="7" max="26" width="8.71"/>
  </cols>
  <sheetData>
    <row r="1" ht="21.75" customHeight="1">
      <c r="A1" s="2" t="s">
        <v>0</v>
      </c>
      <c r="B1" s="2" t="s">
        <v>11</v>
      </c>
      <c r="C1" s="2" t="s">
        <v>17</v>
      </c>
      <c r="D1" s="2" t="s">
        <v>19</v>
      </c>
      <c r="E1" s="2" t="s">
        <v>21</v>
      </c>
      <c r="F1" s="2" t="s">
        <v>24</v>
      </c>
    </row>
    <row r="2" ht="15.0" customHeight="1">
      <c r="A2" s="6" t="s">
        <v>29</v>
      </c>
      <c r="B2" s="6" t="s">
        <v>36</v>
      </c>
      <c r="C2" s="9">
        <v>1.0</v>
      </c>
      <c r="D2" s="6" t="s">
        <v>41</v>
      </c>
      <c r="E2" s="9">
        <v>0.0</v>
      </c>
      <c r="F2" s="10" t="s">
        <v>43</v>
      </c>
    </row>
    <row r="3" ht="29.25" customHeight="1">
      <c r="A3" s="13" t="s">
        <v>29</v>
      </c>
      <c r="B3" s="13" t="s">
        <v>36</v>
      </c>
      <c r="C3" s="16">
        <v>2.0</v>
      </c>
      <c r="D3" s="13" t="s">
        <v>54</v>
      </c>
      <c r="E3" s="16">
        <v>25.0</v>
      </c>
      <c r="F3" s="20" t="s">
        <v>57</v>
      </c>
    </row>
    <row r="4" ht="29.25" customHeight="1">
      <c r="A4" s="6" t="s">
        <v>29</v>
      </c>
      <c r="B4" s="6" t="s">
        <v>36</v>
      </c>
      <c r="C4" s="9">
        <v>3.0</v>
      </c>
      <c r="D4" s="6" t="s">
        <v>62</v>
      </c>
      <c r="E4" s="9">
        <v>50.0</v>
      </c>
      <c r="F4" s="10" t="s">
        <v>64</v>
      </c>
    </row>
    <row r="5" ht="29.25" customHeight="1">
      <c r="A5" s="13" t="s">
        <v>29</v>
      </c>
      <c r="B5" s="13" t="s">
        <v>36</v>
      </c>
      <c r="C5" s="16">
        <v>4.0</v>
      </c>
      <c r="D5" s="13" t="s">
        <v>65</v>
      </c>
      <c r="E5" s="16">
        <v>75.0</v>
      </c>
      <c r="F5" s="13" t="s">
        <v>67</v>
      </c>
    </row>
    <row r="6" ht="29.25" customHeight="1">
      <c r="A6" s="6" t="s">
        <v>29</v>
      </c>
      <c r="B6" s="6" t="s">
        <v>36</v>
      </c>
      <c r="C6" s="9">
        <v>5.0</v>
      </c>
      <c r="D6" s="6" t="s">
        <v>69</v>
      </c>
      <c r="E6" s="9">
        <v>100.0</v>
      </c>
      <c r="F6" s="6" t="s">
        <v>70</v>
      </c>
    </row>
    <row r="7" ht="15.0" customHeight="1">
      <c r="A7" s="13" t="s">
        <v>73</v>
      </c>
      <c r="B7" s="13" t="s">
        <v>74</v>
      </c>
      <c r="C7" s="16">
        <v>1.0</v>
      </c>
      <c r="D7" s="13" t="s">
        <v>41</v>
      </c>
      <c r="E7" s="16">
        <v>0.0</v>
      </c>
      <c r="F7" s="13" t="s">
        <v>75</v>
      </c>
    </row>
    <row r="8" ht="15.0" customHeight="1">
      <c r="A8" s="6" t="s">
        <v>73</v>
      </c>
      <c r="B8" s="6" t="s">
        <v>74</v>
      </c>
      <c r="C8" s="9">
        <v>2.0</v>
      </c>
      <c r="D8" s="6" t="s">
        <v>54</v>
      </c>
      <c r="E8" s="9">
        <v>50.0</v>
      </c>
      <c r="F8" s="6" t="s">
        <v>78</v>
      </c>
    </row>
    <row r="9" ht="15.0" customHeight="1">
      <c r="A9" s="13" t="s">
        <v>73</v>
      </c>
      <c r="B9" s="13" t="s">
        <v>74</v>
      </c>
      <c r="C9" s="16">
        <v>3.0</v>
      </c>
      <c r="D9" s="13" t="s">
        <v>62</v>
      </c>
      <c r="E9" s="16">
        <v>100.0</v>
      </c>
      <c r="F9" s="13" t="s">
        <v>84</v>
      </c>
    </row>
    <row r="10" ht="15.0" customHeight="1">
      <c r="A10" s="6" t="s">
        <v>85</v>
      </c>
      <c r="B10" s="6" t="s">
        <v>87</v>
      </c>
      <c r="C10" s="9">
        <v>1.0</v>
      </c>
      <c r="D10" s="6" t="s">
        <v>41</v>
      </c>
      <c r="E10" s="9">
        <v>0.0</v>
      </c>
      <c r="F10" s="6" t="s">
        <v>89</v>
      </c>
    </row>
    <row r="11" ht="29.25" customHeight="1">
      <c r="A11" s="13" t="s">
        <v>85</v>
      </c>
      <c r="B11" s="13" t="s">
        <v>87</v>
      </c>
      <c r="C11" s="16">
        <v>2.0</v>
      </c>
      <c r="D11" s="13" t="s">
        <v>54</v>
      </c>
      <c r="E11" s="16">
        <v>25.0</v>
      </c>
      <c r="F11" s="20" t="s">
        <v>95</v>
      </c>
    </row>
    <row r="12" ht="29.25" customHeight="1">
      <c r="A12" s="6" t="s">
        <v>85</v>
      </c>
      <c r="B12" s="6" t="s">
        <v>87</v>
      </c>
      <c r="C12" s="9">
        <v>3.0</v>
      </c>
      <c r="D12" s="6" t="s">
        <v>62</v>
      </c>
      <c r="E12" s="9">
        <v>50.0</v>
      </c>
      <c r="F12" s="10" t="s">
        <v>102</v>
      </c>
    </row>
    <row r="13" ht="29.25" customHeight="1">
      <c r="A13" s="13" t="s">
        <v>85</v>
      </c>
      <c r="B13" s="13" t="s">
        <v>87</v>
      </c>
      <c r="C13" s="16">
        <v>4.0</v>
      </c>
      <c r="D13" s="13" t="s">
        <v>65</v>
      </c>
      <c r="E13" s="16">
        <v>75.0</v>
      </c>
      <c r="F13" s="20" t="s">
        <v>107</v>
      </c>
    </row>
    <row r="14" ht="29.25" customHeight="1">
      <c r="A14" s="6" t="s">
        <v>85</v>
      </c>
      <c r="B14" s="6" t="s">
        <v>87</v>
      </c>
      <c r="C14" s="9">
        <v>5.0</v>
      </c>
      <c r="D14" s="6" t="s">
        <v>69</v>
      </c>
      <c r="E14" s="9">
        <v>100.0</v>
      </c>
      <c r="F14" s="10" t="s">
        <v>108</v>
      </c>
    </row>
    <row r="15" ht="15.0" customHeight="1">
      <c r="A15" s="13" t="s">
        <v>111</v>
      </c>
      <c r="B15" s="13" t="s">
        <v>113</v>
      </c>
      <c r="C15" s="16">
        <v>1.0</v>
      </c>
      <c r="D15" s="13" t="s">
        <v>41</v>
      </c>
      <c r="E15" s="16">
        <v>0.0</v>
      </c>
      <c r="F15" s="20" t="s">
        <v>116</v>
      </c>
    </row>
    <row r="16" ht="15.0" customHeight="1">
      <c r="A16" s="6" t="s">
        <v>111</v>
      </c>
      <c r="B16" s="6" t="s">
        <v>113</v>
      </c>
      <c r="C16" s="9">
        <v>2.0</v>
      </c>
      <c r="D16" s="6" t="s">
        <v>54</v>
      </c>
      <c r="E16" s="9">
        <v>25.0</v>
      </c>
      <c r="F16" s="10" t="s">
        <v>118</v>
      </c>
    </row>
    <row r="17" ht="29.25" customHeight="1">
      <c r="A17" s="13" t="s">
        <v>111</v>
      </c>
      <c r="B17" s="13" t="s">
        <v>113</v>
      </c>
      <c r="C17" s="16">
        <v>3.0</v>
      </c>
      <c r="D17" s="13" t="s">
        <v>62</v>
      </c>
      <c r="E17" s="16">
        <v>50.0</v>
      </c>
      <c r="F17" s="13" t="s">
        <v>121</v>
      </c>
    </row>
    <row r="18" ht="29.25" customHeight="1">
      <c r="A18" s="6" t="s">
        <v>111</v>
      </c>
      <c r="B18" s="6" t="s">
        <v>113</v>
      </c>
      <c r="C18" s="9">
        <v>4.0</v>
      </c>
      <c r="D18" s="6" t="s">
        <v>65</v>
      </c>
      <c r="E18" s="9">
        <v>75.0</v>
      </c>
      <c r="F18" s="6" t="s">
        <v>124</v>
      </c>
    </row>
    <row r="19" ht="29.25" customHeight="1">
      <c r="A19" s="13" t="s">
        <v>111</v>
      </c>
      <c r="B19" s="13" t="s">
        <v>113</v>
      </c>
      <c r="C19" s="16">
        <v>5.0</v>
      </c>
      <c r="D19" s="13" t="s">
        <v>69</v>
      </c>
      <c r="E19" s="16">
        <v>100.0</v>
      </c>
      <c r="F19" s="13" t="s">
        <v>128</v>
      </c>
    </row>
    <row r="20" ht="29.25" customHeight="1">
      <c r="A20" s="6" t="s">
        <v>132</v>
      </c>
      <c r="B20" s="6" t="s">
        <v>133</v>
      </c>
      <c r="C20" s="9">
        <v>1.0</v>
      </c>
      <c r="D20" s="10" t="s">
        <v>134</v>
      </c>
      <c r="E20" s="9">
        <v>0.0</v>
      </c>
      <c r="F20" s="10" t="s">
        <v>138</v>
      </c>
    </row>
    <row r="21" ht="29.25" customHeight="1">
      <c r="A21" s="13" t="s">
        <v>132</v>
      </c>
      <c r="B21" s="13" t="s">
        <v>133</v>
      </c>
      <c r="C21" s="16">
        <v>2.0</v>
      </c>
      <c r="D21" s="20" t="s">
        <v>141</v>
      </c>
      <c r="E21" s="16">
        <v>25.0</v>
      </c>
      <c r="F21" s="20" t="s">
        <v>142</v>
      </c>
    </row>
    <row r="22" ht="29.25" customHeight="1">
      <c r="A22" s="6" t="s">
        <v>132</v>
      </c>
      <c r="B22" s="6" t="s">
        <v>133</v>
      </c>
      <c r="C22" s="9">
        <v>3.0</v>
      </c>
      <c r="D22" s="10" t="s">
        <v>144</v>
      </c>
      <c r="E22" s="9">
        <v>50.0</v>
      </c>
      <c r="F22" s="10" t="s">
        <v>147</v>
      </c>
    </row>
    <row r="23" ht="15.0" customHeight="1">
      <c r="A23" s="13" t="s">
        <v>132</v>
      </c>
      <c r="B23" s="13" t="s">
        <v>133</v>
      </c>
      <c r="C23" s="16">
        <v>4.0</v>
      </c>
      <c r="D23" s="20" t="s">
        <v>149</v>
      </c>
      <c r="E23" s="16">
        <v>75.0</v>
      </c>
      <c r="F23" s="20" t="s">
        <v>151</v>
      </c>
    </row>
    <row r="24" ht="29.25" customHeight="1">
      <c r="A24" s="6" t="s">
        <v>132</v>
      </c>
      <c r="B24" s="6" t="s">
        <v>133</v>
      </c>
      <c r="C24" s="9">
        <v>5.0</v>
      </c>
      <c r="D24" s="10" t="s">
        <v>152</v>
      </c>
      <c r="E24" s="9">
        <v>100.0</v>
      </c>
      <c r="F24" s="10" t="s">
        <v>153</v>
      </c>
    </row>
    <row r="25" ht="15.0" customHeight="1">
      <c r="A25" s="13" t="s">
        <v>156</v>
      </c>
      <c r="B25" s="20" t="s">
        <v>158</v>
      </c>
      <c r="C25" s="16">
        <v>1.0</v>
      </c>
      <c r="D25" s="13" t="s">
        <v>41</v>
      </c>
      <c r="E25" s="16">
        <v>0.0</v>
      </c>
      <c r="F25" s="20" t="s">
        <v>161</v>
      </c>
    </row>
    <row r="26" ht="15.0" customHeight="1">
      <c r="A26" s="6" t="s">
        <v>156</v>
      </c>
      <c r="B26" s="10" t="s">
        <v>158</v>
      </c>
      <c r="C26" s="9">
        <v>2.0</v>
      </c>
      <c r="D26" s="6" t="s">
        <v>54</v>
      </c>
      <c r="E26" s="9">
        <v>25.0</v>
      </c>
      <c r="F26" s="10" t="s">
        <v>164</v>
      </c>
    </row>
    <row r="27" ht="15.0" customHeight="1">
      <c r="A27" s="13" t="s">
        <v>156</v>
      </c>
      <c r="B27" s="20" t="s">
        <v>158</v>
      </c>
      <c r="C27" s="16">
        <v>3.0</v>
      </c>
      <c r="D27" s="13" t="s">
        <v>62</v>
      </c>
      <c r="E27" s="16">
        <v>50.0</v>
      </c>
      <c r="F27" s="13" t="s">
        <v>167</v>
      </c>
    </row>
    <row r="28" ht="15.0" customHeight="1">
      <c r="A28" s="6" t="s">
        <v>156</v>
      </c>
      <c r="B28" s="10" t="s">
        <v>158</v>
      </c>
      <c r="C28" s="9">
        <v>4.0</v>
      </c>
      <c r="D28" s="6" t="s">
        <v>65</v>
      </c>
      <c r="E28" s="9">
        <v>75.0</v>
      </c>
      <c r="F28" s="6" t="s">
        <v>168</v>
      </c>
    </row>
    <row r="29" ht="15.0" customHeight="1">
      <c r="A29" s="13" t="s">
        <v>156</v>
      </c>
      <c r="B29" s="20" t="s">
        <v>158</v>
      </c>
      <c r="C29" s="16">
        <v>5.0</v>
      </c>
      <c r="D29" s="13" t="s">
        <v>69</v>
      </c>
      <c r="E29" s="16">
        <v>100.0</v>
      </c>
      <c r="F29" s="13" t="s">
        <v>174</v>
      </c>
    </row>
    <row r="30" ht="29.25" customHeight="1">
      <c r="A30" s="6" t="s">
        <v>176</v>
      </c>
      <c r="B30" s="10" t="s">
        <v>177</v>
      </c>
      <c r="C30" s="9">
        <v>1.0</v>
      </c>
      <c r="D30" s="10" t="s">
        <v>134</v>
      </c>
      <c r="E30" s="9">
        <v>0.0</v>
      </c>
      <c r="F30" s="10" t="s">
        <v>178</v>
      </c>
    </row>
    <row r="31" ht="29.25" customHeight="1">
      <c r="A31" s="13" t="s">
        <v>176</v>
      </c>
      <c r="B31" s="20" t="s">
        <v>177</v>
      </c>
      <c r="C31" s="16">
        <v>2.0</v>
      </c>
      <c r="D31" s="20" t="s">
        <v>141</v>
      </c>
      <c r="E31" s="16">
        <v>25.0</v>
      </c>
      <c r="F31" s="20" t="s">
        <v>183</v>
      </c>
    </row>
    <row r="32" ht="15.0" customHeight="1">
      <c r="A32" s="6" t="s">
        <v>176</v>
      </c>
      <c r="B32" s="10" t="s">
        <v>177</v>
      </c>
      <c r="C32" s="9">
        <v>3.0</v>
      </c>
      <c r="D32" s="10" t="s">
        <v>144</v>
      </c>
      <c r="E32" s="9">
        <v>50.0</v>
      </c>
      <c r="F32" s="10" t="s">
        <v>185</v>
      </c>
    </row>
    <row r="33" ht="29.25" customHeight="1">
      <c r="A33" s="13" t="s">
        <v>176</v>
      </c>
      <c r="B33" s="20" t="s">
        <v>177</v>
      </c>
      <c r="C33" s="16">
        <v>4.0</v>
      </c>
      <c r="D33" s="20" t="s">
        <v>149</v>
      </c>
      <c r="E33" s="16">
        <v>75.0</v>
      </c>
      <c r="F33" s="20" t="s">
        <v>189</v>
      </c>
    </row>
    <row r="34" ht="29.25" customHeight="1">
      <c r="A34" s="6" t="s">
        <v>176</v>
      </c>
      <c r="B34" s="10" t="s">
        <v>177</v>
      </c>
      <c r="C34" s="9">
        <v>5.0</v>
      </c>
      <c r="D34" s="10" t="s">
        <v>152</v>
      </c>
      <c r="E34" s="9">
        <v>100.0</v>
      </c>
      <c r="F34" s="10" t="s">
        <v>191</v>
      </c>
    </row>
    <row r="35" ht="15.0" customHeight="1">
      <c r="A35" s="13" t="s">
        <v>193</v>
      </c>
      <c r="B35" s="20" t="s">
        <v>195</v>
      </c>
      <c r="C35" s="16">
        <v>1.0</v>
      </c>
      <c r="D35" s="13" t="s">
        <v>41</v>
      </c>
      <c r="E35" s="16">
        <v>0.0</v>
      </c>
      <c r="F35" s="20" t="s">
        <v>197</v>
      </c>
    </row>
    <row r="36" ht="15.0" customHeight="1">
      <c r="A36" s="6" t="s">
        <v>193</v>
      </c>
      <c r="B36" s="10" t="s">
        <v>195</v>
      </c>
      <c r="C36" s="9">
        <v>2.0</v>
      </c>
      <c r="D36" s="6" t="s">
        <v>54</v>
      </c>
      <c r="E36" s="9">
        <v>50.0</v>
      </c>
      <c r="F36" s="10" t="s">
        <v>200</v>
      </c>
    </row>
    <row r="37" ht="29.25" customHeight="1">
      <c r="A37" s="13" t="s">
        <v>193</v>
      </c>
      <c r="B37" s="20" t="s">
        <v>195</v>
      </c>
      <c r="C37" s="16">
        <v>3.0</v>
      </c>
      <c r="D37" s="13" t="s">
        <v>62</v>
      </c>
      <c r="E37" s="16">
        <v>100.0</v>
      </c>
      <c r="F37" s="20" t="s">
        <v>205</v>
      </c>
    </row>
    <row r="38" ht="15.0" customHeight="1">
      <c r="A38" s="6" t="s">
        <v>207</v>
      </c>
      <c r="B38" s="10" t="s">
        <v>208</v>
      </c>
      <c r="C38" s="9">
        <v>1.0</v>
      </c>
      <c r="D38" s="6" t="s">
        <v>41</v>
      </c>
      <c r="E38" s="9">
        <v>0.0</v>
      </c>
      <c r="F38" s="10" t="s">
        <v>210</v>
      </c>
    </row>
    <row r="39" ht="15.0" customHeight="1">
      <c r="A39" s="13" t="s">
        <v>207</v>
      </c>
      <c r="B39" s="20" t="s">
        <v>208</v>
      </c>
      <c r="C39" s="16">
        <v>2.0</v>
      </c>
      <c r="D39" s="13" t="s">
        <v>54</v>
      </c>
      <c r="E39" s="16">
        <v>50.0</v>
      </c>
      <c r="F39" s="20" t="s">
        <v>215</v>
      </c>
    </row>
    <row r="40" ht="43.5" customHeight="1">
      <c r="A40" s="6" t="s">
        <v>207</v>
      </c>
      <c r="B40" s="10" t="s">
        <v>208</v>
      </c>
      <c r="C40" s="9">
        <v>3.0</v>
      </c>
      <c r="D40" s="6" t="s">
        <v>62</v>
      </c>
      <c r="E40" s="9">
        <v>100.0</v>
      </c>
      <c r="F40" s="10" t="s">
        <v>223</v>
      </c>
    </row>
    <row r="41" ht="26.25" customHeight="1">
      <c r="A41" s="13" t="s">
        <v>225</v>
      </c>
      <c r="B41" s="20" t="s">
        <v>227</v>
      </c>
      <c r="C41" s="16">
        <v>1.0</v>
      </c>
      <c r="D41" s="13" t="s">
        <v>41</v>
      </c>
      <c r="E41" s="16">
        <v>0.0</v>
      </c>
      <c r="F41" s="20" t="s">
        <v>230</v>
      </c>
    </row>
    <row r="42" ht="26.25" customHeight="1">
      <c r="A42" s="6" t="s">
        <v>225</v>
      </c>
      <c r="B42" s="10" t="s">
        <v>227</v>
      </c>
      <c r="C42" s="9">
        <v>2.0</v>
      </c>
      <c r="D42" s="6" t="s">
        <v>54</v>
      </c>
      <c r="E42" s="9">
        <v>50.0</v>
      </c>
      <c r="F42" s="10" t="s">
        <v>234</v>
      </c>
    </row>
    <row r="43" ht="43.5" customHeight="1">
      <c r="A43" s="13" t="s">
        <v>225</v>
      </c>
      <c r="B43" s="20" t="s">
        <v>227</v>
      </c>
      <c r="C43" s="16">
        <v>3.0</v>
      </c>
      <c r="D43" s="13" t="s">
        <v>62</v>
      </c>
      <c r="E43" s="16">
        <v>100.0</v>
      </c>
      <c r="F43" s="20" t="s">
        <v>239</v>
      </c>
    </row>
    <row r="44" ht="29.25" customHeight="1">
      <c r="A44" s="6" t="s">
        <v>240</v>
      </c>
      <c r="B44" s="10" t="s">
        <v>241</v>
      </c>
      <c r="C44" s="9">
        <v>1.0</v>
      </c>
      <c r="D44" s="10" t="s">
        <v>134</v>
      </c>
      <c r="E44" s="9">
        <v>0.0</v>
      </c>
      <c r="F44" s="10" t="s">
        <v>242</v>
      </c>
    </row>
    <row r="45" ht="29.25" customHeight="1">
      <c r="A45" s="13" t="s">
        <v>240</v>
      </c>
      <c r="B45" s="20" t="s">
        <v>241</v>
      </c>
      <c r="C45" s="16">
        <v>2.0</v>
      </c>
      <c r="D45" s="20" t="s">
        <v>141</v>
      </c>
      <c r="E45" s="16">
        <v>25.0</v>
      </c>
      <c r="F45" s="20" t="s">
        <v>246</v>
      </c>
    </row>
    <row r="46" ht="15.0" customHeight="1">
      <c r="A46" s="6" t="s">
        <v>240</v>
      </c>
      <c r="B46" s="10" t="s">
        <v>241</v>
      </c>
      <c r="C46" s="9">
        <v>3.0</v>
      </c>
      <c r="D46" s="10" t="s">
        <v>144</v>
      </c>
      <c r="E46" s="9">
        <v>50.0</v>
      </c>
      <c r="F46" s="10" t="s">
        <v>248</v>
      </c>
    </row>
    <row r="47" ht="29.25" customHeight="1">
      <c r="A47" s="13" t="s">
        <v>240</v>
      </c>
      <c r="B47" s="20" t="s">
        <v>241</v>
      </c>
      <c r="C47" s="16">
        <v>4.0</v>
      </c>
      <c r="D47" s="20" t="s">
        <v>149</v>
      </c>
      <c r="E47" s="16">
        <v>75.0</v>
      </c>
      <c r="F47" s="20" t="s">
        <v>249</v>
      </c>
    </row>
    <row r="48" ht="29.25" customHeight="1">
      <c r="A48" s="6" t="s">
        <v>240</v>
      </c>
      <c r="B48" s="10" t="s">
        <v>241</v>
      </c>
      <c r="C48" s="9">
        <v>5.0</v>
      </c>
      <c r="D48" s="10" t="s">
        <v>152</v>
      </c>
      <c r="E48" s="9">
        <v>100.0</v>
      </c>
      <c r="F48" s="10" t="s">
        <v>254</v>
      </c>
    </row>
    <row r="49" ht="15.0" customHeight="1">
      <c r="A49" s="13" t="s">
        <v>255</v>
      </c>
      <c r="B49" s="20" t="s">
        <v>257</v>
      </c>
      <c r="C49" s="16">
        <v>1.0</v>
      </c>
      <c r="D49" s="13" t="s">
        <v>41</v>
      </c>
      <c r="E49" s="16">
        <v>0.0</v>
      </c>
      <c r="F49" s="20" t="s">
        <v>258</v>
      </c>
    </row>
    <row r="50" ht="15.0" customHeight="1">
      <c r="A50" s="6" t="s">
        <v>255</v>
      </c>
      <c r="B50" s="10" t="s">
        <v>257</v>
      </c>
      <c r="C50" s="9">
        <v>2.0</v>
      </c>
      <c r="D50" s="6" t="s">
        <v>54</v>
      </c>
      <c r="E50" s="9">
        <v>50.0</v>
      </c>
      <c r="F50" s="10" t="s">
        <v>261</v>
      </c>
    </row>
    <row r="51" ht="29.25" customHeight="1">
      <c r="A51" s="13" t="s">
        <v>255</v>
      </c>
      <c r="B51" s="20" t="s">
        <v>257</v>
      </c>
      <c r="C51" s="16">
        <v>3.0</v>
      </c>
      <c r="D51" s="13" t="s">
        <v>62</v>
      </c>
      <c r="E51" s="16">
        <v>100.0</v>
      </c>
      <c r="F51" s="20" t="s">
        <v>263</v>
      </c>
    </row>
    <row r="52" ht="15.0" customHeight="1">
      <c r="A52" s="6" t="s">
        <v>265</v>
      </c>
      <c r="B52" s="10" t="s">
        <v>266</v>
      </c>
      <c r="C52" s="9">
        <v>1.0</v>
      </c>
      <c r="D52" s="6" t="s">
        <v>41</v>
      </c>
      <c r="E52" s="9">
        <v>0.0</v>
      </c>
      <c r="F52" s="10" t="s">
        <v>267</v>
      </c>
    </row>
    <row r="53" ht="15.0" customHeight="1">
      <c r="A53" s="13" t="s">
        <v>265</v>
      </c>
      <c r="B53" s="20" t="s">
        <v>266</v>
      </c>
      <c r="C53" s="16">
        <v>2.0</v>
      </c>
      <c r="D53" s="13" t="s">
        <v>54</v>
      </c>
      <c r="E53" s="16">
        <v>50.0</v>
      </c>
      <c r="F53" s="20" t="s">
        <v>272</v>
      </c>
    </row>
    <row r="54" ht="43.5" customHeight="1">
      <c r="A54" s="6" t="s">
        <v>265</v>
      </c>
      <c r="B54" s="10" t="s">
        <v>266</v>
      </c>
      <c r="C54" s="9">
        <v>3.0</v>
      </c>
      <c r="D54" s="6" t="s">
        <v>62</v>
      </c>
      <c r="E54" s="9">
        <v>100.0</v>
      </c>
      <c r="F54" s="10" t="s">
        <v>273</v>
      </c>
    </row>
    <row r="55" ht="15.0" customHeight="1">
      <c r="A55" s="13" t="s">
        <v>276</v>
      </c>
      <c r="B55" s="20" t="s">
        <v>277</v>
      </c>
      <c r="C55" s="16">
        <v>1.0</v>
      </c>
      <c r="D55" s="13" t="s">
        <v>41</v>
      </c>
      <c r="E55" s="16">
        <v>0.0</v>
      </c>
      <c r="F55" s="20" t="s">
        <v>279</v>
      </c>
    </row>
    <row r="56" ht="15.0" customHeight="1">
      <c r="A56" s="6" t="s">
        <v>276</v>
      </c>
      <c r="B56" s="10" t="s">
        <v>277</v>
      </c>
      <c r="C56" s="9">
        <v>2.0</v>
      </c>
      <c r="D56" s="6" t="s">
        <v>54</v>
      </c>
      <c r="E56" s="9">
        <v>50.0</v>
      </c>
      <c r="F56" s="10" t="s">
        <v>282</v>
      </c>
    </row>
    <row r="57" ht="29.25" customHeight="1">
      <c r="A57" s="13" t="s">
        <v>276</v>
      </c>
      <c r="B57" s="20" t="s">
        <v>277</v>
      </c>
      <c r="C57" s="16">
        <v>3.0</v>
      </c>
      <c r="D57" s="13" t="s">
        <v>62</v>
      </c>
      <c r="E57" s="16">
        <v>100.0</v>
      </c>
      <c r="F57" s="20" t="s">
        <v>285</v>
      </c>
    </row>
    <row r="58" ht="15.0" customHeight="1">
      <c r="A58" s="6" t="s">
        <v>288</v>
      </c>
      <c r="B58" s="10" t="s">
        <v>289</v>
      </c>
      <c r="C58" s="9">
        <v>1.0</v>
      </c>
      <c r="D58" s="6" t="s">
        <v>41</v>
      </c>
      <c r="E58" s="9">
        <v>0.0</v>
      </c>
      <c r="F58" s="10" t="s">
        <v>292</v>
      </c>
    </row>
    <row r="59" ht="15.0" customHeight="1">
      <c r="A59" s="13" t="s">
        <v>288</v>
      </c>
      <c r="B59" s="20" t="s">
        <v>289</v>
      </c>
      <c r="C59" s="16">
        <v>2.0</v>
      </c>
      <c r="D59" s="13" t="s">
        <v>54</v>
      </c>
      <c r="E59" s="16">
        <v>50.0</v>
      </c>
      <c r="F59" s="20" t="s">
        <v>297</v>
      </c>
    </row>
    <row r="60" ht="43.5" customHeight="1">
      <c r="A60" s="6" t="s">
        <v>288</v>
      </c>
      <c r="B60" s="10" t="s">
        <v>289</v>
      </c>
      <c r="C60" s="9">
        <v>3.0</v>
      </c>
      <c r="D60" s="6" t="s">
        <v>62</v>
      </c>
      <c r="E60" s="9">
        <v>100.0</v>
      </c>
      <c r="F60" s="10" t="s">
        <v>300</v>
      </c>
    </row>
    <row r="61" ht="15.0" customHeight="1">
      <c r="A61" s="13" t="s">
        <v>302</v>
      </c>
      <c r="B61" s="20" t="s">
        <v>304</v>
      </c>
      <c r="C61" s="16">
        <v>1.0</v>
      </c>
      <c r="D61" s="13" t="s">
        <v>41</v>
      </c>
      <c r="E61" s="16">
        <v>0.0</v>
      </c>
      <c r="F61" s="20" t="s">
        <v>306</v>
      </c>
    </row>
    <row r="62" ht="15.0" customHeight="1">
      <c r="A62" s="6" t="s">
        <v>302</v>
      </c>
      <c r="B62" s="10" t="s">
        <v>304</v>
      </c>
      <c r="C62" s="9">
        <v>2.0</v>
      </c>
      <c r="D62" s="6" t="s">
        <v>54</v>
      </c>
      <c r="E62" s="9">
        <v>50.0</v>
      </c>
      <c r="F62" s="10" t="s">
        <v>311</v>
      </c>
    </row>
    <row r="63" ht="29.25" customHeight="1">
      <c r="A63" s="13" t="s">
        <v>302</v>
      </c>
      <c r="B63" s="20" t="s">
        <v>304</v>
      </c>
      <c r="C63" s="16">
        <v>3.0</v>
      </c>
      <c r="D63" s="13" t="s">
        <v>62</v>
      </c>
      <c r="E63" s="16">
        <v>100.0</v>
      </c>
      <c r="F63" s="20" t="s">
        <v>314</v>
      </c>
    </row>
    <row r="64" ht="15.0" customHeight="1">
      <c r="A64" s="6" t="s">
        <v>317</v>
      </c>
      <c r="B64" s="10" t="s">
        <v>319</v>
      </c>
      <c r="C64" s="9">
        <v>1.0</v>
      </c>
      <c r="D64" s="6" t="s">
        <v>41</v>
      </c>
      <c r="E64" s="9">
        <v>0.0</v>
      </c>
      <c r="F64" s="10" t="s">
        <v>322</v>
      </c>
    </row>
    <row r="65" ht="15.0" customHeight="1">
      <c r="A65" s="13" t="s">
        <v>317</v>
      </c>
      <c r="B65" s="20" t="s">
        <v>319</v>
      </c>
      <c r="C65" s="16">
        <v>2.0</v>
      </c>
      <c r="D65" s="13" t="s">
        <v>54</v>
      </c>
      <c r="E65" s="16">
        <v>50.0</v>
      </c>
      <c r="F65" s="20" t="s">
        <v>324</v>
      </c>
    </row>
    <row r="66" ht="43.5" customHeight="1">
      <c r="A66" s="6" t="s">
        <v>317</v>
      </c>
      <c r="B66" s="10" t="s">
        <v>319</v>
      </c>
      <c r="C66" s="9">
        <v>3.0</v>
      </c>
      <c r="D66" s="6" t="s">
        <v>62</v>
      </c>
      <c r="E66" s="9">
        <v>100.0</v>
      </c>
      <c r="F66" s="10" t="s">
        <v>331</v>
      </c>
    </row>
    <row r="67" ht="15.0" customHeight="1">
      <c r="A67" s="13" t="s">
        <v>333</v>
      </c>
      <c r="B67" s="20" t="s">
        <v>335</v>
      </c>
      <c r="C67" s="16">
        <v>1.0</v>
      </c>
      <c r="D67" s="13" t="s">
        <v>41</v>
      </c>
      <c r="E67" s="16">
        <v>0.0</v>
      </c>
      <c r="F67" s="20" t="s">
        <v>336</v>
      </c>
    </row>
    <row r="68" ht="15.0" customHeight="1">
      <c r="A68" s="6" t="s">
        <v>333</v>
      </c>
      <c r="B68" s="10" t="s">
        <v>335</v>
      </c>
      <c r="C68" s="9">
        <v>2.0</v>
      </c>
      <c r="D68" s="6" t="s">
        <v>54</v>
      </c>
      <c r="E68" s="9">
        <v>50.0</v>
      </c>
      <c r="F68" s="10" t="s">
        <v>340</v>
      </c>
    </row>
    <row r="69" ht="43.5" customHeight="1">
      <c r="A69" s="13" t="s">
        <v>333</v>
      </c>
      <c r="B69" s="20" t="s">
        <v>335</v>
      </c>
      <c r="C69" s="16">
        <v>3.0</v>
      </c>
      <c r="D69" s="13" t="s">
        <v>62</v>
      </c>
      <c r="E69" s="16">
        <v>100.0</v>
      </c>
      <c r="F69" s="20" t="s">
        <v>342</v>
      </c>
    </row>
    <row r="70" ht="15.0" customHeight="1">
      <c r="A70" s="6" t="s">
        <v>346</v>
      </c>
      <c r="B70" s="10" t="s">
        <v>348</v>
      </c>
      <c r="C70" s="9">
        <v>1.0</v>
      </c>
      <c r="D70" s="6" t="s">
        <v>41</v>
      </c>
      <c r="E70" s="9">
        <v>0.0</v>
      </c>
      <c r="F70" s="10" t="s">
        <v>349</v>
      </c>
    </row>
    <row r="71" ht="15.0" customHeight="1">
      <c r="A71" s="13" t="s">
        <v>346</v>
      </c>
      <c r="B71" s="20" t="s">
        <v>348</v>
      </c>
      <c r="C71" s="16">
        <v>2.0</v>
      </c>
      <c r="D71" s="13" t="s">
        <v>54</v>
      </c>
      <c r="E71" s="16">
        <v>50.0</v>
      </c>
      <c r="F71" s="20" t="s">
        <v>356</v>
      </c>
    </row>
    <row r="72" ht="43.5" customHeight="1">
      <c r="A72" s="6" t="s">
        <v>346</v>
      </c>
      <c r="B72" s="10" t="s">
        <v>348</v>
      </c>
      <c r="C72" s="9">
        <v>3.0</v>
      </c>
      <c r="D72" s="6" t="s">
        <v>62</v>
      </c>
      <c r="E72" s="9">
        <v>100.0</v>
      </c>
      <c r="F72" s="10" t="s">
        <v>360</v>
      </c>
    </row>
    <row r="73" ht="29.25" customHeight="1">
      <c r="A73" s="13" t="s">
        <v>361</v>
      </c>
      <c r="B73" s="20" t="s">
        <v>363</v>
      </c>
      <c r="C73" s="16">
        <v>1.0</v>
      </c>
      <c r="D73" s="13" t="s">
        <v>41</v>
      </c>
      <c r="E73" s="16">
        <v>100.0</v>
      </c>
      <c r="F73" s="20" t="s">
        <v>366</v>
      </c>
    </row>
    <row r="74" ht="29.25" customHeight="1">
      <c r="A74" s="6" t="s">
        <v>361</v>
      </c>
      <c r="B74" s="10" t="s">
        <v>363</v>
      </c>
      <c r="C74" s="9">
        <v>2.0</v>
      </c>
      <c r="D74" s="6" t="s">
        <v>54</v>
      </c>
      <c r="E74" s="9">
        <v>50.0</v>
      </c>
      <c r="F74" s="10" t="s">
        <v>373</v>
      </c>
    </row>
    <row r="75" ht="43.5" customHeight="1">
      <c r="A75" s="13" t="s">
        <v>361</v>
      </c>
      <c r="B75" s="20" t="s">
        <v>363</v>
      </c>
      <c r="C75" s="16">
        <v>3.0</v>
      </c>
      <c r="D75" s="13" t="s">
        <v>62</v>
      </c>
      <c r="E75" s="16">
        <v>0.0</v>
      </c>
      <c r="F75" s="20" t="s">
        <v>379</v>
      </c>
    </row>
    <row r="76" ht="15.0" customHeight="1">
      <c r="A76" s="6" t="s">
        <v>383</v>
      </c>
      <c r="B76" s="10" t="s">
        <v>385</v>
      </c>
      <c r="C76" s="9">
        <v>1.0</v>
      </c>
      <c r="D76" s="6" t="s">
        <v>41</v>
      </c>
      <c r="E76" s="9">
        <v>0.0</v>
      </c>
      <c r="F76" s="10" t="s">
        <v>389</v>
      </c>
    </row>
    <row r="77" ht="29.25" customHeight="1">
      <c r="A77" s="13" t="s">
        <v>383</v>
      </c>
      <c r="B77" s="20" t="s">
        <v>385</v>
      </c>
      <c r="C77" s="16">
        <v>2.0</v>
      </c>
      <c r="D77" s="13" t="s">
        <v>54</v>
      </c>
      <c r="E77" s="16">
        <v>25.0</v>
      </c>
      <c r="F77" s="20" t="s">
        <v>394</v>
      </c>
    </row>
    <row r="78" ht="29.25" customHeight="1">
      <c r="A78" s="6" t="s">
        <v>383</v>
      </c>
      <c r="B78" s="10" t="s">
        <v>385</v>
      </c>
      <c r="C78" s="9">
        <v>3.0</v>
      </c>
      <c r="D78" s="6" t="s">
        <v>62</v>
      </c>
      <c r="E78" s="9">
        <v>50.0</v>
      </c>
      <c r="F78" s="10" t="s">
        <v>400</v>
      </c>
    </row>
    <row r="79" ht="29.25" customHeight="1">
      <c r="A79" s="13" t="s">
        <v>383</v>
      </c>
      <c r="B79" s="20" t="s">
        <v>385</v>
      </c>
      <c r="C79" s="16">
        <v>4.0</v>
      </c>
      <c r="D79" s="13" t="s">
        <v>65</v>
      </c>
      <c r="E79" s="16">
        <v>75.0</v>
      </c>
      <c r="F79" s="13" t="s">
        <v>407</v>
      </c>
    </row>
    <row r="80" ht="15.0" customHeight="1">
      <c r="A80" s="6" t="s">
        <v>383</v>
      </c>
      <c r="B80" s="10" t="s">
        <v>385</v>
      </c>
      <c r="C80" s="9">
        <v>5.0</v>
      </c>
      <c r="D80" s="6" t="s">
        <v>69</v>
      </c>
      <c r="E80" s="9">
        <v>100.0</v>
      </c>
      <c r="F80" s="6" t="s">
        <v>415</v>
      </c>
    </row>
    <row r="81" ht="15.0" customHeight="1">
      <c r="A81" s="13" t="s">
        <v>418</v>
      </c>
      <c r="B81" s="20" t="s">
        <v>421</v>
      </c>
      <c r="C81" s="16">
        <v>1.0</v>
      </c>
      <c r="D81" s="13" t="s">
        <v>41</v>
      </c>
      <c r="E81" s="16">
        <v>0.0</v>
      </c>
      <c r="F81" s="20" t="s">
        <v>425</v>
      </c>
    </row>
    <row r="82" ht="15.0" customHeight="1">
      <c r="A82" s="6" t="s">
        <v>418</v>
      </c>
      <c r="B82" s="10" t="s">
        <v>421</v>
      </c>
      <c r="C82" s="9">
        <v>2.0</v>
      </c>
      <c r="D82" s="6" t="s">
        <v>54</v>
      </c>
      <c r="E82" s="9">
        <v>25.0</v>
      </c>
      <c r="F82" s="10" t="s">
        <v>431</v>
      </c>
    </row>
    <row r="83" ht="15.0" customHeight="1">
      <c r="A83" s="13" t="s">
        <v>418</v>
      </c>
      <c r="B83" s="20" t="s">
        <v>421</v>
      </c>
      <c r="C83" s="16">
        <v>3.0</v>
      </c>
      <c r="D83" s="13" t="s">
        <v>62</v>
      </c>
      <c r="E83" s="16">
        <v>50.0</v>
      </c>
      <c r="F83" s="13" t="s">
        <v>435</v>
      </c>
    </row>
    <row r="84" ht="15.0" customHeight="1">
      <c r="A84" s="6" t="s">
        <v>418</v>
      </c>
      <c r="B84" s="10" t="s">
        <v>421</v>
      </c>
      <c r="C84" s="9">
        <v>4.0</v>
      </c>
      <c r="D84" s="6" t="s">
        <v>65</v>
      </c>
      <c r="E84" s="9">
        <v>75.0</v>
      </c>
      <c r="F84" s="6" t="s">
        <v>437</v>
      </c>
    </row>
    <row r="85" ht="43.5" customHeight="1">
      <c r="A85" s="13" t="s">
        <v>418</v>
      </c>
      <c r="B85" s="20" t="s">
        <v>421</v>
      </c>
      <c r="C85" s="16">
        <v>5.0</v>
      </c>
      <c r="D85" s="13" t="s">
        <v>69</v>
      </c>
      <c r="E85" s="16">
        <v>100.0</v>
      </c>
      <c r="F85" s="13" t="s">
        <v>442</v>
      </c>
    </row>
    <row r="86" ht="15.0" customHeight="1">
      <c r="A86" s="6" t="s">
        <v>444</v>
      </c>
      <c r="B86" s="10" t="s">
        <v>445</v>
      </c>
      <c r="C86" s="9">
        <v>1.0</v>
      </c>
      <c r="D86" s="6" t="s">
        <v>41</v>
      </c>
      <c r="E86" s="9">
        <v>0.0</v>
      </c>
      <c r="F86" s="10" t="s">
        <v>448</v>
      </c>
    </row>
    <row r="87" ht="15.0" customHeight="1">
      <c r="A87" s="13" t="s">
        <v>444</v>
      </c>
      <c r="B87" s="20" t="s">
        <v>445</v>
      </c>
      <c r="C87" s="16">
        <v>2.0</v>
      </c>
      <c r="D87" s="13" t="s">
        <v>54</v>
      </c>
      <c r="E87" s="16">
        <v>25.0</v>
      </c>
      <c r="F87" s="20" t="s">
        <v>452</v>
      </c>
    </row>
    <row r="88" ht="15.0" customHeight="1">
      <c r="A88" s="6" t="s">
        <v>444</v>
      </c>
      <c r="B88" s="10" t="s">
        <v>445</v>
      </c>
      <c r="C88" s="9">
        <v>3.0</v>
      </c>
      <c r="D88" s="6" t="s">
        <v>62</v>
      </c>
      <c r="E88" s="9">
        <v>50.0</v>
      </c>
      <c r="F88" s="6" t="s">
        <v>455</v>
      </c>
    </row>
    <row r="89" ht="29.25" customHeight="1">
      <c r="A89" s="13" t="s">
        <v>444</v>
      </c>
      <c r="B89" s="20" t="s">
        <v>445</v>
      </c>
      <c r="C89" s="16">
        <v>4.0</v>
      </c>
      <c r="D89" s="13" t="s">
        <v>65</v>
      </c>
      <c r="E89" s="16">
        <v>75.0</v>
      </c>
      <c r="F89" s="13" t="s">
        <v>460</v>
      </c>
    </row>
    <row r="90" ht="15.0" customHeight="1">
      <c r="A90" s="6" t="s">
        <v>444</v>
      </c>
      <c r="B90" s="10" t="s">
        <v>445</v>
      </c>
      <c r="C90" s="9">
        <v>5.0</v>
      </c>
      <c r="D90" s="6" t="s">
        <v>69</v>
      </c>
      <c r="E90" s="9">
        <v>100.0</v>
      </c>
      <c r="F90" s="6" t="s">
        <v>462</v>
      </c>
    </row>
    <row r="91" ht="15.0" customHeight="1">
      <c r="A91" s="13" t="s">
        <v>466</v>
      </c>
      <c r="B91" s="20" t="s">
        <v>468</v>
      </c>
      <c r="C91" s="16">
        <v>1.0</v>
      </c>
      <c r="D91" s="13" t="s">
        <v>41</v>
      </c>
      <c r="E91" s="16">
        <v>0.0</v>
      </c>
      <c r="F91" s="20" t="s">
        <v>471</v>
      </c>
    </row>
    <row r="92" ht="15.0" customHeight="1">
      <c r="A92" s="6" t="s">
        <v>466</v>
      </c>
      <c r="B92" s="10" t="s">
        <v>468</v>
      </c>
      <c r="C92" s="9">
        <v>2.0</v>
      </c>
      <c r="D92" s="6" t="s">
        <v>54</v>
      </c>
      <c r="E92" s="9">
        <v>25.0</v>
      </c>
      <c r="F92" s="10" t="s">
        <v>475</v>
      </c>
    </row>
    <row r="93" ht="15.0" customHeight="1">
      <c r="A93" s="13" t="s">
        <v>466</v>
      </c>
      <c r="B93" s="20" t="s">
        <v>468</v>
      </c>
      <c r="C93" s="16">
        <v>3.0</v>
      </c>
      <c r="D93" s="13" t="s">
        <v>62</v>
      </c>
      <c r="E93" s="16">
        <v>50.0</v>
      </c>
      <c r="F93" s="20" t="s">
        <v>480</v>
      </c>
    </row>
    <row r="94" ht="15.0" customHeight="1">
      <c r="A94" s="6" t="s">
        <v>466</v>
      </c>
      <c r="B94" s="10" t="s">
        <v>468</v>
      </c>
      <c r="C94" s="9">
        <v>4.0</v>
      </c>
      <c r="D94" s="6" t="s">
        <v>65</v>
      </c>
      <c r="E94" s="9">
        <v>75.0</v>
      </c>
      <c r="F94" s="10" t="s">
        <v>483</v>
      </c>
    </row>
    <row r="95" ht="15.0" customHeight="1">
      <c r="A95" s="13" t="s">
        <v>466</v>
      </c>
      <c r="B95" s="20" t="s">
        <v>468</v>
      </c>
      <c r="C95" s="16">
        <v>5.0</v>
      </c>
      <c r="D95" s="13" t="s">
        <v>69</v>
      </c>
      <c r="E95" s="16">
        <v>100.0</v>
      </c>
      <c r="F95" s="20" t="s">
        <v>488</v>
      </c>
    </row>
    <row r="96" ht="15.0" customHeight="1">
      <c r="A96" s="6" t="s">
        <v>491</v>
      </c>
      <c r="B96" s="10" t="s">
        <v>492</v>
      </c>
      <c r="C96" s="9">
        <v>1.0</v>
      </c>
      <c r="D96" s="10" t="s">
        <v>134</v>
      </c>
      <c r="E96" s="9">
        <v>0.0</v>
      </c>
      <c r="F96" s="10" t="s">
        <v>493</v>
      </c>
    </row>
    <row r="97" ht="15.0" customHeight="1">
      <c r="A97" s="13" t="s">
        <v>491</v>
      </c>
      <c r="B97" s="20" t="s">
        <v>492</v>
      </c>
      <c r="C97" s="16">
        <v>2.0</v>
      </c>
      <c r="D97" s="20" t="s">
        <v>141</v>
      </c>
      <c r="E97" s="16">
        <v>25.0</v>
      </c>
      <c r="F97" s="20" t="s">
        <v>496</v>
      </c>
    </row>
    <row r="98" ht="15.0" customHeight="1">
      <c r="A98" s="6" t="s">
        <v>491</v>
      </c>
      <c r="B98" s="10" t="s">
        <v>492</v>
      </c>
      <c r="C98" s="9">
        <v>3.0</v>
      </c>
      <c r="D98" s="10" t="s">
        <v>144</v>
      </c>
      <c r="E98" s="9">
        <v>50.0</v>
      </c>
      <c r="F98" s="10" t="s">
        <v>500</v>
      </c>
    </row>
    <row r="99" ht="15.0" customHeight="1">
      <c r="A99" s="13" t="s">
        <v>491</v>
      </c>
      <c r="B99" s="20" t="s">
        <v>492</v>
      </c>
      <c r="C99" s="16">
        <v>4.0</v>
      </c>
      <c r="D99" s="20" t="s">
        <v>149</v>
      </c>
      <c r="E99" s="16">
        <v>75.0</v>
      </c>
      <c r="F99" s="20" t="s">
        <v>503</v>
      </c>
    </row>
    <row r="100" ht="15.0" customHeight="1">
      <c r="A100" s="6" t="s">
        <v>491</v>
      </c>
      <c r="B100" s="10" t="s">
        <v>492</v>
      </c>
      <c r="C100" s="9">
        <v>5.0</v>
      </c>
      <c r="D100" s="10" t="s">
        <v>152</v>
      </c>
      <c r="E100" s="9">
        <v>100.0</v>
      </c>
      <c r="F100" s="10" t="s">
        <v>507</v>
      </c>
    </row>
    <row r="101" ht="29.25" customHeight="1">
      <c r="A101" s="13" t="s">
        <v>510</v>
      </c>
      <c r="B101" s="20" t="s">
        <v>512</v>
      </c>
      <c r="C101" s="16">
        <v>1.0</v>
      </c>
      <c r="D101" s="20" t="s">
        <v>134</v>
      </c>
      <c r="E101" s="16">
        <v>0.0</v>
      </c>
      <c r="F101" s="20" t="s">
        <v>516</v>
      </c>
    </row>
    <row r="102" ht="29.25" customHeight="1">
      <c r="A102" s="6" t="s">
        <v>510</v>
      </c>
      <c r="B102" s="10" t="s">
        <v>512</v>
      </c>
      <c r="C102" s="9">
        <v>2.0</v>
      </c>
      <c r="D102" s="10" t="s">
        <v>141</v>
      </c>
      <c r="E102" s="9">
        <v>25.0</v>
      </c>
      <c r="F102" s="10" t="s">
        <v>520</v>
      </c>
    </row>
    <row r="103" ht="29.25" customHeight="1">
      <c r="A103" s="13" t="s">
        <v>510</v>
      </c>
      <c r="B103" s="20" t="s">
        <v>512</v>
      </c>
      <c r="C103" s="16">
        <v>3.0</v>
      </c>
      <c r="D103" s="20" t="s">
        <v>144</v>
      </c>
      <c r="E103" s="16">
        <v>50.0</v>
      </c>
      <c r="F103" s="20" t="s">
        <v>523</v>
      </c>
    </row>
    <row r="104" ht="29.25" customHeight="1">
      <c r="A104" s="6" t="s">
        <v>510</v>
      </c>
      <c r="B104" s="10" t="s">
        <v>512</v>
      </c>
      <c r="C104" s="9">
        <v>4.0</v>
      </c>
      <c r="D104" s="10" t="s">
        <v>149</v>
      </c>
      <c r="E104" s="9">
        <v>75.0</v>
      </c>
      <c r="F104" s="10" t="s">
        <v>527</v>
      </c>
    </row>
    <row r="105" ht="29.25" customHeight="1">
      <c r="A105" s="13" t="s">
        <v>510</v>
      </c>
      <c r="B105" s="20" t="s">
        <v>512</v>
      </c>
      <c r="C105" s="16">
        <v>5.0</v>
      </c>
      <c r="D105" s="20" t="s">
        <v>152</v>
      </c>
      <c r="E105" s="16">
        <v>100.0</v>
      </c>
      <c r="F105" s="20" t="s">
        <v>530</v>
      </c>
    </row>
    <row r="106" ht="29.25" customHeight="1">
      <c r="A106" s="6" t="s">
        <v>531</v>
      </c>
      <c r="B106" s="10" t="s">
        <v>532</v>
      </c>
      <c r="C106" s="9">
        <v>1.0</v>
      </c>
      <c r="D106" s="6" t="s">
        <v>41</v>
      </c>
      <c r="E106" s="9">
        <v>0.0</v>
      </c>
      <c r="F106" s="10" t="s">
        <v>533</v>
      </c>
    </row>
    <row r="107" ht="29.25" customHeight="1">
      <c r="A107" s="13" t="s">
        <v>531</v>
      </c>
      <c r="B107" s="20" t="s">
        <v>532</v>
      </c>
      <c r="C107" s="16">
        <v>2.0</v>
      </c>
      <c r="D107" s="13" t="s">
        <v>54</v>
      </c>
      <c r="E107" s="16">
        <v>25.0</v>
      </c>
      <c r="F107" s="20" t="s">
        <v>538</v>
      </c>
    </row>
    <row r="108" ht="15.0" customHeight="1">
      <c r="A108" s="6" t="s">
        <v>531</v>
      </c>
      <c r="B108" s="10" t="s">
        <v>532</v>
      </c>
      <c r="C108" s="9">
        <v>3.0</v>
      </c>
      <c r="D108" s="6" t="s">
        <v>62</v>
      </c>
      <c r="E108" s="9">
        <v>50.0</v>
      </c>
      <c r="F108" s="10" t="s">
        <v>540</v>
      </c>
    </row>
    <row r="109" ht="29.25" customHeight="1">
      <c r="A109" s="13" t="s">
        <v>531</v>
      </c>
      <c r="B109" s="20" t="s">
        <v>532</v>
      </c>
      <c r="C109" s="16">
        <v>4.0</v>
      </c>
      <c r="D109" s="13" t="s">
        <v>65</v>
      </c>
      <c r="E109" s="16">
        <v>75.0</v>
      </c>
      <c r="F109" s="20" t="s">
        <v>547</v>
      </c>
    </row>
    <row r="110" ht="29.25" customHeight="1">
      <c r="A110" s="6" t="s">
        <v>531</v>
      </c>
      <c r="B110" s="10" t="s">
        <v>532</v>
      </c>
      <c r="C110" s="9">
        <v>5.0</v>
      </c>
      <c r="D110" s="6" t="s">
        <v>69</v>
      </c>
      <c r="E110" s="9">
        <v>100.0</v>
      </c>
      <c r="F110" s="10" t="s">
        <v>551</v>
      </c>
    </row>
    <row r="111" ht="15.0" customHeight="1">
      <c r="A111" s="13" t="s">
        <v>554</v>
      </c>
      <c r="B111" s="20" t="s">
        <v>555</v>
      </c>
      <c r="C111" s="16">
        <v>1.0</v>
      </c>
      <c r="D111" s="13" t="s">
        <v>41</v>
      </c>
      <c r="E111" s="16">
        <v>0.0</v>
      </c>
      <c r="F111" s="20" t="s">
        <v>557</v>
      </c>
    </row>
    <row r="112" ht="15.0" customHeight="1">
      <c r="A112" s="6" t="s">
        <v>554</v>
      </c>
      <c r="B112" s="10" t="s">
        <v>555</v>
      </c>
      <c r="C112" s="9">
        <v>2.0</v>
      </c>
      <c r="D112" s="6" t="s">
        <v>54</v>
      </c>
      <c r="E112" s="9">
        <v>25.0</v>
      </c>
      <c r="F112" s="10" t="s">
        <v>561</v>
      </c>
    </row>
    <row r="113" ht="15.0" customHeight="1">
      <c r="A113" s="13" t="s">
        <v>554</v>
      </c>
      <c r="B113" s="20" t="s">
        <v>555</v>
      </c>
      <c r="C113" s="16">
        <v>3.0</v>
      </c>
      <c r="D113" s="13" t="s">
        <v>62</v>
      </c>
      <c r="E113" s="16">
        <v>50.0</v>
      </c>
      <c r="F113" s="20" t="s">
        <v>563</v>
      </c>
    </row>
    <row r="114" ht="15.0" customHeight="1">
      <c r="A114" s="6" t="s">
        <v>554</v>
      </c>
      <c r="B114" s="10" t="s">
        <v>555</v>
      </c>
      <c r="C114" s="9">
        <v>4.0</v>
      </c>
      <c r="D114" s="6" t="s">
        <v>65</v>
      </c>
      <c r="E114" s="9">
        <v>75.0</v>
      </c>
      <c r="F114" s="10" t="s">
        <v>568</v>
      </c>
    </row>
    <row r="115" ht="15.0" customHeight="1">
      <c r="A115" s="13" t="s">
        <v>554</v>
      </c>
      <c r="B115" s="20" t="s">
        <v>555</v>
      </c>
      <c r="C115" s="16">
        <v>5.0</v>
      </c>
      <c r="D115" s="13" t="s">
        <v>69</v>
      </c>
      <c r="E115" s="16">
        <v>100.0</v>
      </c>
      <c r="F115" s="20" t="s">
        <v>570</v>
      </c>
    </row>
    <row r="116" ht="15.0" customHeight="1">
      <c r="A116" s="6" t="s">
        <v>573</v>
      </c>
      <c r="B116" s="10" t="s">
        <v>574</v>
      </c>
      <c r="C116" s="9">
        <v>1.0</v>
      </c>
      <c r="D116" s="6" t="s">
        <v>41</v>
      </c>
      <c r="E116" s="9">
        <v>0.0</v>
      </c>
      <c r="F116" s="10" t="s">
        <v>575</v>
      </c>
    </row>
    <row r="117" ht="15.0" customHeight="1">
      <c r="A117" s="13" t="s">
        <v>573</v>
      </c>
      <c r="B117" s="20" t="s">
        <v>574</v>
      </c>
      <c r="C117" s="16">
        <v>2.0</v>
      </c>
      <c r="D117" s="13" t="s">
        <v>54</v>
      </c>
      <c r="E117" s="16">
        <v>50.0</v>
      </c>
      <c r="F117" s="20" t="s">
        <v>580</v>
      </c>
    </row>
    <row r="118" ht="29.25" customHeight="1">
      <c r="A118" s="6" t="s">
        <v>573</v>
      </c>
      <c r="B118" s="10" t="s">
        <v>574</v>
      </c>
      <c r="C118" s="9">
        <v>3.0</v>
      </c>
      <c r="D118" s="6" t="s">
        <v>62</v>
      </c>
      <c r="E118" s="9">
        <v>100.0</v>
      </c>
      <c r="F118" s="10" t="s">
        <v>587</v>
      </c>
    </row>
    <row r="119" ht="15.0" customHeight="1">
      <c r="A119" s="13" t="s">
        <v>589</v>
      </c>
      <c r="B119" s="20" t="s">
        <v>590</v>
      </c>
      <c r="C119" s="16">
        <v>1.0</v>
      </c>
      <c r="D119" s="13" t="s">
        <v>41</v>
      </c>
      <c r="E119" s="16">
        <v>0.0</v>
      </c>
      <c r="F119" s="20" t="s">
        <v>592</v>
      </c>
    </row>
    <row r="120" ht="15.0" customHeight="1">
      <c r="A120" s="6" t="s">
        <v>589</v>
      </c>
      <c r="B120" s="10" t="s">
        <v>590</v>
      </c>
      <c r="C120" s="9">
        <v>2.0</v>
      </c>
      <c r="D120" s="6" t="s">
        <v>54</v>
      </c>
      <c r="E120" s="9">
        <v>50.0</v>
      </c>
      <c r="F120" s="10" t="s">
        <v>597</v>
      </c>
    </row>
    <row r="121" ht="43.5" customHeight="1">
      <c r="A121" s="13" t="s">
        <v>589</v>
      </c>
      <c r="B121" s="20" t="s">
        <v>590</v>
      </c>
      <c r="C121" s="16">
        <v>3.0</v>
      </c>
      <c r="D121" s="13" t="s">
        <v>62</v>
      </c>
      <c r="E121" s="16">
        <v>100.0</v>
      </c>
      <c r="F121" s="20" t="s">
        <v>599</v>
      </c>
    </row>
    <row r="122" ht="15.0" customHeight="1">
      <c r="A122" s="6" t="s">
        <v>602</v>
      </c>
      <c r="B122" s="10" t="s">
        <v>604</v>
      </c>
      <c r="C122" s="9">
        <v>1.0</v>
      </c>
      <c r="D122" s="6" t="s">
        <v>41</v>
      </c>
      <c r="E122" s="9">
        <v>0.0</v>
      </c>
      <c r="F122" s="10" t="s">
        <v>608</v>
      </c>
    </row>
    <row r="123" ht="15.0" customHeight="1">
      <c r="A123" s="13" t="s">
        <v>602</v>
      </c>
      <c r="B123" s="20" t="s">
        <v>604</v>
      </c>
      <c r="C123" s="16">
        <v>2.0</v>
      </c>
      <c r="D123" s="13" t="s">
        <v>54</v>
      </c>
      <c r="E123" s="16">
        <v>50.0</v>
      </c>
      <c r="F123" s="20" t="s">
        <v>610</v>
      </c>
    </row>
    <row r="124" ht="29.25" customHeight="1">
      <c r="A124" s="6" t="s">
        <v>602</v>
      </c>
      <c r="B124" s="10" t="s">
        <v>604</v>
      </c>
      <c r="C124" s="9">
        <v>3.0</v>
      </c>
      <c r="D124" s="6" t="s">
        <v>62</v>
      </c>
      <c r="E124" s="9">
        <v>100.0</v>
      </c>
      <c r="F124" s="10" t="s">
        <v>616</v>
      </c>
    </row>
    <row r="125" ht="29.25" customHeight="1">
      <c r="A125" s="13" t="s">
        <v>618</v>
      </c>
      <c r="B125" s="20" t="s">
        <v>619</v>
      </c>
      <c r="C125" s="16">
        <v>1.0</v>
      </c>
      <c r="D125" s="13" t="s">
        <v>41</v>
      </c>
      <c r="E125" s="16">
        <v>0.0</v>
      </c>
      <c r="F125" s="20" t="s">
        <v>622</v>
      </c>
    </row>
    <row r="126" ht="15.0" customHeight="1">
      <c r="A126" s="6" t="s">
        <v>618</v>
      </c>
      <c r="B126" s="10" t="s">
        <v>619</v>
      </c>
      <c r="C126" s="9">
        <v>2.0</v>
      </c>
      <c r="D126" s="6" t="s">
        <v>54</v>
      </c>
      <c r="E126" s="9">
        <v>25.0</v>
      </c>
      <c r="F126" s="10" t="s">
        <v>627</v>
      </c>
    </row>
    <row r="127" ht="29.25" customHeight="1">
      <c r="A127" s="13" t="s">
        <v>618</v>
      </c>
      <c r="B127" s="20" t="s">
        <v>619</v>
      </c>
      <c r="C127" s="16">
        <v>3.0</v>
      </c>
      <c r="D127" s="13" t="s">
        <v>62</v>
      </c>
      <c r="E127" s="16">
        <v>50.0</v>
      </c>
      <c r="F127" s="13" t="s">
        <v>633</v>
      </c>
    </row>
    <row r="128" ht="29.25" customHeight="1">
      <c r="A128" s="6" t="s">
        <v>618</v>
      </c>
      <c r="B128" s="10" t="s">
        <v>619</v>
      </c>
      <c r="C128" s="9">
        <v>4.0</v>
      </c>
      <c r="D128" s="6" t="s">
        <v>65</v>
      </c>
      <c r="E128" s="9">
        <v>75.0</v>
      </c>
      <c r="F128" s="6" t="s">
        <v>639</v>
      </c>
    </row>
    <row r="129" ht="15.0" customHeight="1">
      <c r="A129" s="13" t="s">
        <v>618</v>
      </c>
      <c r="B129" s="20" t="s">
        <v>619</v>
      </c>
      <c r="C129" s="16">
        <v>5.0</v>
      </c>
      <c r="D129" s="13" t="s">
        <v>69</v>
      </c>
      <c r="E129" s="16">
        <v>100.0</v>
      </c>
      <c r="F129" s="13" t="s">
        <v>642</v>
      </c>
    </row>
    <row r="130" ht="29.25" customHeight="1">
      <c r="A130" s="6" t="s">
        <v>643</v>
      </c>
      <c r="B130" s="10" t="s">
        <v>645</v>
      </c>
      <c r="C130" s="9">
        <v>1.0</v>
      </c>
      <c r="D130" s="6" t="s">
        <v>41</v>
      </c>
      <c r="E130" s="9">
        <v>0.0</v>
      </c>
      <c r="F130" s="10" t="s">
        <v>648</v>
      </c>
    </row>
    <row r="131" ht="29.25" customHeight="1">
      <c r="A131" s="13" t="s">
        <v>643</v>
      </c>
      <c r="B131" s="20" t="s">
        <v>645</v>
      </c>
      <c r="C131" s="16">
        <v>2.0</v>
      </c>
      <c r="D131" s="13" t="s">
        <v>54</v>
      </c>
      <c r="E131" s="16">
        <v>25.0</v>
      </c>
      <c r="F131" s="20" t="s">
        <v>652</v>
      </c>
    </row>
    <row r="132" ht="29.25" customHeight="1">
      <c r="A132" s="6" t="s">
        <v>643</v>
      </c>
      <c r="B132" s="10" t="s">
        <v>645</v>
      </c>
      <c r="C132" s="9">
        <v>3.0</v>
      </c>
      <c r="D132" s="6" t="s">
        <v>62</v>
      </c>
      <c r="E132" s="9">
        <v>50.0</v>
      </c>
      <c r="F132" s="10" t="s">
        <v>661</v>
      </c>
    </row>
    <row r="133" ht="29.25" customHeight="1">
      <c r="A133" s="13" t="s">
        <v>643</v>
      </c>
      <c r="B133" s="20" t="s">
        <v>645</v>
      </c>
      <c r="C133" s="16">
        <v>4.0</v>
      </c>
      <c r="D133" s="13" t="s">
        <v>65</v>
      </c>
      <c r="E133" s="16">
        <v>75.0</v>
      </c>
      <c r="F133" s="20" t="s">
        <v>665</v>
      </c>
    </row>
    <row r="134" ht="29.25" customHeight="1">
      <c r="A134" s="6" t="s">
        <v>643</v>
      </c>
      <c r="B134" s="10" t="s">
        <v>645</v>
      </c>
      <c r="C134" s="9">
        <v>5.0</v>
      </c>
      <c r="D134" s="6" t="s">
        <v>69</v>
      </c>
      <c r="E134" s="9">
        <v>100.0</v>
      </c>
      <c r="F134" s="10" t="s">
        <v>672</v>
      </c>
    </row>
    <row r="135" ht="15.0" customHeight="1">
      <c r="A135" s="13" t="s">
        <v>674</v>
      </c>
      <c r="B135" s="20" t="s">
        <v>676</v>
      </c>
      <c r="C135" s="16">
        <v>1.0</v>
      </c>
      <c r="D135" s="13" t="s">
        <v>41</v>
      </c>
      <c r="E135" s="16">
        <v>0.0</v>
      </c>
      <c r="F135" s="20" t="s">
        <v>680</v>
      </c>
    </row>
    <row r="136" ht="15.0" customHeight="1">
      <c r="A136" s="6" t="s">
        <v>674</v>
      </c>
      <c r="B136" s="10" t="s">
        <v>676</v>
      </c>
      <c r="C136" s="9">
        <v>2.0</v>
      </c>
      <c r="D136" s="6" t="s">
        <v>54</v>
      </c>
      <c r="E136" s="9">
        <v>25.0</v>
      </c>
      <c r="F136" s="10" t="s">
        <v>689</v>
      </c>
    </row>
    <row r="137" ht="15.0" customHeight="1">
      <c r="A137" s="13" t="s">
        <v>674</v>
      </c>
      <c r="B137" s="20" t="s">
        <v>676</v>
      </c>
      <c r="C137" s="16">
        <v>3.0</v>
      </c>
      <c r="D137" s="13" t="s">
        <v>62</v>
      </c>
      <c r="E137" s="16">
        <v>50.0</v>
      </c>
      <c r="F137" s="20" t="s">
        <v>692</v>
      </c>
    </row>
    <row r="138" ht="15.0" customHeight="1">
      <c r="A138" s="6" t="s">
        <v>674</v>
      </c>
      <c r="B138" s="10" t="s">
        <v>676</v>
      </c>
      <c r="C138" s="9">
        <v>4.0</v>
      </c>
      <c r="D138" s="6" t="s">
        <v>65</v>
      </c>
      <c r="E138" s="9">
        <v>75.0</v>
      </c>
      <c r="F138" s="10" t="s">
        <v>698</v>
      </c>
    </row>
    <row r="139" ht="15.0" customHeight="1">
      <c r="A139" s="13" t="s">
        <v>674</v>
      </c>
      <c r="B139" s="20" t="s">
        <v>676</v>
      </c>
      <c r="C139" s="16">
        <v>5.0</v>
      </c>
      <c r="D139" s="13" t="s">
        <v>69</v>
      </c>
      <c r="E139" s="16">
        <v>100.0</v>
      </c>
      <c r="F139" s="20" t="s">
        <v>701</v>
      </c>
    </row>
    <row r="140" ht="15.0" customHeight="1">
      <c r="A140" s="6" t="s">
        <v>703</v>
      </c>
      <c r="B140" s="10" t="s">
        <v>707</v>
      </c>
      <c r="C140" s="9">
        <v>1.0</v>
      </c>
      <c r="D140" s="6" t="s">
        <v>41</v>
      </c>
      <c r="E140" s="9">
        <v>0.0</v>
      </c>
      <c r="F140" s="10" t="s">
        <v>709</v>
      </c>
    </row>
    <row r="141" ht="15.0" customHeight="1">
      <c r="A141" s="13" t="s">
        <v>703</v>
      </c>
      <c r="B141" s="20" t="s">
        <v>707</v>
      </c>
      <c r="C141" s="16">
        <v>2.0</v>
      </c>
      <c r="D141" s="13" t="s">
        <v>54</v>
      </c>
      <c r="E141" s="16">
        <v>25.0</v>
      </c>
      <c r="F141" s="20" t="s">
        <v>714</v>
      </c>
    </row>
    <row r="142" ht="15.0" customHeight="1">
      <c r="A142" s="6" t="s">
        <v>703</v>
      </c>
      <c r="B142" s="10" t="s">
        <v>707</v>
      </c>
      <c r="C142" s="9">
        <v>3.0</v>
      </c>
      <c r="D142" s="6" t="s">
        <v>62</v>
      </c>
      <c r="E142" s="9">
        <v>50.0</v>
      </c>
      <c r="F142" s="10" t="s">
        <v>723</v>
      </c>
    </row>
    <row r="143" ht="15.0" customHeight="1">
      <c r="A143" s="13" t="s">
        <v>703</v>
      </c>
      <c r="B143" s="20" t="s">
        <v>707</v>
      </c>
      <c r="C143" s="16">
        <v>4.0</v>
      </c>
      <c r="D143" s="13" t="s">
        <v>65</v>
      </c>
      <c r="E143" s="16">
        <v>75.0</v>
      </c>
      <c r="F143" s="20" t="s">
        <v>729</v>
      </c>
    </row>
    <row r="144" ht="43.5" customHeight="1">
      <c r="A144" s="6" t="s">
        <v>703</v>
      </c>
      <c r="B144" s="10" t="s">
        <v>707</v>
      </c>
      <c r="C144" s="9">
        <v>5.0</v>
      </c>
      <c r="D144" s="6" t="s">
        <v>69</v>
      </c>
      <c r="E144" s="9">
        <v>100.0</v>
      </c>
      <c r="F144" s="10" t="s">
        <v>737</v>
      </c>
    </row>
    <row r="145" ht="29.25" customHeight="1">
      <c r="A145" s="13" t="s">
        <v>739</v>
      </c>
      <c r="B145" s="20" t="s">
        <v>741</v>
      </c>
      <c r="C145" s="16">
        <v>1.0</v>
      </c>
      <c r="D145" s="20" t="s">
        <v>134</v>
      </c>
      <c r="E145" s="16">
        <v>0.0</v>
      </c>
      <c r="F145" s="20" t="s">
        <v>747</v>
      </c>
    </row>
    <row r="146" ht="29.25" customHeight="1">
      <c r="A146" s="6" t="s">
        <v>739</v>
      </c>
      <c r="B146" s="10" t="s">
        <v>741</v>
      </c>
      <c r="C146" s="9">
        <v>2.0</v>
      </c>
      <c r="D146" s="10" t="s">
        <v>141</v>
      </c>
      <c r="E146" s="9">
        <v>25.0</v>
      </c>
      <c r="F146" s="10" t="s">
        <v>751</v>
      </c>
    </row>
    <row r="147" ht="29.25" customHeight="1">
      <c r="A147" s="13" t="s">
        <v>739</v>
      </c>
      <c r="B147" s="20" t="s">
        <v>741</v>
      </c>
      <c r="C147" s="16">
        <v>3.0</v>
      </c>
      <c r="D147" s="20" t="s">
        <v>144</v>
      </c>
      <c r="E147" s="16">
        <v>50.0</v>
      </c>
      <c r="F147" s="20" t="s">
        <v>759</v>
      </c>
    </row>
    <row r="148" ht="29.25" customHeight="1">
      <c r="A148" s="6" t="s">
        <v>739</v>
      </c>
      <c r="B148" s="10" t="s">
        <v>741</v>
      </c>
      <c r="C148" s="9">
        <v>4.0</v>
      </c>
      <c r="D148" s="10" t="s">
        <v>149</v>
      </c>
      <c r="E148" s="9">
        <v>75.0</v>
      </c>
      <c r="F148" s="10" t="s">
        <v>767</v>
      </c>
    </row>
    <row r="149" ht="29.25" customHeight="1">
      <c r="A149" s="13" t="s">
        <v>739</v>
      </c>
      <c r="B149" s="20" t="s">
        <v>741</v>
      </c>
      <c r="C149" s="16">
        <v>5.0</v>
      </c>
      <c r="D149" s="20" t="s">
        <v>152</v>
      </c>
      <c r="E149" s="16">
        <v>100.0</v>
      </c>
      <c r="F149" s="20" t="s">
        <v>774</v>
      </c>
    </row>
    <row r="150" ht="15.0" customHeight="1">
      <c r="A150" s="6" t="s">
        <v>776</v>
      </c>
      <c r="B150" s="10" t="s">
        <v>777</v>
      </c>
      <c r="C150" s="9">
        <v>1.0</v>
      </c>
      <c r="D150" s="6" t="s">
        <v>41</v>
      </c>
      <c r="E150" s="9">
        <v>0.0</v>
      </c>
      <c r="F150" s="10" t="s">
        <v>779</v>
      </c>
    </row>
    <row r="151" ht="15.0" customHeight="1">
      <c r="A151" s="13" t="s">
        <v>776</v>
      </c>
      <c r="B151" s="20" t="s">
        <v>777</v>
      </c>
      <c r="C151" s="16">
        <v>2.0</v>
      </c>
      <c r="D151" s="13" t="s">
        <v>54</v>
      </c>
      <c r="E151" s="16">
        <v>50.0</v>
      </c>
      <c r="F151" s="20" t="s">
        <v>786</v>
      </c>
    </row>
    <row r="152" ht="43.5" customHeight="1">
      <c r="A152" s="6" t="s">
        <v>776</v>
      </c>
      <c r="B152" s="10" t="s">
        <v>777</v>
      </c>
      <c r="C152" s="9">
        <v>3.0</v>
      </c>
      <c r="D152" s="6" t="s">
        <v>62</v>
      </c>
      <c r="E152" s="9">
        <v>100.0</v>
      </c>
      <c r="F152" s="10" t="s">
        <v>792</v>
      </c>
    </row>
    <row r="153" ht="29.25" customHeight="1">
      <c r="A153" s="13" t="s">
        <v>794</v>
      </c>
      <c r="B153" s="20" t="s">
        <v>797</v>
      </c>
      <c r="C153" s="16">
        <v>1.0</v>
      </c>
      <c r="D153" s="13" t="s">
        <v>41</v>
      </c>
      <c r="E153" s="16">
        <v>0.0</v>
      </c>
      <c r="F153" s="20" t="s">
        <v>800</v>
      </c>
    </row>
    <row r="154" ht="15.0" customHeight="1">
      <c r="A154" s="6" t="s">
        <v>794</v>
      </c>
      <c r="B154" s="10" t="s">
        <v>797</v>
      </c>
      <c r="C154" s="9">
        <v>2.0</v>
      </c>
      <c r="D154" s="6" t="s">
        <v>54</v>
      </c>
      <c r="E154" s="9">
        <v>25.0</v>
      </c>
      <c r="F154" s="10" t="s">
        <v>811</v>
      </c>
    </row>
    <row r="155" ht="15.0" customHeight="1">
      <c r="A155" s="13" t="s">
        <v>794</v>
      </c>
      <c r="B155" s="20" t="s">
        <v>797</v>
      </c>
      <c r="C155" s="16">
        <v>3.0</v>
      </c>
      <c r="D155" s="13" t="s">
        <v>62</v>
      </c>
      <c r="E155" s="16">
        <v>50.0</v>
      </c>
      <c r="F155" s="20" t="s">
        <v>812</v>
      </c>
    </row>
    <row r="156" ht="15.0" customHeight="1">
      <c r="A156" s="6" t="s">
        <v>794</v>
      </c>
      <c r="B156" s="10" t="s">
        <v>797</v>
      </c>
      <c r="C156" s="9">
        <v>4.0</v>
      </c>
      <c r="D156" s="6" t="s">
        <v>65</v>
      </c>
      <c r="E156" s="9">
        <v>75.0</v>
      </c>
      <c r="F156" s="10" t="s">
        <v>816</v>
      </c>
    </row>
    <row r="157" ht="15.0" customHeight="1">
      <c r="A157" s="13" t="s">
        <v>794</v>
      </c>
      <c r="B157" s="20" t="s">
        <v>797</v>
      </c>
      <c r="C157" s="16">
        <v>5.0</v>
      </c>
      <c r="D157" s="13" t="s">
        <v>69</v>
      </c>
      <c r="E157" s="16">
        <v>100.0</v>
      </c>
      <c r="F157" s="20" t="s">
        <v>817</v>
      </c>
    </row>
    <row r="158" ht="15.0" customHeight="1">
      <c r="A158" s="6" t="s">
        <v>821</v>
      </c>
      <c r="B158" s="10" t="s">
        <v>823</v>
      </c>
      <c r="C158" s="9">
        <v>1.0</v>
      </c>
      <c r="D158" s="6" t="s">
        <v>41</v>
      </c>
      <c r="E158" s="9">
        <v>0.0</v>
      </c>
      <c r="F158" s="10" t="s">
        <v>825</v>
      </c>
    </row>
    <row r="159" ht="29.25" customHeight="1">
      <c r="A159" s="13" t="s">
        <v>821</v>
      </c>
      <c r="B159" s="20" t="s">
        <v>823</v>
      </c>
      <c r="C159" s="16">
        <v>2.0</v>
      </c>
      <c r="D159" s="13" t="s">
        <v>54</v>
      </c>
      <c r="E159" s="16">
        <v>25.0</v>
      </c>
      <c r="F159" s="20" t="s">
        <v>827</v>
      </c>
    </row>
    <row r="160" ht="29.25" customHeight="1">
      <c r="A160" s="6" t="s">
        <v>821</v>
      </c>
      <c r="B160" s="10" t="s">
        <v>823</v>
      </c>
      <c r="C160" s="9">
        <v>3.0</v>
      </c>
      <c r="D160" s="6" t="s">
        <v>62</v>
      </c>
      <c r="E160" s="9">
        <v>50.0</v>
      </c>
      <c r="F160" s="10" t="s">
        <v>833</v>
      </c>
    </row>
    <row r="161" ht="29.25" customHeight="1">
      <c r="A161" s="13" t="s">
        <v>821</v>
      </c>
      <c r="B161" s="20" t="s">
        <v>823</v>
      </c>
      <c r="C161" s="16">
        <v>4.0</v>
      </c>
      <c r="D161" s="13" t="s">
        <v>65</v>
      </c>
      <c r="E161" s="16">
        <v>75.0</v>
      </c>
      <c r="F161" s="20" t="s">
        <v>835</v>
      </c>
    </row>
    <row r="162" ht="29.25" customHeight="1">
      <c r="A162" s="6" t="s">
        <v>821</v>
      </c>
      <c r="B162" s="10" t="s">
        <v>823</v>
      </c>
      <c r="C162" s="9">
        <v>5.0</v>
      </c>
      <c r="D162" s="6" t="s">
        <v>69</v>
      </c>
      <c r="E162" s="9">
        <v>100.0</v>
      </c>
      <c r="F162" s="10" t="s">
        <v>840</v>
      </c>
    </row>
    <row r="163" ht="15.0" customHeight="1">
      <c r="A163" s="13" t="s">
        <v>843</v>
      </c>
      <c r="B163" s="20" t="s">
        <v>844</v>
      </c>
      <c r="C163" s="16">
        <v>1.0</v>
      </c>
      <c r="D163" s="13" t="s">
        <v>41</v>
      </c>
      <c r="E163" s="16">
        <v>0.0</v>
      </c>
      <c r="F163" s="20" t="s">
        <v>847</v>
      </c>
    </row>
    <row r="164" ht="29.25" customHeight="1">
      <c r="A164" s="6" t="s">
        <v>843</v>
      </c>
      <c r="B164" s="10" t="s">
        <v>844</v>
      </c>
      <c r="C164" s="9">
        <v>2.0</v>
      </c>
      <c r="D164" s="6" t="s">
        <v>54</v>
      </c>
      <c r="E164" s="9">
        <v>25.0</v>
      </c>
      <c r="F164" s="10" t="s">
        <v>851</v>
      </c>
    </row>
    <row r="165" ht="29.25" customHeight="1">
      <c r="A165" s="13" t="s">
        <v>843</v>
      </c>
      <c r="B165" s="20" t="s">
        <v>844</v>
      </c>
      <c r="C165" s="16">
        <v>3.0</v>
      </c>
      <c r="D165" s="13" t="s">
        <v>62</v>
      </c>
      <c r="E165" s="16">
        <v>50.0</v>
      </c>
      <c r="F165" s="20" t="s">
        <v>855</v>
      </c>
    </row>
    <row r="166" ht="29.25" customHeight="1">
      <c r="A166" s="6" t="s">
        <v>843</v>
      </c>
      <c r="B166" s="10" t="s">
        <v>844</v>
      </c>
      <c r="C166" s="9">
        <v>4.0</v>
      </c>
      <c r="D166" s="6" t="s">
        <v>65</v>
      </c>
      <c r="E166" s="9">
        <v>75.0</v>
      </c>
      <c r="F166" s="10" t="s">
        <v>859</v>
      </c>
    </row>
    <row r="167" ht="29.25" customHeight="1">
      <c r="A167" s="13" t="s">
        <v>843</v>
      </c>
      <c r="B167" s="20" t="s">
        <v>844</v>
      </c>
      <c r="C167" s="16">
        <v>5.0</v>
      </c>
      <c r="D167" s="13" t="s">
        <v>69</v>
      </c>
      <c r="E167" s="16">
        <v>100.0</v>
      </c>
      <c r="F167" s="20" t="s">
        <v>860</v>
      </c>
    </row>
    <row r="168" ht="15.0" customHeight="1">
      <c r="A168" s="6" t="s">
        <v>862</v>
      </c>
      <c r="B168" s="10" t="s">
        <v>864</v>
      </c>
      <c r="C168" s="9">
        <v>1.0</v>
      </c>
      <c r="D168" s="10" t="s">
        <v>134</v>
      </c>
      <c r="E168" s="9">
        <v>0.0</v>
      </c>
      <c r="F168" s="10" t="s">
        <v>867</v>
      </c>
    </row>
    <row r="169" ht="15.0" customHeight="1">
      <c r="A169" s="13" t="s">
        <v>862</v>
      </c>
      <c r="B169" s="20" t="s">
        <v>864</v>
      </c>
      <c r="C169" s="16">
        <v>2.0</v>
      </c>
      <c r="D169" s="20" t="s">
        <v>141</v>
      </c>
      <c r="E169" s="16">
        <v>25.0</v>
      </c>
      <c r="F169" s="20" t="s">
        <v>872</v>
      </c>
    </row>
    <row r="170" ht="15.0" customHeight="1">
      <c r="A170" s="6" t="s">
        <v>862</v>
      </c>
      <c r="B170" s="10" t="s">
        <v>864</v>
      </c>
      <c r="C170" s="9">
        <v>3.0</v>
      </c>
      <c r="D170" s="10" t="s">
        <v>144</v>
      </c>
      <c r="E170" s="9">
        <v>50.0</v>
      </c>
      <c r="F170" s="10" t="s">
        <v>878</v>
      </c>
    </row>
    <row r="171" ht="15.0" customHeight="1">
      <c r="A171" s="13" t="s">
        <v>862</v>
      </c>
      <c r="B171" s="20" t="s">
        <v>864</v>
      </c>
      <c r="C171" s="16">
        <v>4.0</v>
      </c>
      <c r="D171" s="20" t="s">
        <v>149</v>
      </c>
      <c r="E171" s="16">
        <v>75.0</v>
      </c>
      <c r="F171" s="20" t="s">
        <v>881</v>
      </c>
    </row>
    <row r="172" ht="29.25" customHeight="1">
      <c r="A172" s="6" t="s">
        <v>862</v>
      </c>
      <c r="B172" s="10" t="s">
        <v>864</v>
      </c>
      <c r="C172" s="9">
        <v>5.0</v>
      </c>
      <c r="D172" s="10" t="s">
        <v>152</v>
      </c>
      <c r="E172" s="9">
        <v>100.0</v>
      </c>
      <c r="F172" s="10" t="s">
        <v>887</v>
      </c>
    </row>
    <row r="173" ht="29.25" customHeight="1">
      <c r="A173" s="13" t="s">
        <v>888</v>
      </c>
      <c r="B173" s="20" t="s">
        <v>889</v>
      </c>
      <c r="C173" s="16">
        <v>1.0</v>
      </c>
      <c r="D173" s="20" t="s">
        <v>134</v>
      </c>
      <c r="E173" s="16">
        <v>0.0</v>
      </c>
      <c r="F173" s="20" t="s">
        <v>890</v>
      </c>
    </row>
    <row r="174" ht="15.0" customHeight="1">
      <c r="A174" s="6" t="s">
        <v>888</v>
      </c>
      <c r="B174" s="10" t="s">
        <v>889</v>
      </c>
      <c r="C174" s="9">
        <v>2.0</v>
      </c>
      <c r="D174" s="10" t="s">
        <v>141</v>
      </c>
      <c r="E174" s="9">
        <v>25.0</v>
      </c>
      <c r="F174" s="10" t="s">
        <v>893</v>
      </c>
    </row>
    <row r="175" ht="15.0" customHeight="1">
      <c r="A175" s="13" t="s">
        <v>888</v>
      </c>
      <c r="B175" s="20" t="s">
        <v>889</v>
      </c>
      <c r="C175" s="16">
        <v>3.0</v>
      </c>
      <c r="D175" s="20" t="s">
        <v>144</v>
      </c>
      <c r="E175" s="16">
        <v>50.0</v>
      </c>
      <c r="F175" s="20" t="s">
        <v>897</v>
      </c>
    </row>
    <row r="176" ht="15.0" customHeight="1">
      <c r="A176" s="6" t="s">
        <v>888</v>
      </c>
      <c r="B176" s="10" t="s">
        <v>889</v>
      </c>
      <c r="C176" s="9">
        <v>4.0</v>
      </c>
      <c r="D176" s="10" t="s">
        <v>149</v>
      </c>
      <c r="E176" s="9">
        <v>75.0</v>
      </c>
      <c r="F176" s="10" t="s">
        <v>900</v>
      </c>
    </row>
    <row r="177" ht="29.25" customHeight="1">
      <c r="A177" s="13" t="s">
        <v>888</v>
      </c>
      <c r="B177" s="20" t="s">
        <v>889</v>
      </c>
      <c r="C177" s="16">
        <v>5.0</v>
      </c>
      <c r="D177" s="20" t="s">
        <v>152</v>
      </c>
      <c r="E177" s="16">
        <v>100.0</v>
      </c>
      <c r="F177" s="20" t="s">
        <v>903</v>
      </c>
    </row>
    <row r="178" ht="15.0" customHeight="1">
      <c r="A178" s="6" t="s">
        <v>904</v>
      </c>
      <c r="B178" s="10" t="s">
        <v>905</v>
      </c>
      <c r="C178" s="9">
        <v>1.0</v>
      </c>
      <c r="D178" s="6" t="s">
        <v>41</v>
      </c>
      <c r="E178" s="9">
        <v>0.0</v>
      </c>
      <c r="F178" s="10" t="s">
        <v>907</v>
      </c>
    </row>
    <row r="179" ht="29.25" customHeight="1">
      <c r="A179" s="13" t="s">
        <v>904</v>
      </c>
      <c r="B179" s="20" t="s">
        <v>905</v>
      </c>
      <c r="C179" s="16">
        <v>2.0</v>
      </c>
      <c r="D179" s="13" t="s">
        <v>54</v>
      </c>
      <c r="E179" s="16">
        <v>25.0</v>
      </c>
      <c r="F179" s="20" t="s">
        <v>912</v>
      </c>
    </row>
    <row r="180" ht="15.0" customHeight="1">
      <c r="A180" s="6" t="s">
        <v>904</v>
      </c>
      <c r="B180" s="10" t="s">
        <v>905</v>
      </c>
      <c r="C180" s="9">
        <v>3.0</v>
      </c>
      <c r="D180" s="6" t="s">
        <v>62</v>
      </c>
      <c r="E180" s="9">
        <v>50.0</v>
      </c>
      <c r="F180" s="10" t="s">
        <v>914</v>
      </c>
    </row>
    <row r="181" ht="15.0" customHeight="1">
      <c r="A181" s="13" t="s">
        <v>904</v>
      </c>
      <c r="B181" s="20" t="s">
        <v>905</v>
      </c>
      <c r="C181" s="16">
        <v>4.0</v>
      </c>
      <c r="D181" s="13" t="s">
        <v>65</v>
      </c>
      <c r="E181" s="16">
        <v>75.0</v>
      </c>
      <c r="F181" s="20" t="s">
        <v>919</v>
      </c>
    </row>
    <row r="182" ht="15.0" customHeight="1">
      <c r="A182" s="6" t="s">
        <v>904</v>
      </c>
      <c r="B182" s="10" t="s">
        <v>905</v>
      </c>
      <c r="C182" s="9">
        <v>5.0</v>
      </c>
      <c r="D182" s="6" t="s">
        <v>69</v>
      </c>
      <c r="E182" s="9">
        <v>100.0</v>
      </c>
      <c r="F182" s="10" t="s">
        <v>920</v>
      </c>
    </row>
    <row r="183" ht="29.25" customHeight="1">
      <c r="A183" s="13" t="s">
        <v>922</v>
      </c>
      <c r="B183" s="20" t="s">
        <v>924</v>
      </c>
      <c r="C183" s="16">
        <v>1.0</v>
      </c>
      <c r="D183" s="20" t="s">
        <v>134</v>
      </c>
      <c r="E183" s="16">
        <v>0.0</v>
      </c>
      <c r="F183" s="20" t="s">
        <v>927</v>
      </c>
    </row>
    <row r="184" ht="15.0" customHeight="1">
      <c r="A184" s="6" t="s">
        <v>922</v>
      </c>
      <c r="B184" s="10" t="s">
        <v>924</v>
      </c>
      <c r="C184" s="9">
        <v>2.0</v>
      </c>
      <c r="D184" s="10" t="s">
        <v>141</v>
      </c>
      <c r="E184" s="9">
        <v>25.0</v>
      </c>
      <c r="F184" s="10" t="s">
        <v>933</v>
      </c>
    </row>
    <row r="185" ht="15.0" customHeight="1">
      <c r="A185" s="13" t="s">
        <v>922</v>
      </c>
      <c r="B185" s="20" t="s">
        <v>924</v>
      </c>
      <c r="C185" s="16">
        <v>3.0</v>
      </c>
      <c r="D185" s="20" t="s">
        <v>144</v>
      </c>
      <c r="E185" s="16">
        <v>50.0</v>
      </c>
      <c r="F185" s="20" t="s">
        <v>937</v>
      </c>
    </row>
    <row r="186" ht="15.0" customHeight="1">
      <c r="A186" s="6" t="s">
        <v>922</v>
      </c>
      <c r="B186" s="10" t="s">
        <v>924</v>
      </c>
      <c r="C186" s="9">
        <v>4.0</v>
      </c>
      <c r="D186" s="10" t="s">
        <v>149</v>
      </c>
      <c r="E186" s="9">
        <v>75.0</v>
      </c>
      <c r="F186" s="10" t="s">
        <v>941</v>
      </c>
    </row>
    <row r="187" ht="15.0" customHeight="1">
      <c r="A187" s="13" t="s">
        <v>922</v>
      </c>
      <c r="B187" s="20" t="s">
        <v>924</v>
      </c>
      <c r="C187" s="16">
        <v>5.0</v>
      </c>
      <c r="D187" s="20" t="s">
        <v>152</v>
      </c>
      <c r="E187" s="16">
        <v>100.0</v>
      </c>
      <c r="F187" s="20" t="s">
        <v>944</v>
      </c>
    </row>
    <row r="188" ht="15.0" customHeight="1">
      <c r="A188" s="6" t="s">
        <v>873</v>
      </c>
      <c r="B188" s="10" t="s">
        <v>876</v>
      </c>
      <c r="C188" s="9">
        <v>1.0</v>
      </c>
      <c r="D188" s="6" t="s">
        <v>41</v>
      </c>
      <c r="E188" s="9">
        <v>0.0</v>
      </c>
      <c r="F188" s="10" t="s">
        <v>951</v>
      </c>
    </row>
    <row r="189" ht="15.0" customHeight="1">
      <c r="A189" s="13" t="s">
        <v>873</v>
      </c>
      <c r="B189" s="20" t="s">
        <v>876</v>
      </c>
      <c r="C189" s="16">
        <v>2.0</v>
      </c>
      <c r="D189" s="13" t="s">
        <v>54</v>
      </c>
      <c r="E189" s="16">
        <v>25.0</v>
      </c>
      <c r="F189" s="13" t="s">
        <v>954</v>
      </c>
    </row>
    <row r="190" ht="15.0" customHeight="1">
      <c r="A190" s="6" t="s">
        <v>873</v>
      </c>
      <c r="B190" s="10" t="s">
        <v>876</v>
      </c>
      <c r="C190" s="9">
        <v>3.0</v>
      </c>
      <c r="D190" s="6" t="s">
        <v>62</v>
      </c>
      <c r="E190" s="9">
        <v>50.0</v>
      </c>
      <c r="F190" s="6" t="s">
        <v>959</v>
      </c>
    </row>
    <row r="191" ht="15.0" customHeight="1">
      <c r="A191" s="13" t="s">
        <v>873</v>
      </c>
      <c r="B191" s="20" t="s">
        <v>876</v>
      </c>
      <c r="C191" s="16">
        <v>4.0</v>
      </c>
      <c r="D191" s="13" t="s">
        <v>65</v>
      </c>
      <c r="E191" s="16">
        <v>75.0</v>
      </c>
      <c r="F191" s="13" t="s">
        <v>963</v>
      </c>
    </row>
    <row r="192" ht="15.0" customHeight="1">
      <c r="A192" s="6" t="s">
        <v>873</v>
      </c>
      <c r="B192" s="10" t="s">
        <v>876</v>
      </c>
      <c r="C192" s="9">
        <v>5.0</v>
      </c>
      <c r="D192" s="6" t="s">
        <v>69</v>
      </c>
      <c r="E192" s="9">
        <v>100.0</v>
      </c>
      <c r="F192" s="6" t="s">
        <v>966</v>
      </c>
    </row>
    <row r="193" ht="15.0" customHeight="1">
      <c r="A193" s="13" t="s">
        <v>166</v>
      </c>
      <c r="B193" s="20" t="s">
        <v>906</v>
      </c>
      <c r="C193" s="16">
        <v>1.0</v>
      </c>
      <c r="D193" s="13" t="s">
        <v>41</v>
      </c>
      <c r="E193" s="16">
        <v>0.0</v>
      </c>
      <c r="F193" s="20" t="s">
        <v>971</v>
      </c>
    </row>
    <row r="194" ht="15.0" customHeight="1">
      <c r="A194" s="6" t="s">
        <v>166</v>
      </c>
      <c r="B194" s="10" t="s">
        <v>906</v>
      </c>
      <c r="C194" s="9">
        <v>2.0</v>
      </c>
      <c r="D194" s="6" t="s">
        <v>54</v>
      </c>
      <c r="E194" s="9">
        <v>25.0</v>
      </c>
      <c r="F194" s="10" t="s">
        <v>973</v>
      </c>
    </row>
    <row r="195" ht="29.25" customHeight="1">
      <c r="A195" s="13" t="s">
        <v>166</v>
      </c>
      <c r="B195" s="20" t="s">
        <v>906</v>
      </c>
      <c r="C195" s="16">
        <v>3.0</v>
      </c>
      <c r="D195" s="13" t="s">
        <v>62</v>
      </c>
      <c r="E195" s="16">
        <v>50.0</v>
      </c>
      <c r="F195" s="20" t="s">
        <v>976</v>
      </c>
    </row>
    <row r="196" ht="43.5" customHeight="1">
      <c r="A196" s="6" t="s">
        <v>166</v>
      </c>
      <c r="B196" s="10" t="s">
        <v>906</v>
      </c>
      <c r="C196" s="9">
        <v>4.0</v>
      </c>
      <c r="D196" s="6" t="s">
        <v>65</v>
      </c>
      <c r="E196" s="9">
        <v>75.0</v>
      </c>
      <c r="F196" s="10" t="s">
        <v>979</v>
      </c>
    </row>
    <row r="197" ht="29.25" customHeight="1">
      <c r="A197" s="13" t="s">
        <v>166</v>
      </c>
      <c r="B197" s="20" t="s">
        <v>906</v>
      </c>
      <c r="C197" s="16">
        <v>5.0</v>
      </c>
      <c r="D197" s="13" t="s">
        <v>69</v>
      </c>
      <c r="E197" s="16">
        <v>100.0</v>
      </c>
      <c r="F197" s="20" t="s">
        <v>982</v>
      </c>
    </row>
    <row r="198" ht="15.0" customHeight="1">
      <c r="A198" s="6" t="s">
        <v>188</v>
      </c>
      <c r="B198" s="10" t="s">
        <v>936</v>
      </c>
      <c r="C198" s="9">
        <v>1.0</v>
      </c>
      <c r="D198" s="6" t="s">
        <v>41</v>
      </c>
      <c r="E198" s="9">
        <v>0.0</v>
      </c>
      <c r="F198" s="10" t="s">
        <v>989</v>
      </c>
    </row>
    <row r="199" ht="15.0" customHeight="1">
      <c r="A199" s="13" t="s">
        <v>188</v>
      </c>
      <c r="B199" s="20" t="s">
        <v>936</v>
      </c>
      <c r="C199" s="16">
        <v>2.0</v>
      </c>
      <c r="D199" s="13" t="s">
        <v>54</v>
      </c>
      <c r="E199" s="16">
        <v>25.0</v>
      </c>
      <c r="F199" s="20" t="s">
        <v>993</v>
      </c>
    </row>
    <row r="200" ht="15.0" customHeight="1">
      <c r="A200" s="6" t="s">
        <v>188</v>
      </c>
      <c r="B200" s="10" t="s">
        <v>936</v>
      </c>
      <c r="C200" s="9">
        <v>3.0</v>
      </c>
      <c r="D200" s="6" t="s">
        <v>62</v>
      </c>
      <c r="E200" s="9">
        <v>50.0</v>
      </c>
      <c r="F200" s="10" t="s">
        <v>999</v>
      </c>
    </row>
    <row r="201" ht="15.0" customHeight="1">
      <c r="A201" s="13" t="s">
        <v>188</v>
      </c>
      <c r="B201" s="20" t="s">
        <v>936</v>
      </c>
      <c r="C201" s="16">
        <v>4.0</v>
      </c>
      <c r="D201" s="13" t="s">
        <v>65</v>
      </c>
      <c r="E201" s="16">
        <v>75.0</v>
      </c>
      <c r="F201" s="20" t="s">
        <v>1004</v>
      </c>
    </row>
    <row r="202" ht="29.25" customHeight="1">
      <c r="A202" s="6" t="s">
        <v>188</v>
      </c>
      <c r="B202" s="10" t="s">
        <v>936</v>
      </c>
      <c r="C202" s="9">
        <v>5.0</v>
      </c>
      <c r="D202" s="6" t="s">
        <v>69</v>
      </c>
      <c r="E202" s="9">
        <v>100.0</v>
      </c>
      <c r="F202" s="10" t="s">
        <v>1008</v>
      </c>
    </row>
    <row r="203" ht="15.0" customHeight="1">
      <c r="A203" s="13" t="s">
        <v>764</v>
      </c>
      <c r="B203" s="20" t="s">
        <v>964</v>
      </c>
      <c r="C203" s="16">
        <v>1.0</v>
      </c>
      <c r="D203" s="13" t="s">
        <v>41</v>
      </c>
      <c r="E203" s="16">
        <v>0.0</v>
      </c>
      <c r="F203" s="20" t="s">
        <v>1009</v>
      </c>
    </row>
    <row r="204" ht="15.0" customHeight="1">
      <c r="A204" s="6" t="s">
        <v>764</v>
      </c>
      <c r="B204" s="10" t="s">
        <v>964</v>
      </c>
      <c r="C204" s="9">
        <v>2.0</v>
      </c>
      <c r="D204" s="6" t="s">
        <v>54</v>
      </c>
      <c r="E204" s="9">
        <v>50.0</v>
      </c>
      <c r="F204" s="10" t="s">
        <v>1015</v>
      </c>
    </row>
    <row r="205" ht="15.0" customHeight="1">
      <c r="A205" s="13" t="s">
        <v>764</v>
      </c>
      <c r="B205" s="20" t="s">
        <v>964</v>
      </c>
      <c r="C205" s="16">
        <v>3.0</v>
      </c>
      <c r="D205" s="13" t="s">
        <v>62</v>
      </c>
      <c r="E205" s="16">
        <v>100.0</v>
      </c>
      <c r="F205" s="20" t="s">
        <v>1020</v>
      </c>
    </row>
    <row r="206" ht="15.0" customHeight="1">
      <c r="A206" s="6" t="s">
        <v>990</v>
      </c>
      <c r="B206" s="10" t="s">
        <v>992</v>
      </c>
      <c r="C206" s="9">
        <v>1.0</v>
      </c>
      <c r="D206" s="6" t="s">
        <v>41</v>
      </c>
      <c r="E206" s="9">
        <v>0.0</v>
      </c>
      <c r="F206" s="10" t="s">
        <v>1024</v>
      </c>
    </row>
    <row r="207" ht="15.0" customHeight="1">
      <c r="A207" s="13" t="s">
        <v>990</v>
      </c>
      <c r="B207" s="20" t="s">
        <v>992</v>
      </c>
      <c r="C207" s="16">
        <v>2.0</v>
      </c>
      <c r="D207" s="13" t="s">
        <v>54</v>
      </c>
      <c r="E207" s="16">
        <v>25.0</v>
      </c>
      <c r="F207" s="20" t="s">
        <v>1027</v>
      </c>
    </row>
    <row r="208" ht="15.0" customHeight="1">
      <c r="A208" s="6" t="s">
        <v>990</v>
      </c>
      <c r="B208" s="10" t="s">
        <v>992</v>
      </c>
      <c r="C208" s="9">
        <v>3.0</v>
      </c>
      <c r="D208" s="6" t="s">
        <v>62</v>
      </c>
      <c r="E208" s="9">
        <v>50.0</v>
      </c>
      <c r="F208" s="10" t="s">
        <v>1030</v>
      </c>
    </row>
    <row r="209" ht="15.0" customHeight="1">
      <c r="A209" s="13" t="s">
        <v>990</v>
      </c>
      <c r="B209" s="20" t="s">
        <v>992</v>
      </c>
      <c r="C209" s="16">
        <v>4.0</v>
      </c>
      <c r="D209" s="13" t="s">
        <v>65</v>
      </c>
      <c r="E209" s="16">
        <v>75.0</v>
      </c>
      <c r="F209" s="20" t="s">
        <v>1032</v>
      </c>
    </row>
    <row r="210" ht="15.0" customHeight="1">
      <c r="A210" s="6" t="s">
        <v>990</v>
      </c>
      <c r="B210" s="10" t="s">
        <v>992</v>
      </c>
      <c r="C210" s="9">
        <v>5.0</v>
      </c>
      <c r="D210" s="6" t="s">
        <v>69</v>
      </c>
      <c r="E210" s="9">
        <v>100.0</v>
      </c>
      <c r="F210" s="10" t="s">
        <v>1033</v>
      </c>
    </row>
    <row r="211" ht="15.0" customHeight="1">
      <c r="A211" s="13" t="s">
        <v>1019</v>
      </c>
      <c r="B211" s="20" t="s">
        <v>1023</v>
      </c>
      <c r="C211" s="16">
        <v>1.0</v>
      </c>
      <c r="D211" s="13" t="s">
        <v>41</v>
      </c>
      <c r="E211" s="16">
        <v>0.0</v>
      </c>
      <c r="F211" s="20" t="s">
        <v>1038</v>
      </c>
    </row>
    <row r="212" ht="15.0" customHeight="1">
      <c r="A212" s="6" t="s">
        <v>1019</v>
      </c>
      <c r="B212" s="10" t="s">
        <v>1023</v>
      </c>
      <c r="C212" s="9">
        <v>2.0</v>
      </c>
      <c r="D212" s="6" t="s">
        <v>54</v>
      </c>
      <c r="E212" s="9">
        <v>25.0</v>
      </c>
      <c r="F212" s="10" t="s">
        <v>1043</v>
      </c>
    </row>
    <row r="213" ht="15.0" customHeight="1">
      <c r="A213" s="13" t="s">
        <v>1019</v>
      </c>
      <c r="B213" s="20" t="s">
        <v>1023</v>
      </c>
      <c r="C213" s="16">
        <v>3.0</v>
      </c>
      <c r="D213" s="13" t="s">
        <v>62</v>
      </c>
      <c r="E213" s="16">
        <v>50.0</v>
      </c>
      <c r="F213" s="20" t="s">
        <v>1047</v>
      </c>
    </row>
    <row r="214" ht="15.0" customHeight="1">
      <c r="A214" s="6" t="s">
        <v>1019</v>
      </c>
      <c r="B214" s="10" t="s">
        <v>1023</v>
      </c>
      <c r="C214" s="9">
        <v>4.0</v>
      </c>
      <c r="D214" s="6" t="s">
        <v>65</v>
      </c>
      <c r="E214" s="9">
        <v>75.0</v>
      </c>
      <c r="F214" s="10" t="s">
        <v>1048</v>
      </c>
    </row>
    <row r="215" ht="15.0" customHeight="1">
      <c r="A215" s="13" t="s">
        <v>1019</v>
      </c>
      <c r="B215" s="20" t="s">
        <v>1023</v>
      </c>
      <c r="C215" s="16">
        <v>5.0</v>
      </c>
      <c r="D215" s="13" t="s">
        <v>69</v>
      </c>
      <c r="E215" s="16">
        <v>100.0</v>
      </c>
      <c r="F215" s="20" t="s">
        <v>1052</v>
      </c>
    </row>
    <row r="216" ht="29.25" customHeight="1">
      <c r="A216" s="6" t="s">
        <v>953</v>
      </c>
      <c r="B216" s="10" t="s">
        <v>1044</v>
      </c>
      <c r="C216" s="9">
        <v>1.0</v>
      </c>
      <c r="D216" s="10" t="s">
        <v>134</v>
      </c>
      <c r="E216" s="9">
        <v>0.0</v>
      </c>
      <c r="F216" s="10" t="s">
        <v>1055</v>
      </c>
    </row>
    <row r="217" ht="29.25" customHeight="1">
      <c r="A217" s="13" t="s">
        <v>953</v>
      </c>
      <c r="B217" s="20" t="s">
        <v>1044</v>
      </c>
      <c r="C217" s="16">
        <v>2.0</v>
      </c>
      <c r="D217" s="20" t="s">
        <v>141</v>
      </c>
      <c r="E217" s="16">
        <v>25.0</v>
      </c>
      <c r="F217" s="20" t="s">
        <v>1059</v>
      </c>
    </row>
    <row r="218" ht="15.0" customHeight="1">
      <c r="A218" s="6" t="s">
        <v>953</v>
      </c>
      <c r="B218" s="10" t="s">
        <v>1044</v>
      </c>
      <c r="C218" s="9">
        <v>3.0</v>
      </c>
      <c r="D218" s="10" t="s">
        <v>144</v>
      </c>
      <c r="E218" s="9">
        <v>50.0</v>
      </c>
      <c r="F218" s="10" t="s">
        <v>1063</v>
      </c>
    </row>
    <row r="219" ht="15.0" customHeight="1">
      <c r="A219" s="13" t="s">
        <v>953</v>
      </c>
      <c r="B219" s="20" t="s">
        <v>1044</v>
      </c>
      <c r="C219" s="16">
        <v>4.0</v>
      </c>
      <c r="D219" s="20" t="s">
        <v>149</v>
      </c>
      <c r="E219" s="16">
        <v>75.0</v>
      </c>
      <c r="F219" s="20" t="s">
        <v>1068</v>
      </c>
    </row>
    <row r="220" ht="15.0" customHeight="1">
      <c r="A220" s="6" t="s">
        <v>953</v>
      </c>
      <c r="B220" s="10" t="s">
        <v>1044</v>
      </c>
      <c r="C220" s="9">
        <v>5.0</v>
      </c>
      <c r="D220" s="10" t="s">
        <v>152</v>
      </c>
      <c r="E220" s="9">
        <v>100.0</v>
      </c>
      <c r="F220" s="10" t="s">
        <v>1069</v>
      </c>
    </row>
    <row r="221" ht="15.0" customHeight="1">
      <c r="A221" s="13" t="s">
        <v>928</v>
      </c>
      <c r="B221" s="20" t="s">
        <v>1070</v>
      </c>
      <c r="C221" s="16">
        <v>1.0</v>
      </c>
      <c r="D221" s="13" t="s">
        <v>41</v>
      </c>
      <c r="E221" s="16">
        <v>0.0</v>
      </c>
      <c r="F221" s="20" t="s">
        <v>1074</v>
      </c>
    </row>
    <row r="222" ht="15.0" customHeight="1">
      <c r="A222" s="6" t="s">
        <v>928</v>
      </c>
      <c r="B222" s="10" t="s">
        <v>1070</v>
      </c>
      <c r="C222" s="9">
        <v>2.0</v>
      </c>
      <c r="D222" s="6" t="s">
        <v>54</v>
      </c>
      <c r="E222" s="9">
        <v>50.0</v>
      </c>
      <c r="F222" s="10" t="s">
        <v>1076</v>
      </c>
    </row>
    <row r="223" ht="15.0" customHeight="1">
      <c r="A223" s="13" t="s">
        <v>928</v>
      </c>
      <c r="B223" s="20" t="s">
        <v>1070</v>
      </c>
      <c r="C223" s="16">
        <v>3.0</v>
      </c>
      <c r="D223" s="13" t="s">
        <v>62</v>
      </c>
      <c r="E223" s="16">
        <v>100.0</v>
      </c>
      <c r="F223" s="20" t="s">
        <v>1080</v>
      </c>
    </row>
    <row r="224" ht="15.0" customHeight="1">
      <c r="A224" s="6" t="s">
        <v>53</v>
      </c>
      <c r="B224" s="10" t="s">
        <v>1081</v>
      </c>
      <c r="C224" s="9">
        <v>1.0</v>
      </c>
      <c r="D224" s="6" t="s">
        <v>41</v>
      </c>
      <c r="E224" s="9">
        <v>0.0</v>
      </c>
      <c r="F224" s="10" t="s">
        <v>1082</v>
      </c>
    </row>
    <row r="225" ht="15.0" customHeight="1">
      <c r="A225" s="13" t="s">
        <v>53</v>
      </c>
      <c r="B225" s="20" t="s">
        <v>1081</v>
      </c>
      <c r="C225" s="16">
        <v>2.0</v>
      </c>
      <c r="D225" s="13" t="s">
        <v>54</v>
      </c>
      <c r="E225" s="16">
        <v>25.0</v>
      </c>
      <c r="F225" s="20" t="s">
        <v>1086</v>
      </c>
    </row>
    <row r="226" ht="15.0" customHeight="1">
      <c r="A226" s="6" t="s">
        <v>53</v>
      </c>
      <c r="B226" s="10" t="s">
        <v>1081</v>
      </c>
      <c r="C226" s="9">
        <v>3.0</v>
      </c>
      <c r="D226" s="6" t="s">
        <v>62</v>
      </c>
      <c r="E226" s="9">
        <v>50.0</v>
      </c>
      <c r="F226" s="10" t="s">
        <v>1087</v>
      </c>
    </row>
    <row r="227" ht="15.0" customHeight="1">
      <c r="A227" s="13" t="s">
        <v>53</v>
      </c>
      <c r="B227" s="20" t="s">
        <v>1081</v>
      </c>
      <c r="C227" s="16">
        <v>4.0</v>
      </c>
      <c r="D227" s="13" t="s">
        <v>65</v>
      </c>
      <c r="E227" s="16">
        <v>75.0</v>
      </c>
      <c r="F227" s="20" t="s">
        <v>1090</v>
      </c>
    </row>
    <row r="228" ht="15.0" customHeight="1">
      <c r="A228" s="6" t="s">
        <v>53</v>
      </c>
      <c r="B228" s="10" t="s">
        <v>1081</v>
      </c>
      <c r="C228" s="9">
        <v>5.0</v>
      </c>
      <c r="D228" s="6" t="s">
        <v>69</v>
      </c>
      <c r="E228" s="9">
        <v>100.0</v>
      </c>
      <c r="F228" s="10" t="s">
        <v>1096</v>
      </c>
    </row>
    <row r="229" ht="15.0" customHeight="1">
      <c r="A229" s="13" t="s">
        <v>114</v>
      </c>
      <c r="B229" s="20" t="s">
        <v>110</v>
      </c>
      <c r="C229" s="16">
        <v>1.0</v>
      </c>
      <c r="D229" s="20" t="s">
        <v>134</v>
      </c>
      <c r="E229" s="16">
        <v>0.0</v>
      </c>
      <c r="F229" s="20" t="s">
        <v>1100</v>
      </c>
    </row>
    <row r="230" ht="15.0" customHeight="1">
      <c r="A230" s="6" t="s">
        <v>114</v>
      </c>
      <c r="B230" s="10" t="s">
        <v>110</v>
      </c>
      <c r="C230" s="9">
        <v>2.0</v>
      </c>
      <c r="D230" s="10" t="s">
        <v>141</v>
      </c>
      <c r="E230" s="9">
        <v>25.0</v>
      </c>
      <c r="F230" s="10" t="s">
        <v>1104</v>
      </c>
    </row>
    <row r="231" ht="15.0" customHeight="1">
      <c r="A231" s="13" t="s">
        <v>114</v>
      </c>
      <c r="B231" s="20" t="s">
        <v>110</v>
      </c>
      <c r="C231" s="16">
        <v>3.0</v>
      </c>
      <c r="D231" s="20" t="s">
        <v>144</v>
      </c>
      <c r="E231" s="16">
        <v>50.0</v>
      </c>
      <c r="F231" s="20" t="s">
        <v>1112</v>
      </c>
    </row>
    <row r="232" ht="15.0" customHeight="1">
      <c r="A232" s="6" t="s">
        <v>114</v>
      </c>
      <c r="B232" s="10" t="s">
        <v>110</v>
      </c>
      <c r="C232" s="9">
        <v>4.0</v>
      </c>
      <c r="D232" s="10" t="s">
        <v>149</v>
      </c>
      <c r="E232" s="9">
        <v>75.0</v>
      </c>
      <c r="F232" s="10" t="s">
        <v>1118</v>
      </c>
    </row>
    <row r="233" ht="15.0" customHeight="1">
      <c r="A233" s="13" t="s">
        <v>114</v>
      </c>
      <c r="B233" s="20" t="s">
        <v>110</v>
      </c>
      <c r="C233" s="16">
        <v>5.0</v>
      </c>
      <c r="D233" s="20" t="s">
        <v>152</v>
      </c>
      <c r="E233" s="16">
        <v>100.0</v>
      </c>
      <c r="F233" s="20" t="s">
        <v>1122</v>
      </c>
    </row>
    <row r="234" ht="15.0" customHeight="1">
      <c r="A234" s="6" t="s">
        <v>127</v>
      </c>
      <c r="B234" s="10" t="s">
        <v>1126</v>
      </c>
      <c r="C234" s="9">
        <v>1.0</v>
      </c>
      <c r="D234" s="6" t="s">
        <v>41</v>
      </c>
      <c r="E234" s="9">
        <v>0.0</v>
      </c>
      <c r="F234" s="10" t="s">
        <v>1129</v>
      </c>
    </row>
    <row r="235" ht="15.0" customHeight="1">
      <c r="A235" s="13" t="s">
        <v>127</v>
      </c>
      <c r="B235" s="20" t="s">
        <v>1126</v>
      </c>
      <c r="C235" s="16">
        <v>2.0</v>
      </c>
      <c r="D235" s="13" t="s">
        <v>54</v>
      </c>
      <c r="E235" s="16">
        <v>50.0</v>
      </c>
      <c r="F235" s="20" t="s">
        <v>1132</v>
      </c>
    </row>
    <row r="236" ht="15.0" customHeight="1">
      <c r="A236" s="6" t="s">
        <v>127</v>
      </c>
      <c r="B236" s="10" t="s">
        <v>1126</v>
      </c>
      <c r="C236" s="9">
        <v>3.0</v>
      </c>
      <c r="D236" s="6" t="s">
        <v>62</v>
      </c>
      <c r="E236" s="9">
        <v>100.0</v>
      </c>
      <c r="F236" s="10" t="s">
        <v>1135</v>
      </c>
    </row>
    <row r="237" ht="15.0" customHeight="1">
      <c r="A237" s="13" t="s">
        <v>159</v>
      </c>
      <c r="B237" s="20" t="s">
        <v>1136</v>
      </c>
      <c r="C237" s="16">
        <v>1.0</v>
      </c>
      <c r="D237" s="20" t="s">
        <v>134</v>
      </c>
      <c r="E237" s="16">
        <v>0.0</v>
      </c>
      <c r="F237" s="20" t="s">
        <v>1138</v>
      </c>
    </row>
    <row r="238" ht="15.0" customHeight="1">
      <c r="A238" s="6" t="s">
        <v>159</v>
      </c>
      <c r="B238" s="10" t="s">
        <v>1136</v>
      </c>
      <c r="C238" s="9">
        <v>2.0</v>
      </c>
      <c r="D238" s="10" t="s">
        <v>141</v>
      </c>
      <c r="E238" s="9">
        <v>25.0</v>
      </c>
      <c r="F238" s="10" t="s">
        <v>1142</v>
      </c>
    </row>
    <row r="239" ht="15.0" customHeight="1">
      <c r="A239" s="13" t="s">
        <v>159</v>
      </c>
      <c r="B239" s="20" t="s">
        <v>1136</v>
      </c>
      <c r="C239" s="16">
        <v>3.0</v>
      </c>
      <c r="D239" s="20" t="s">
        <v>144</v>
      </c>
      <c r="E239" s="16">
        <v>50.0</v>
      </c>
      <c r="F239" s="20" t="s">
        <v>1146</v>
      </c>
    </row>
    <row r="240" ht="15.0" customHeight="1">
      <c r="A240" s="6" t="s">
        <v>159</v>
      </c>
      <c r="B240" s="10" t="s">
        <v>1136</v>
      </c>
      <c r="C240" s="9">
        <v>4.0</v>
      </c>
      <c r="D240" s="10" t="s">
        <v>149</v>
      </c>
      <c r="E240" s="9">
        <v>75.0</v>
      </c>
      <c r="F240" s="10" t="s">
        <v>1149</v>
      </c>
    </row>
    <row r="241" ht="15.0" customHeight="1">
      <c r="A241" s="13" t="s">
        <v>159</v>
      </c>
      <c r="B241" s="20" t="s">
        <v>1136</v>
      </c>
      <c r="C241" s="16">
        <v>5.0</v>
      </c>
      <c r="D241" s="20" t="s">
        <v>152</v>
      </c>
      <c r="E241" s="16">
        <v>100.0</v>
      </c>
      <c r="F241" s="20" t="s">
        <v>1155</v>
      </c>
    </row>
    <row r="242" ht="15.0" customHeight="1">
      <c r="A242" s="6" t="s">
        <v>199</v>
      </c>
      <c r="B242" s="10" t="s">
        <v>1157</v>
      </c>
      <c r="C242" s="9">
        <v>1.0</v>
      </c>
      <c r="D242" s="6" t="s">
        <v>41</v>
      </c>
      <c r="E242" s="9">
        <v>0.0</v>
      </c>
      <c r="F242" s="10" t="s">
        <v>1159</v>
      </c>
    </row>
    <row r="243" ht="15.0" customHeight="1">
      <c r="A243" s="13" t="s">
        <v>199</v>
      </c>
      <c r="B243" s="20" t="s">
        <v>1157</v>
      </c>
      <c r="C243" s="16">
        <v>2.0</v>
      </c>
      <c r="D243" s="13" t="s">
        <v>54</v>
      </c>
      <c r="E243" s="16">
        <v>25.0</v>
      </c>
      <c r="F243" s="20" t="s">
        <v>1161</v>
      </c>
    </row>
    <row r="244" ht="29.25" customHeight="1">
      <c r="A244" s="6" t="s">
        <v>199</v>
      </c>
      <c r="B244" s="10" t="s">
        <v>1157</v>
      </c>
      <c r="C244" s="9">
        <v>3.0</v>
      </c>
      <c r="D244" s="6" t="s">
        <v>62</v>
      </c>
      <c r="E244" s="9">
        <v>50.0</v>
      </c>
      <c r="F244" s="10" t="s">
        <v>1163</v>
      </c>
    </row>
    <row r="245" ht="29.25" customHeight="1">
      <c r="A245" s="13" t="s">
        <v>199</v>
      </c>
      <c r="B245" s="20" t="s">
        <v>1157</v>
      </c>
      <c r="C245" s="16">
        <v>4.0</v>
      </c>
      <c r="D245" s="13" t="s">
        <v>65</v>
      </c>
      <c r="E245" s="16">
        <v>75.0</v>
      </c>
      <c r="F245" s="20" t="s">
        <v>1166</v>
      </c>
    </row>
    <row r="246" ht="15.0" customHeight="1">
      <c r="A246" s="6" t="s">
        <v>199</v>
      </c>
      <c r="B246" s="10" t="s">
        <v>1157</v>
      </c>
      <c r="C246" s="9">
        <v>5.0</v>
      </c>
      <c r="D246" s="6" t="s">
        <v>69</v>
      </c>
      <c r="E246" s="9">
        <v>100.0</v>
      </c>
      <c r="F246" s="10" t="s">
        <v>1170</v>
      </c>
    </row>
    <row r="247" ht="29.25" customHeight="1">
      <c r="A247" s="13" t="s">
        <v>206</v>
      </c>
      <c r="B247" s="20" t="s">
        <v>1174</v>
      </c>
      <c r="C247" s="16">
        <v>1.0</v>
      </c>
      <c r="D247" s="13" t="s">
        <v>41</v>
      </c>
      <c r="E247" s="16">
        <v>0.0</v>
      </c>
      <c r="F247" s="20" t="s">
        <v>1175</v>
      </c>
    </row>
    <row r="248" ht="29.25" customHeight="1">
      <c r="A248" s="6" t="s">
        <v>206</v>
      </c>
      <c r="B248" s="10" t="s">
        <v>1174</v>
      </c>
      <c r="C248" s="9">
        <v>2.0</v>
      </c>
      <c r="D248" s="6" t="s">
        <v>54</v>
      </c>
      <c r="E248" s="9">
        <v>50.0</v>
      </c>
      <c r="F248" s="10" t="s">
        <v>1180</v>
      </c>
    </row>
    <row r="249" ht="29.25" customHeight="1">
      <c r="A249" s="13" t="s">
        <v>206</v>
      </c>
      <c r="B249" s="20" t="s">
        <v>1174</v>
      </c>
      <c r="C249" s="16">
        <v>3.0</v>
      </c>
      <c r="D249" s="13" t="s">
        <v>62</v>
      </c>
      <c r="E249" s="16">
        <v>100.0</v>
      </c>
      <c r="F249" s="20" t="s">
        <v>1181</v>
      </c>
    </row>
    <row r="250" ht="29.25" customHeight="1">
      <c r="A250" s="6" t="s">
        <v>1184</v>
      </c>
      <c r="B250" s="10" t="s">
        <v>1185</v>
      </c>
      <c r="C250" s="9">
        <v>1.0</v>
      </c>
      <c r="D250" s="6" t="s">
        <v>41</v>
      </c>
      <c r="E250" s="9">
        <v>0.0</v>
      </c>
      <c r="F250" s="10" t="s">
        <v>1189</v>
      </c>
    </row>
    <row r="251" ht="29.25" customHeight="1">
      <c r="A251" s="13" t="s">
        <v>1184</v>
      </c>
      <c r="B251" s="20" t="s">
        <v>1185</v>
      </c>
      <c r="C251" s="16">
        <v>2.0</v>
      </c>
      <c r="D251" s="13" t="s">
        <v>54</v>
      </c>
      <c r="E251" s="16">
        <v>25.0</v>
      </c>
      <c r="F251" s="20" t="s">
        <v>1192</v>
      </c>
    </row>
    <row r="252" ht="29.25" customHeight="1">
      <c r="A252" s="6" t="s">
        <v>1184</v>
      </c>
      <c r="B252" s="10" t="s">
        <v>1185</v>
      </c>
      <c r="C252" s="9">
        <v>3.0</v>
      </c>
      <c r="D252" s="6" t="s">
        <v>62</v>
      </c>
      <c r="E252" s="9">
        <v>50.0</v>
      </c>
      <c r="F252" s="10" t="s">
        <v>1195</v>
      </c>
    </row>
    <row r="253" ht="29.25" customHeight="1">
      <c r="A253" s="13" t="s">
        <v>1184</v>
      </c>
      <c r="B253" s="20" t="s">
        <v>1185</v>
      </c>
      <c r="C253" s="16">
        <v>4.0</v>
      </c>
      <c r="D253" s="13" t="s">
        <v>65</v>
      </c>
      <c r="E253" s="16">
        <v>75.0</v>
      </c>
      <c r="F253" s="20" t="s">
        <v>1204</v>
      </c>
    </row>
    <row r="254" ht="29.25" customHeight="1">
      <c r="A254" s="6" t="s">
        <v>1184</v>
      </c>
      <c r="B254" s="10" t="s">
        <v>1185</v>
      </c>
      <c r="C254" s="9">
        <v>5.0</v>
      </c>
      <c r="D254" s="6" t="s">
        <v>69</v>
      </c>
      <c r="E254" s="9">
        <v>100.0</v>
      </c>
      <c r="F254" s="10" t="s">
        <v>1209</v>
      </c>
    </row>
    <row r="255" ht="29.25" customHeight="1">
      <c r="A255" s="13" t="s">
        <v>1210</v>
      </c>
      <c r="B255" s="20" t="s">
        <v>1211</v>
      </c>
      <c r="C255" s="16">
        <v>1.0</v>
      </c>
      <c r="D255" s="13" t="s">
        <v>41</v>
      </c>
      <c r="E255" s="16">
        <v>0.0</v>
      </c>
      <c r="F255" s="20" t="s">
        <v>1213</v>
      </c>
    </row>
    <row r="256" ht="29.25" customHeight="1">
      <c r="A256" s="6" t="s">
        <v>1210</v>
      </c>
      <c r="B256" s="10" t="s">
        <v>1211</v>
      </c>
      <c r="C256" s="9">
        <v>2.0</v>
      </c>
      <c r="D256" s="6" t="s">
        <v>54</v>
      </c>
      <c r="E256" s="9">
        <v>25.0</v>
      </c>
      <c r="F256" s="10" t="s">
        <v>1217</v>
      </c>
    </row>
    <row r="257" ht="29.25" customHeight="1">
      <c r="A257" s="13" t="s">
        <v>1210</v>
      </c>
      <c r="B257" s="20" t="s">
        <v>1211</v>
      </c>
      <c r="C257" s="16">
        <v>3.0</v>
      </c>
      <c r="D257" s="13" t="s">
        <v>62</v>
      </c>
      <c r="E257" s="16">
        <v>50.0</v>
      </c>
      <c r="F257" s="20" t="s">
        <v>1220</v>
      </c>
    </row>
    <row r="258" ht="29.25" customHeight="1">
      <c r="A258" s="6" t="s">
        <v>1210</v>
      </c>
      <c r="B258" s="10" t="s">
        <v>1211</v>
      </c>
      <c r="C258" s="9">
        <v>4.0</v>
      </c>
      <c r="D258" s="6" t="s">
        <v>65</v>
      </c>
      <c r="E258" s="9">
        <v>75.0</v>
      </c>
      <c r="F258" s="10" t="s">
        <v>1222</v>
      </c>
    </row>
    <row r="259" ht="29.25" customHeight="1">
      <c r="A259" s="13" t="s">
        <v>1210</v>
      </c>
      <c r="B259" s="20" t="s">
        <v>1211</v>
      </c>
      <c r="C259" s="16">
        <v>5.0</v>
      </c>
      <c r="D259" s="13" t="s">
        <v>69</v>
      </c>
      <c r="E259" s="16">
        <v>100.0</v>
      </c>
      <c r="F259" s="20" t="s">
        <v>1227</v>
      </c>
    </row>
    <row r="260" ht="29.25" customHeight="1">
      <c r="A260" s="6" t="s">
        <v>1230</v>
      </c>
      <c r="B260" s="10" t="s">
        <v>1231</v>
      </c>
      <c r="C260" s="9">
        <v>1.0</v>
      </c>
      <c r="D260" s="10" t="s">
        <v>134</v>
      </c>
      <c r="E260" s="9">
        <v>0.0</v>
      </c>
      <c r="F260" s="6" t="s">
        <v>1233</v>
      </c>
    </row>
    <row r="261" ht="29.25" customHeight="1">
      <c r="A261" s="13" t="s">
        <v>1230</v>
      </c>
      <c r="B261" s="20" t="s">
        <v>1231</v>
      </c>
      <c r="C261" s="16">
        <v>2.0</v>
      </c>
      <c r="D261" s="20" t="s">
        <v>141</v>
      </c>
      <c r="E261" s="16">
        <v>25.0</v>
      </c>
      <c r="F261" s="13" t="s">
        <v>1236</v>
      </c>
    </row>
    <row r="262" ht="29.25" customHeight="1">
      <c r="A262" s="6" t="s">
        <v>1230</v>
      </c>
      <c r="B262" s="10" t="s">
        <v>1231</v>
      </c>
      <c r="C262" s="9">
        <v>3.0</v>
      </c>
      <c r="D262" s="10" t="s">
        <v>144</v>
      </c>
      <c r="E262" s="9">
        <v>50.0</v>
      </c>
      <c r="F262" s="10" t="s">
        <v>1239</v>
      </c>
    </row>
    <row r="263" ht="29.25" customHeight="1">
      <c r="A263" s="13" t="s">
        <v>1230</v>
      </c>
      <c r="B263" s="20" t="s">
        <v>1231</v>
      </c>
      <c r="C263" s="16">
        <v>4.0</v>
      </c>
      <c r="D263" s="20" t="s">
        <v>149</v>
      </c>
      <c r="E263" s="16">
        <v>75.0</v>
      </c>
      <c r="F263" s="20" t="s">
        <v>1243</v>
      </c>
    </row>
    <row r="264" ht="29.25" customHeight="1">
      <c r="A264" s="6" t="s">
        <v>1230</v>
      </c>
      <c r="B264" s="10" t="s">
        <v>1231</v>
      </c>
      <c r="C264" s="9">
        <v>5.0</v>
      </c>
      <c r="D264" s="10" t="s">
        <v>152</v>
      </c>
      <c r="E264" s="9">
        <v>100.0</v>
      </c>
      <c r="F264" s="10" t="s">
        <v>1244</v>
      </c>
    </row>
    <row r="265" ht="15.0" customHeight="1">
      <c r="A265" s="13" t="s">
        <v>1247</v>
      </c>
      <c r="B265" s="20" t="s">
        <v>1248</v>
      </c>
      <c r="C265" s="16">
        <v>1.0</v>
      </c>
      <c r="D265" s="13" t="s">
        <v>41</v>
      </c>
      <c r="E265" s="16">
        <v>0.0</v>
      </c>
      <c r="F265" s="20" t="s">
        <v>1251</v>
      </c>
    </row>
    <row r="266" ht="15.0" customHeight="1">
      <c r="A266" s="6" t="s">
        <v>1247</v>
      </c>
      <c r="B266" s="10" t="s">
        <v>1248</v>
      </c>
      <c r="C266" s="9">
        <v>2.0</v>
      </c>
      <c r="D266" s="6" t="s">
        <v>54</v>
      </c>
      <c r="E266" s="9">
        <v>25.0</v>
      </c>
      <c r="F266" s="10" t="s">
        <v>1255</v>
      </c>
    </row>
    <row r="267" ht="15.0" customHeight="1">
      <c r="A267" s="13" t="s">
        <v>1247</v>
      </c>
      <c r="B267" s="20" t="s">
        <v>1248</v>
      </c>
      <c r="C267" s="16">
        <v>3.0</v>
      </c>
      <c r="D267" s="13" t="s">
        <v>62</v>
      </c>
      <c r="E267" s="16">
        <v>50.0</v>
      </c>
      <c r="F267" s="20" t="s">
        <v>1256</v>
      </c>
    </row>
    <row r="268" ht="15.0" customHeight="1">
      <c r="A268" s="6" t="s">
        <v>1247</v>
      </c>
      <c r="B268" s="10" t="s">
        <v>1248</v>
      </c>
      <c r="C268" s="9">
        <v>4.0</v>
      </c>
      <c r="D268" s="6" t="s">
        <v>65</v>
      </c>
      <c r="E268" s="9">
        <v>75.0</v>
      </c>
      <c r="F268" s="10" t="s">
        <v>1259</v>
      </c>
    </row>
    <row r="269" ht="29.25" customHeight="1">
      <c r="A269" s="13" t="s">
        <v>1247</v>
      </c>
      <c r="B269" s="20" t="s">
        <v>1248</v>
      </c>
      <c r="C269" s="16">
        <v>5.0</v>
      </c>
      <c r="D269" s="13" t="s">
        <v>69</v>
      </c>
      <c r="E269" s="16">
        <v>100.0</v>
      </c>
      <c r="F269" s="20" t="s">
        <v>1261</v>
      </c>
    </row>
    <row r="270" ht="15.0" customHeight="1">
      <c r="A270" s="6" t="s">
        <v>1264</v>
      </c>
      <c r="B270" s="10" t="s">
        <v>1265</v>
      </c>
      <c r="C270" s="9">
        <v>1.0</v>
      </c>
      <c r="D270" s="6" t="s">
        <v>41</v>
      </c>
      <c r="E270" s="9">
        <v>0.0</v>
      </c>
      <c r="F270" s="10" t="s">
        <v>1266</v>
      </c>
    </row>
    <row r="271" ht="29.25" customHeight="1">
      <c r="A271" s="13" t="s">
        <v>1264</v>
      </c>
      <c r="B271" s="20" t="s">
        <v>1265</v>
      </c>
      <c r="C271" s="16">
        <v>2.0</v>
      </c>
      <c r="D271" s="13" t="s">
        <v>54</v>
      </c>
      <c r="E271" s="16">
        <v>25.0</v>
      </c>
      <c r="F271" s="20" t="s">
        <v>1268</v>
      </c>
    </row>
    <row r="272" ht="29.25" customHeight="1">
      <c r="A272" s="6" t="s">
        <v>1264</v>
      </c>
      <c r="B272" s="10" t="s">
        <v>1265</v>
      </c>
      <c r="C272" s="9">
        <v>3.0</v>
      </c>
      <c r="D272" s="6" t="s">
        <v>62</v>
      </c>
      <c r="E272" s="9">
        <v>50.0</v>
      </c>
      <c r="F272" s="10" t="s">
        <v>1271</v>
      </c>
    </row>
    <row r="273" ht="29.25" customHeight="1">
      <c r="A273" s="13" t="s">
        <v>1264</v>
      </c>
      <c r="B273" s="20" t="s">
        <v>1265</v>
      </c>
      <c r="C273" s="16">
        <v>4.0</v>
      </c>
      <c r="D273" s="13" t="s">
        <v>65</v>
      </c>
      <c r="E273" s="16">
        <v>75.0</v>
      </c>
      <c r="F273" s="20" t="s">
        <v>1275</v>
      </c>
    </row>
    <row r="274" ht="29.25" customHeight="1">
      <c r="A274" s="6" t="s">
        <v>1264</v>
      </c>
      <c r="B274" s="10" t="s">
        <v>1265</v>
      </c>
      <c r="C274" s="9">
        <v>5.0</v>
      </c>
      <c r="D274" s="6" t="s">
        <v>69</v>
      </c>
      <c r="E274" s="9">
        <v>100.0</v>
      </c>
      <c r="F274" s="10" t="s">
        <v>1278</v>
      </c>
    </row>
    <row r="275" ht="15.0" customHeight="1">
      <c r="A275" s="13" t="s">
        <v>1280</v>
      </c>
      <c r="B275" s="20" t="s">
        <v>1281</v>
      </c>
      <c r="C275" s="16">
        <v>1.0</v>
      </c>
      <c r="D275" s="13" t="s">
        <v>41</v>
      </c>
      <c r="E275" s="16">
        <v>0.0</v>
      </c>
      <c r="F275" s="20" t="s">
        <v>1282</v>
      </c>
    </row>
    <row r="276" ht="15.0" customHeight="1">
      <c r="A276" s="6" t="s">
        <v>1280</v>
      </c>
      <c r="B276" s="10" t="s">
        <v>1281</v>
      </c>
      <c r="C276" s="9">
        <v>2.0</v>
      </c>
      <c r="D276" s="6" t="s">
        <v>54</v>
      </c>
      <c r="E276" s="9">
        <v>100.0</v>
      </c>
      <c r="F276" s="10" t="s">
        <v>1284</v>
      </c>
    </row>
    <row r="277" ht="29.25" customHeight="1">
      <c r="A277" s="13" t="s">
        <v>1285</v>
      </c>
      <c r="B277" s="13" t="s">
        <v>1286</v>
      </c>
      <c r="C277" s="16">
        <v>1.0</v>
      </c>
      <c r="D277" s="13" t="s">
        <v>41</v>
      </c>
      <c r="E277" s="16">
        <v>0.0</v>
      </c>
      <c r="F277" s="20" t="s">
        <v>1287</v>
      </c>
    </row>
    <row r="278" ht="29.25" customHeight="1">
      <c r="A278" s="6" t="s">
        <v>1285</v>
      </c>
      <c r="B278" s="6" t="s">
        <v>1286</v>
      </c>
      <c r="C278" s="9">
        <v>2.0</v>
      </c>
      <c r="D278" s="6" t="s">
        <v>54</v>
      </c>
      <c r="E278" s="9">
        <v>50.0</v>
      </c>
      <c r="F278" s="10" t="s">
        <v>1288</v>
      </c>
    </row>
    <row r="279" ht="29.25" customHeight="1">
      <c r="A279" s="13" t="s">
        <v>1285</v>
      </c>
      <c r="B279" s="13" t="s">
        <v>1286</v>
      </c>
      <c r="C279" s="16">
        <v>3.0</v>
      </c>
      <c r="D279" s="13" t="s">
        <v>62</v>
      </c>
      <c r="E279" s="16">
        <v>100.0</v>
      </c>
      <c r="F279" s="20" t="s">
        <v>1289</v>
      </c>
    </row>
    <row r="280" ht="15.0" customHeight="1">
      <c r="A280" s="6" t="s">
        <v>1291</v>
      </c>
      <c r="B280" s="10" t="s">
        <v>1292</v>
      </c>
      <c r="C280" s="9">
        <v>1.0</v>
      </c>
      <c r="D280" s="6" t="s">
        <v>41</v>
      </c>
      <c r="E280" s="9">
        <v>0.0</v>
      </c>
      <c r="F280" s="10" t="s">
        <v>1293</v>
      </c>
    </row>
    <row r="281" ht="15.0" customHeight="1">
      <c r="A281" s="13" t="s">
        <v>1291</v>
      </c>
      <c r="B281" s="20" t="s">
        <v>1292</v>
      </c>
      <c r="C281" s="16">
        <v>2.0</v>
      </c>
      <c r="D281" s="13" t="s">
        <v>54</v>
      </c>
      <c r="E281" s="16">
        <v>25.0</v>
      </c>
      <c r="F281" s="20" t="s">
        <v>1298</v>
      </c>
    </row>
    <row r="282" ht="29.25" customHeight="1">
      <c r="A282" s="6" t="s">
        <v>1291</v>
      </c>
      <c r="B282" s="10" t="s">
        <v>1292</v>
      </c>
      <c r="C282" s="9">
        <v>3.0</v>
      </c>
      <c r="D282" s="6" t="s">
        <v>62</v>
      </c>
      <c r="E282" s="9">
        <v>50.0</v>
      </c>
      <c r="F282" s="10" t="s">
        <v>1301</v>
      </c>
    </row>
    <row r="283" ht="29.25" customHeight="1">
      <c r="A283" s="13" t="s">
        <v>1291</v>
      </c>
      <c r="B283" s="20" t="s">
        <v>1292</v>
      </c>
      <c r="C283" s="16">
        <v>4.0</v>
      </c>
      <c r="D283" s="13" t="s">
        <v>65</v>
      </c>
      <c r="E283" s="16">
        <v>75.0</v>
      </c>
      <c r="F283" s="20" t="s">
        <v>1306</v>
      </c>
    </row>
    <row r="284" ht="29.25" customHeight="1">
      <c r="A284" s="6" t="s">
        <v>1291</v>
      </c>
      <c r="B284" s="10" t="s">
        <v>1292</v>
      </c>
      <c r="C284" s="9">
        <v>5.0</v>
      </c>
      <c r="D284" s="6" t="s">
        <v>69</v>
      </c>
      <c r="E284" s="9">
        <v>100.0</v>
      </c>
      <c r="F284" s="10" t="s">
        <v>1310</v>
      </c>
    </row>
    <row r="285" ht="15.0" customHeight="1">
      <c r="A285" s="13" t="s">
        <v>1311</v>
      </c>
      <c r="B285" s="20" t="s">
        <v>1312</v>
      </c>
      <c r="C285" s="16">
        <v>1.0</v>
      </c>
      <c r="D285" s="13" t="s">
        <v>41</v>
      </c>
      <c r="E285" s="16">
        <v>0.0</v>
      </c>
      <c r="F285" s="20" t="s">
        <v>1313</v>
      </c>
    </row>
    <row r="286" ht="15.0" customHeight="1">
      <c r="A286" s="6" t="s">
        <v>1311</v>
      </c>
      <c r="B286" s="10" t="s">
        <v>1312</v>
      </c>
      <c r="C286" s="9">
        <v>2.0</v>
      </c>
      <c r="D286" s="6" t="s">
        <v>54</v>
      </c>
      <c r="E286" s="9">
        <v>25.0</v>
      </c>
      <c r="F286" s="10" t="s">
        <v>1319</v>
      </c>
    </row>
    <row r="287" ht="29.25" customHeight="1">
      <c r="A287" s="13" t="s">
        <v>1311</v>
      </c>
      <c r="B287" s="20" t="s">
        <v>1312</v>
      </c>
      <c r="C287" s="16">
        <v>3.0</v>
      </c>
      <c r="D287" s="13" t="s">
        <v>62</v>
      </c>
      <c r="E287" s="16">
        <v>50.0</v>
      </c>
      <c r="F287" s="20" t="s">
        <v>1320</v>
      </c>
    </row>
    <row r="288" ht="29.25" customHeight="1">
      <c r="A288" s="6" t="s">
        <v>1311</v>
      </c>
      <c r="B288" s="10" t="s">
        <v>1312</v>
      </c>
      <c r="C288" s="9">
        <v>4.0</v>
      </c>
      <c r="D288" s="6" t="s">
        <v>65</v>
      </c>
      <c r="E288" s="9">
        <v>75.0</v>
      </c>
      <c r="F288" s="10" t="s">
        <v>1323</v>
      </c>
    </row>
    <row r="289" ht="43.5" customHeight="1">
      <c r="A289" s="13" t="s">
        <v>1311</v>
      </c>
      <c r="B289" s="20" t="s">
        <v>1312</v>
      </c>
      <c r="C289" s="16">
        <v>5.0</v>
      </c>
      <c r="D289" s="13" t="s">
        <v>69</v>
      </c>
      <c r="E289" s="16">
        <v>100.0</v>
      </c>
      <c r="F289" s="20" t="s">
        <v>1325</v>
      </c>
    </row>
    <row r="290" ht="29.25" customHeight="1">
      <c r="A290" s="6" t="s">
        <v>148</v>
      </c>
      <c r="B290" s="10" t="s">
        <v>1305</v>
      </c>
      <c r="C290" s="9">
        <v>1.0</v>
      </c>
      <c r="D290" s="10" t="s">
        <v>134</v>
      </c>
      <c r="E290" s="9">
        <v>0.0</v>
      </c>
      <c r="F290" s="10" t="s">
        <v>1329</v>
      </c>
    </row>
    <row r="291" ht="29.25" customHeight="1">
      <c r="A291" s="13" t="s">
        <v>148</v>
      </c>
      <c r="B291" s="20" t="s">
        <v>1305</v>
      </c>
      <c r="C291" s="16">
        <v>2.0</v>
      </c>
      <c r="D291" s="20" t="s">
        <v>141</v>
      </c>
      <c r="E291" s="16">
        <v>25.0</v>
      </c>
      <c r="F291" s="20" t="s">
        <v>1333</v>
      </c>
    </row>
    <row r="292" ht="15.0" customHeight="1">
      <c r="A292" s="6" t="s">
        <v>148</v>
      </c>
      <c r="B292" s="10" t="s">
        <v>1305</v>
      </c>
      <c r="C292" s="9">
        <v>3.0</v>
      </c>
      <c r="D292" s="10" t="s">
        <v>144</v>
      </c>
      <c r="E292" s="9">
        <v>50.0</v>
      </c>
      <c r="F292" s="10" t="s">
        <v>1337</v>
      </c>
    </row>
    <row r="293" ht="29.25" customHeight="1">
      <c r="A293" s="13" t="s">
        <v>148</v>
      </c>
      <c r="B293" s="20" t="s">
        <v>1305</v>
      </c>
      <c r="C293" s="16">
        <v>4.0</v>
      </c>
      <c r="D293" s="20" t="s">
        <v>149</v>
      </c>
      <c r="E293" s="16">
        <v>75.0</v>
      </c>
      <c r="F293" s="20" t="s">
        <v>1339</v>
      </c>
    </row>
    <row r="294" ht="29.25" customHeight="1">
      <c r="A294" s="6" t="s">
        <v>148</v>
      </c>
      <c r="B294" s="10" t="s">
        <v>1305</v>
      </c>
      <c r="C294" s="9">
        <v>5.0</v>
      </c>
      <c r="D294" s="10" t="s">
        <v>152</v>
      </c>
      <c r="E294" s="9">
        <v>100.0</v>
      </c>
      <c r="F294" s="10" t="s">
        <v>1341</v>
      </c>
    </row>
    <row r="295" ht="29.25" customHeight="1">
      <c r="A295" s="20" t="s">
        <v>1343</v>
      </c>
      <c r="B295" s="20" t="s">
        <v>1344</v>
      </c>
      <c r="C295" s="16">
        <v>1.0</v>
      </c>
      <c r="D295" s="13" t="s">
        <v>41</v>
      </c>
      <c r="E295" s="16">
        <v>0.0</v>
      </c>
      <c r="F295" s="20" t="s">
        <v>1345</v>
      </c>
    </row>
    <row r="296" ht="15.0" customHeight="1">
      <c r="A296" s="10" t="s">
        <v>1343</v>
      </c>
      <c r="B296" s="10" t="s">
        <v>1344</v>
      </c>
      <c r="C296" s="9">
        <v>2.0</v>
      </c>
      <c r="D296" s="6" t="s">
        <v>54</v>
      </c>
      <c r="E296" s="9">
        <v>50.0</v>
      </c>
      <c r="F296" s="10" t="s">
        <v>1348</v>
      </c>
    </row>
    <row r="297" ht="15.0" customHeight="1">
      <c r="A297" s="20" t="s">
        <v>1343</v>
      </c>
      <c r="B297" s="20" t="s">
        <v>1344</v>
      </c>
      <c r="C297" s="16">
        <v>3.0</v>
      </c>
      <c r="D297" s="13" t="s">
        <v>62</v>
      </c>
      <c r="E297" s="16">
        <v>100.0</v>
      </c>
      <c r="F297" s="20" t="s">
        <v>1350</v>
      </c>
    </row>
    <row r="298" ht="29.25" customHeight="1">
      <c r="A298" s="10" t="s">
        <v>1353</v>
      </c>
      <c r="B298" s="10" t="s">
        <v>1354</v>
      </c>
      <c r="C298" s="9">
        <v>1.0</v>
      </c>
      <c r="D298" s="6" t="s">
        <v>41</v>
      </c>
      <c r="E298" s="9">
        <v>0.0</v>
      </c>
      <c r="F298" s="10" t="s">
        <v>1356</v>
      </c>
    </row>
    <row r="299" ht="15.0" customHeight="1">
      <c r="A299" s="20" t="s">
        <v>1353</v>
      </c>
      <c r="B299" s="20" t="s">
        <v>1354</v>
      </c>
      <c r="C299" s="16">
        <v>2.0</v>
      </c>
      <c r="D299" s="13" t="s">
        <v>54</v>
      </c>
      <c r="E299" s="16">
        <v>50.0</v>
      </c>
      <c r="F299" s="20" t="s">
        <v>1360</v>
      </c>
    </row>
    <row r="300" ht="15.0" customHeight="1">
      <c r="A300" s="10" t="s">
        <v>1353</v>
      </c>
      <c r="B300" s="10" t="s">
        <v>1354</v>
      </c>
      <c r="C300" s="9">
        <v>3.0</v>
      </c>
      <c r="D300" s="6" t="s">
        <v>62</v>
      </c>
      <c r="E300" s="9">
        <v>100.0</v>
      </c>
      <c r="F300" s="10" t="s">
        <v>1363</v>
      </c>
    </row>
    <row r="301" ht="29.25" customHeight="1">
      <c r="A301" s="20" t="s">
        <v>1365</v>
      </c>
      <c r="B301" s="20" t="s">
        <v>1369</v>
      </c>
      <c r="C301" s="16">
        <v>1.0</v>
      </c>
      <c r="D301" s="13" t="s">
        <v>41</v>
      </c>
      <c r="E301" s="16">
        <v>0.0</v>
      </c>
      <c r="F301" s="20" t="s">
        <v>1370</v>
      </c>
    </row>
    <row r="302" ht="15.0" customHeight="1">
      <c r="A302" s="10" t="s">
        <v>1365</v>
      </c>
      <c r="B302" s="10" t="s">
        <v>1369</v>
      </c>
      <c r="C302" s="9">
        <v>2.0</v>
      </c>
      <c r="D302" s="6" t="s">
        <v>54</v>
      </c>
      <c r="E302" s="9">
        <v>50.0</v>
      </c>
      <c r="F302" s="10" t="s">
        <v>1373</v>
      </c>
    </row>
    <row r="303" ht="15.0" customHeight="1">
      <c r="A303" s="20" t="s">
        <v>1365</v>
      </c>
      <c r="B303" s="20" t="s">
        <v>1369</v>
      </c>
      <c r="C303" s="16">
        <v>3.0</v>
      </c>
      <c r="D303" s="13" t="s">
        <v>62</v>
      </c>
      <c r="E303" s="16">
        <v>100.0</v>
      </c>
      <c r="F303" s="20" t="s">
        <v>1379</v>
      </c>
    </row>
    <row r="304" ht="15.0" customHeight="1">
      <c r="A304" s="10" t="s">
        <v>1381</v>
      </c>
      <c r="B304" s="10" t="s">
        <v>1382</v>
      </c>
      <c r="C304" s="9">
        <v>1.0</v>
      </c>
      <c r="D304" s="6" t="s">
        <v>41</v>
      </c>
      <c r="E304" s="9">
        <v>0.0</v>
      </c>
      <c r="F304" s="10" t="s">
        <v>1385</v>
      </c>
    </row>
    <row r="305" ht="15.0" customHeight="1">
      <c r="A305" s="20" t="s">
        <v>1381</v>
      </c>
      <c r="B305" s="20" t="s">
        <v>1382</v>
      </c>
      <c r="C305" s="16">
        <v>2.0</v>
      </c>
      <c r="D305" s="13" t="s">
        <v>54</v>
      </c>
      <c r="E305" s="16">
        <v>50.0</v>
      </c>
      <c r="F305" s="20" t="s">
        <v>1373</v>
      </c>
    </row>
    <row r="306" ht="15.0" customHeight="1">
      <c r="A306" s="10" t="s">
        <v>1381</v>
      </c>
      <c r="B306" s="10" t="s">
        <v>1382</v>
      </c>
      <c r="C306" s="9">
        <v>3.0</v>
      </c>
      <c r="D306" s="6" t="s">
        <v>62</v>
      </c>
      <c r="E306" s="9">
        <v>100.0</v>
      </c>
      <c r="F306" s="10" t="s">
        <v>1388</v>
      </c>
    </row>
    <row r="307" ht="15.0" customHeight="1">
      <c r="A307" s="20" t="s">
        <v>1389</v>
      </c>
      <c r="B307" s="20" t="s">
        <v>1390</v>
      </c>
      <c r="C307" s="16">
        <v>1.0</v>
      </c>
      <c r="D307" s="13" t="s">
        <v>41</v>
      </c>
      <c r="E307" s="16">
        <v>0.0</v>
      </c>
      <c r="F307" s="20" t="s">
        <v>1392</v>
      </c>
    </row>
    <row r="308" ht="15.0" customHeight="1">
      <c r="A308" s="10" t="s">
        <v>1389</v>
      </c>
      <c r="B308" s="10" t="s">
        <v>1390</v>
      </c>
      <c r="C308" s="9">
        <v>2.0</v>
      </c>
      <c r="D308" s="6" t="s">
        <v>54</v>
      </c>
      <c r="E308" s="9">
        <v>50.0</v>
      </c>
      <c r="F308" s="10" t="s">
        <v>1373</v>
      </c>
    </row>
    <row r="309" ht="15.0" customHeight="1">
      <c r="A309" s="20" t="s">
        <v>1389</v>
      </c>
      <c r="B309" s="20" t="s">
        <v>1390</v>
      </c>
      <c r="C309" s="16">
        <v>3.0</v>
      </c>
      <c r="D309" s="13" t="s">
        <v>62</v>
      </c>
      <c r="E309" s="16">
        <v>100.0</v>
      </c>
      <c r="F309" s="20" t="s">
        <v>1388</v>
      </c>
    </row>
    <row r="310" ht="15.0" customHeight="1">
      <c r="A310" s="6" t="s">
        <v>1397</v>
      </c>
      <c r="B310" s="10" t="s">
        <v>1399</v>
      </c>
      <c r="C310" s="9">
        <v>1.0</v>
      </c>
      <c r="D310" s="10" t="s">
        <v>134</v>
      </c>
      <c r="E310" s="9">
        <v>0.0</v>
      </c>
      <c r="F310" s="10" t="s">
        <v>1401</v>
      </c>
    </row>
    <row r="311" ht="15.0" customHeight="1">
      <c r="A311" s="13" t="s">
        <v>1397</v>
      </c>
      <c r="B311" s="20" t="s">
        <v>1399</v>
      </c>
      <c r="C311" s="16">
        <v>2.0</v>
      </c>
      <c r="D311" s="20" t="s">
        <v>141</v>
      </c>
      <c r="E311" s="16">
        <v>25.0</v>
      </c>
      <c r="F311" s="20" t="s">
        <v>1403</v>
      </c>
    </row>
    <row r="312" ht="15.0" customHeight="1">
      <c r="A312" s="6" t="s">
        <v>1397</v>
      </c>
      <c r="B312" s="10" t="s">
        <v>1399</v>
      </c>
      <c r="C312" s="9">
        <v>3.0</v>
      </c>
      <c r="D312" s="10" t="s">
        <v>144</v>
      </c>
      <c r="E312" s="9">
        <v>50.0</v>
      </c>
      <c r="F312" s="10" t="s">
        <v>1405</v>
      </c>
    </row>
    <row r="313" ht="15.0" customHeight="1">
      <c r="A313" s="13" t="s">
        <v>1397</v>
      </c>
      <c r="B313" s="20" t="s">
        <v>1399</v>
      </c>
      <c r="C313" s="16">
        <v>4.0</v>
      </c>
      <c r="D313" s="20" t="s">
        <v>149</v>
      </c>
      <c r="E313" s="16">
        <v>75.0</v>
      </c>
      <c r="F313" s="20" t="s">
        <v>1407</v>
      </c>
    </row>
    <row r="314" ht="15.0" customHeight="1">
      <c r="A314" s="6" t="s">
        <v>1397</v>
      </c>
      <c r="B314" s="10" t="s">
        <v>1399</v>
      </c>
      <c r="C314" s="9">
        <v>5.0</v>
      </c>
      <c r="D314" s="10" t="s">
        <v>152</v>
      </c>
      <c r="E314" s="9">
        <v>100.0</v>
      </c>
      <c r="F314" s="10" t="s">
        <v>1410</v>
      </c>
    </row>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2.0"/>
    <col customWidth="1" min="3" max="3" width="20.0"/>
    <col customWidth="1" min="4" max="4" width="10.0"/>
    <col customWidth="1" min="5" max="5" width="34.0"/>
    <col customWidth="1" min="6" max="6" width="10.0"/>
    <col customWidth="1" min="7" max="7" width="20.0"/>
    <col customWidth="1" min="8" max="8" width="24.0"/>
    <col customWidth="1" min="9" max="9" width="30.0"/>
    <col customWidth="1" min="10" max="10" width="18.0"/>
    <col customWidth="1" min="11" max="26" width="8.71"/>
  </cols>
  <sheetData>
    <row r="1" ht="30.0" customHeight="1">
      <c r="A1" s="2" t="s">
        <v>2</v>
      </c>
      <c r="B1" s="2" t="s">
        <v>3</v>
      </c>
      <c r="C1" s="2" t="s">
        <v>4</v>
      </c>
      <c r="D1" s="2" t="s">
        <v>5</v>
      </c>
      <c r="E1" s="2" t="s">
        <v>8</v>
      </c>
      <c r="F1" s="2" t="s">
        <v>10</v>
      </c>
      <c r="G1" s="2" t="s">
        <v>12</v>
      </c>
      <c r="H1" s="2" t="s">
        <v>15</v>
      </c>
      <c r="I1" s="2" t="s">
        <v>22</v>
      </c>
      <c r="J1" s="5" t="s">
        <v>26</v>
      </c>
    </row>
    <row r="2" ht="15.0" customHeight="1">
      <c r="A2" s="8">
        <v>1.0</v>
      </c>
      <c r="B2" s="10" t="s">
        <v>40</v>
      </c>
      <c r="C2" s="6" t="s">
        <v>44</v>
      </c>
      <c r="D2" s="14" t="s">
        <v>45</v>
      </c>
      <c r="E2" s="10" t="s">
        <v>49</v>
      </c>
      <c r="F2" s="14" t="s">
        <v>50</v>
      </c>
      <c r="G2" s="10" t="s">
        <v>52</v>
      </c>
      <c r="H2" s="6" t="s">
        <v>53</v>
      </c>
      <c r="I2" s="10" t="s">
        <v>55</v>
      </c>
      <c r="J2" s="19"/>
    </row>
    <row r="3" ht="15.0" customHeight="1">
      <c r="A3" s="26">
        <v>2.0</v>
      </c>
      <c r="B3" s="20" t="s">
        <v>40</v>
      </c>
      <c r="C3" s="13" t="s">
        <v>44</v>
      </c>
      <c r="D3" s="28" t="s">
        <v>98</v>
      </c>
      <c r="E3" s="20" t="s">
        <v>103</v>
      </c>
      <c r="F3" s="28" t="s">
        <v>50</v>
      </c>
      <c r="G3" s="20" t="s">
        <v>52</v>
      </c>
      <c r="H3" s="13" t="s">
        <v>105</v>
      </c>
      <c r="I3" s="20"/>
      <c r="J3" s="19"/>
    </row>
    <row r="4" ht="15.0" customHeight="1">
      <c r="A4" s="8">
        <v>3.0</v>
      </c>
      <c r="B4" s="10" t="s">
        <v>40</v>
      </c>
      <c r="C4" s="6" t="s">
        <v>44</v>
      </c>
      <c r="D4" s="14" t="s">
        <v>109</v>
      </c>
      <c r="E4" s="10" t="s">
        <v>110</v>
      </c>
      <c r="F4" s="14" t="s">
        <v>50</v>
      </c>
      <c r="G4" s="10" t="s">
        <v>52</v>
      </c>
      <c r="H4" s="6" t="s">
        <v>114</v>
      </c>
      <c r="I4" s="10"/>
      <c r="J4" s="19"/>
    </row>
    <row r="5" ht="15.0" customHeight="1">
      <c r="A5" s="26">
        <v>4.0</v>
      </c>
      <c r="B5" s="20" t="s">
        <v>40</v>
      </c>
      <c r="C5" s="13" t="s">
        <v>44</v>
      </c>
      <c r="D5" s="28" t="s">
        <v>119</v>
      </c>
      <c r="E5" s="20" t="s">
        <v>125</v>
      </c>
      <c r="F5" s="28" t="s">
        <v>50</v>
      </c>
      <c r="G5" s="20" t="s">
        <v>52</v>
      </c>
      <c r="H5" s="13" t="s">
        <v>127</v>
      </c>
      <c r="I5" s="20" t="s">
        <v>129</v>
      </c>
      <c r="J5" s="19"/>
    </row>
    <row r="6" ht="15.0" customHeight="1">
      <c r="A6" s="8">
        <v>5.0</v>
      </c>
      <c r="B6" s="10" t="s">
        <v>40</v>
      </c>
      <c r="C6" s="6" t="s">
        <v>44</v>
      </c>
      <c r="D6" s="14" t="s">
        <v>136</v>
      </c>
      <c r="E6" s="10" t="s">
        <v>137</v>
      </c>
      <c r="F6" s="14" t="s">
        <v>50</v>
      </c>
      <c r="G6" s="10" t="s">
        <v>52</v>
      </c>
      <c r="H6" s="6" t="s">
        <v>127</v>
      </c>
      <c r="I6" s="10"/>
      <c r="J6" s="19"/>
    </row>
    <row r="7" ht="15.0" customHeight="1">
      <c r="A7" s="26">
        <v>6.0</v>
      </c>
      <c r="B7" s="20" t="s">
        <v>40</v>
      </c>
      <c r="C7" s="13" t="s">
        <v>44</v>
      </c>
      <c r="D7" s="28" t="s">
        <v>143</v>
      </c>
      <c r="E7" s="20" t="s">
        <v>146</v>
      </c>
      <c r="F7" s="28" t="s">
        <v>50</v>
      </c>
      <c r="G7" s="20" t="s">
        <v>52</v>
      </c>
      <c r="H7" s="13" t="s">
        <v>148</v>
      </c>
      <c r="I7" s="20"/>
      <c r="J7" s="19"/>
    </row>
    <row r="8" ht="29.25" customHeight="1">
      <c r="A8" s="8">
        <v>7.0</v>
      </c>
      <c r="B8" s="10" t="s">
        <v>40</v>
      </c>
      <c r="C8" s="6" t="s">
        <v>44</v>
      </c>
      <c r="D8" s="14" t="s">
        <v>154</v>
      </c>
      <c r="E8" s="10" t="s">
        <v>157</v>
      </c>
      <c r="F8" s="14" t="s">
        <v>50</v>
      </c>
      <c r="G8" s="10" t="s">
        <v>52</v>
      </c>
      <c r="H8" s="6" t="s">
        <v>159</v>
      </c>
      <c r="I8" s="10" t="s">
        <v>162</v>
      </c>
      <c r="J8" s="19"/>
    </row>
    <row r="9" ht="15.0" customHeight="1">
      <c r="A9" s="26">
        <v>8.0</v>
      </c>
      <c r="B9" s="20" t="s">
        <v>40</v>
      </c>
      <c r="C9" s="13" t="s">
        <v>44</v>
      </c>
      <c r="D9" s="28" t="s">
        <v>163</v>
      </c>
      <c r="E9" s="20" t="s">
        <v>165</v>
      </c>
      <c r="F9" s="28" t="s">
        <v>50</v>
      </c>
      <c r="G9" s="20" t="s">
        <v>52</v>
      </c>
      <c r="H9" s="13" t="s">
        <v>166</v>
      </c>
      <c r="I9" s="20"/>
      <c r="J9" s="19"/>
    </row>
    <row r="10" ht="15.0" customHeight="1">
      <c r="A10" s="8">
        <v>9.0</v>
      </c>
      <c r="B10" s="10" t="s">
        <v>40</v>
      </c>
      <c r="C10" s="6" t="s">
        <v>44</v>
      </c>
      <c r="D10" s="14" t="s">
        <v>172</v>
      </c>
      <c r="E10" s="10" t="s">
        <v>173</v>
      </c>
      <c r="F10" s="14" t="s">
        <v>50</v>
      </c>
      <c r="G10" s="10" t="s">
        <v>52</v>
      </c>
      <c r="H10" s="6" t="s">
        <v>105</v>
      </c>
      <c r="I10" s="10" t="s">
        <v>175</v>
      </c>
      <c r="J10" s="19"/>
    </row>
    <row r="11" ht="29.25" customHeight="1">
      <c r="A11" s="26">
        <v>10.0</v>
      </c>
      <c r="B11" s="20" t="s">
        <v>40</v>
      </c>
      <c r="C11" s="13" t="s">
        <v>44</v>
      </c>
      <c r="D11" s="28" t="s">
        <v>179</v>
      </c>
      <c r="E11" s="20" t="s">
        <v>180</v>
      </c>
      <c r="F11" s="28" t="s">
        <v>50</v>
      </c>
      <c r="G11" s="20" t="s">
        <v>52</v>
      </c>
      <c r="H11" s="13" t="s">
        <v>159</v>
      </c>
      <c r="I11" s="20"/>
      <c r="J11" s="19"/>
    </row>
    <row r="12" ht="15.0" customHeight="1">
      <c r="A12" s="8">
        <v>11.0</v>
      </c>
      <c r="B12" s="10" t="s">
        <v>40</v>
      </c>
      <c r="C12" s="6" t="s">
        <v>44</v>
      </c>
      <c r="D12" s="14" t="s">
        <v>186</v>
      </c>
      <c r="E12" s="10" t="s">
        <v>187</v>
      </c>
      <c r="F12" s="14" t="s">
        <v>50</v>
      </c>
      <c r="G12" s="10" t="s">
        <v>52</v>
      </c>
      <c r="H12" s="6" t="s">
        <v>188</v>
      </c>
      <c r="I12" s="10" t="s">
        <v>190</v>
      </c>
      <c r="J12" s="19"/>
    </row>
    <row r="13" ht="15.0" customHeight="1">
      <c r="A13" s="26">
        <v>12.0</v>
      </c>
      <c r="B13" s="20" t="s">
        <v>40</v>
      </c>
      <c r="C13" s="13" t="s">
        <v>44</v>
      </c>
      <c r="D13" s="28" t="s">
        <v>192</v>
      </c>
      <c r="E13" s="20" t="s">
        <v>196</v>
      </c>
      <c r="F13" s="28" t="s">
        <v>50</v>
      </c>
      <c r="G13" s="20" t="s">
        <v>52</v>
      </c>
      <c r="H13" s="13" t="s">
        <v>199</v>
      </c>
      <c r="I13" s="20"/>
      <c r="J13" s="19"/>
    </row>
    <row r="14" ht="15.0" customHeight="1">
      <c r="A14" s="8">
        <v>13.0</v>
      </c>
      <c r="B14" s="10" t="s">
        <v>40</v>
      </c>
      <c r="C14" s="6" t="s">
        <v>44</v>
      </c>
      <c r="D14" s="14" t="s">
        <v>202</v>
      </c>
      <c r="E14" s="10" t="s">
        <v>203</v>
      </c>
      <c r="F14" s="14" t="s">
        <v>50</v>
      </c>
      <c r="G14" s="10" t="s">
        <v>52</v>
      </c>
      <c r="H14" s="6" t="s">
        <v>206</v>
      </c>
      <c r="I14" s="10"/>
      <c r="J14" s="19"/>
    </row>
    <row r="15" ht="29.25" customHeight="1">
      <c r="A15" s="26">
        <v>14.0</v>
      </c>
      <c r="B15" s="20" t="s">
        <v>40</v>
      </c>
      <c r="C15" s="13" t="s">
        <v>44</v>
      </c>
      <c r="D15" s="28" t="s">
        <v>212</v>
      </c>
      <c r="E15" s="20" t="s">
        <v>214</v>
      </c>
      <c r="F15" s="28" t="s">
        <v>50</v>
      </c>
      <c r="G15" s="20" t="s">
        <v>52</v>
      </c>
      <c r="H15" s="13" t="s">
        <v>199</v>
      </c>
      <c r="I15" s="20"/>
      <c r="J15" s="19"/>
    </row>
    <row r="16" ht="29.25" customHeight="1">
      <c r="A16" s="8">
        <v>15.0</v>
      </c>
      <c r="B16" s="10" t="s">
        <v>40</v>
      </c>
      <c r="C16" s="6" t="s">
        <v>44</v>
      </c>
      <c r="D16" s="14" t="s">
        <v>218</v>
      </c>
      <c r="E16" s="10" t="s">
        <v>220</v>
      </c>
      <c r="F16" s="14" t="s">
        <v>50</v>
      </c>
      <c r="G16" s="10" t="s">
        <v>52</v>
      </c>
      <c r="H16" s="6" t="s">
        <v>199</v>
      </c>
      <c r="I16" s="10"/>
      <c r="J16" s="19"/>
    </row>
    <row r="17" ht="15.0" customHeight="1">
      <c r="A17" s="26">
        <v>16.0</v>
      </c>
      <c r="B17" s="20" t="s">
        <v>222</v>
      </c>
      <c r="C17" s="13" t="s">
        <v>224</v>
      </c>
      <c r="D17" s="28" t="s">
        <v>226</v>
      </c>
      <c r="E17" s="20" t="s">
        <v>228</v>
      </c>
      <c r="F17" s="26" t="s">
        <v>229</v>
      </c>
      <c r="G17" s="20" t="s">
        <v>52</v>
      </c>
      <c r="H17" s="13" t="s">
        <v>231</v>
      </c>
      <c r="I17" s="13" t="s">
        <v>232</v>
      </c>
      <c r="J17" s="19"/>
    </row>
    <row r="18" ht="15.0" customHeight="1">
      <c r="A18" s="8">
        <v>17.0</v>
      </c>
      <c r="B18" s="10" t="s">
        <v>222</v>
      </c>
      <c r="C18" s="6" t="s">
        <v>224</v>
      </c>
      <c r="D18" s="14" t="s">
        <v>237</v>
      </c>
      <c r="E18" s="10" t="s">
        <v>238</v>
      </c>
      <c r="F18" s="14" t="s">
        <v>50</v>
      </c>
      <c r="G18" s="10" t="s">
        <v>52</v>
      </c>
      <c r="H18" s="6" t="s">
        <v>231</v>
      </c>
      <c r="I18" s="10"/>
      <c r="J18" s="19"/>
    </row>
    <row r="19" ht="15.0" customHeight="1">
      <c r="A19" s="26">
        <v>18.0</v>
      </c>
      <c r="B19" s="20" t="s">
        <v>222</v>
      </c>
      <c r="C19" s="13" t="s">
        <v>243</v>
      </c>
      <c r="D19" s="28" t="s">
        <v>244</v>
      </c>
      <c r="E19" s="20" t="s">
        <v>245</v>
      </c>
      <c r="F19" s="28" t="s">
        <v>50</v>
      </c>
      <c r="G19" s="20" t="s">
        <v>52</v>
      </c>
      <c r="H19" s="13" t="s">
        <v>231</v>
      </c>
      <c r="I19" s="20" t="s">
        <v>247</v>
      </c>
      <c r="J19" s="19"/>
    </row>
    <row r="20" ht="15.0" customHeight="1">
      <c r="A20" s="8">
        <v>19.0</v>
      </c>
      <c r="B20" s="10" t="s">
        <v>222</v>
      </c>
      <c r="C20" s="6" t="s">
        <v>243</v>
      </c>
      <c r="D20" s="14" t="s">
        <v>250</v>
      </c>
      <c r="E20" s="10" t="s">
        <v>251</v>
      </c>
      <c r="F20" s="14" t="s">
        <v>50</v>
      </c>
      <c r="G20" s="10" t="s">
        <v>52</v>
      </c>
      <c r="H20" s="6" t="s">
        <v>231</v>
      </c>
      <c r="I20" s="10"/>
      <c r="J20" s="19"/>
    </row>
    <row r="21" ht="15.0" customHeight="1">
      <c r="A21" s="26">
        <v>20.0</v>
      </c>
      <c r="B21" s="20" t="s">
        <v>222</v>
      </c>
      <c r="C21" s="13" t="s">
        <v>243</v>
      </c>
      <c r="D21" s="28" t="s">
        <v>259</v>
      </c>
      <c r="E21" s="20" t="s">
        <v>260</v>
      </c>
      <c r="F21" s="28" t="s">
        <v>50</v>
      </c>
      <c r="G21" s="20" t="s">
        <v>52</v>
      </c>
      <c r="H21" s="13" t="s">
        <v>231</v>
      </c>
      <c r="I21" s="20"/>
      <c r="J21" s="19"/>
    </row>
    <row r="22" ht="15.0" customHeight="1">
      <c r="A22" s="8">
        <v>21.0</v>
      </c>
      <c r="B22" s="10" t="s">
        <v>222</v>
      </c>
      <c r="C22" s="6" t="s">
        <v>243</v>
      </c>
      <c r="D22" s="14" t="s">
        <v>268</v>
      </c>
      <c r="E22" s="10" t="s">
        <v>269</v>
      </c>
      <c r="F22" s="14" t="s">
        <v>50</v>
      </c>
      <c r="G22" s="10" t="s">
        <v>52</v>
      </c>
      <c r="H22" s="6" t="s">
        <v>231</v>
      </c>
      <c r="I22" s="10"/>
      <c r="J22" s="19"/>
    </row>
    <row r="23" ht="15.0" customHeight="1">
      <c r="A23" s="26">
        <v>22.0</v>
      </c>
      <c r="B23" s="20" t="s">
        <v>222</v>
      </c>
      <c r="C23" s="13" t="s">
        <v>243</v>
      </c>
      <c r="D23" s="28" t="s">
        <v>274</v>
      </c>
      <c r="E23" s="20" t="s">
        <v>275</v>
      </c>
      <c r="F23" s="26" t="s">
        <v>229</v>
      </c>
      <c r="G23" s="20" t="s">
        <v>52</v>
      </c>
      <c r="H23" s="13" t="s">
        <v>231</v>
      </c>
      <c r="I23" s="20"/>
      <c r="J23" s="19"/>
    </row>
    <row r="24" ht="15.0" customHeight="1">
      <c r="A24" s="8">
        <v>23.0</v>
      </c>
      <c r="B24" s="10" t="s">
        <v>222</v>
      </c>
      <c r="C24" s="6" t="s">
        <v>283</v>
      </c>
      <c r="D24" s="14" t="s">
        <v>284</v>
      </c>
      <c r="E24" s="10" t="s">
        <v>286</v>
      </c>
      <c r="F24" s="14" t="s">
        <v>50</v>
      </c>
      <c r="G24" s="10" t="s">
        <v>52</v>
      </c>
      <c r="H24" s="6" t="s">
        <v>290</v>
      </c>
      <c r="I24" s="10"/>
      <c r="J24" s="19"/>
    </row>
    <row r="25" ht="15.0" customHeight="1">
      <c r="A25" s="26">
        <v>24.0</v>
      </c>
      <c r="B25" s="20" t="s">
        <v>222</v>
      </c>
      <c r="C25" s="13" t="s">
        <v>283</v>
      </c>
      <c r="D25" s="28" t="s">
        <v>296</v>
      </c>
      <c r="E25" s="20" t="s">
        <v>298</v>
      </c>
      <c r="F25" s="28" t="s">
        <v>50</v>
      </c>
      <c r="G25" s="20" t="s">
        <v>52</v>
      </c>
      <c r="H25" s="13" t="s">
        <v>290</v>
      </c>
      <c r="I25" s="20"/>
      <c r="J25" s="19"/>
    </row>
    <row r="26" ht="15.0" customHeight="1">
      <c r="A26" s="8">
        <v>25.0</v>
      </c>
      <c r="B26" s="10" t="s">
        <v>222</v>
      </c>
      <c r="C26" s="6" t="s">
        <v>283</v>
      </c>
      <c r="D26" s="14" t="s">
        <v>305</v>
      </c>
      <c r="E26" s="10" t="s">
        <v>307</v>
      </c>
      <c r="F26" s="8" t="s">
        <v>309</v>
      </c>
      <c r="G26" s="10" t="s">
        <v>52</v>
      </c>
      <c r="H26" s="6" t="s">
        <v>290</v>
      </c>
      <c r="I26" s="10"/>
      <c r="J26" s="19"/>
    </row>
    <row r="27" ht="15.0" customHeight="1">
      <c r="A27" s="26">
        <v>26.0</v>
      </c>
      <c r="B27" s="20" t="s">
        <v>222</v>
      </c>
      <c r="C27" s="13" t="s">
        <v>283</v>
      </c>
      <c r="D27" s="28" t="s">
        <v>318</v>
      </c>
      <c r="E27" s="20" t="s">
        <v>320</v>
      </c>
      <c r="F27" s="28" t="s">
        <v>321</v>
      </c>
      <c r="G27" s="20" t="s">
        <v>52</v>
      </c>
      <c r="H27" s="13" t="s">
        <v>290</v>
      </c>
      <c r="I27" s="20"/>
      <c r="J27" s="19"/>
    </row>
    <row r="28" ht="15.0" customHeight="1">
      <c r="A28" s="8">
        <v>27.0</v>
      </c>
      <c r="B28" s="10" t="s">
        <v>222</v>
      </c>
      <c r="C28" s="6" t="s">
        <v>325</v>
      </c>
      <c r="D28" s="14" t="s">
        <v>327</v>
      </c>
      <c r="E28" s="10" t="s">
        <v>328</v>
      </c>
      <c r="F28" s="14" t="s">
        <v>50</v>
      </c>
      <c r="G28" s="10" t="s">
        <v>52</v>
      </c>
      <c r="H28" s="6" t="s">
        <v>127</v>
      </c>
      <c r="I28" s="10"/>
      <c r="J28" s="19"/>
    </row>
    <row r="29" ht="15.0" customHeight="1">
      <c r="A29" s="26">
        <v>28.0</v>
      </c>
      <c r="B29" s="20" t="s">
        <v>222</v>
      </c>
      <c r="C29" s="13" t="s">
        <v>325</v>
      </c>
      <c r="D29" s="28" t="s">
        <v>337</v>
      </c>
      <c r="E29" s="20" t="s">
        <v>339</v>
      </c>
      <c r="F29" s="28" t="s">
        <v>50</v>
      </c>
      <c r="G29" s="20" t="s">
        <v>52</v>
      </c>
      <c r="H29" s="13" t="s">
        <v>127</v>
      </c>
      <c r="I29" s="20"/>
      <c r="J29" s="19"/>
    </row>
    <row r="30" ht="15.0" customHeight="1">
      <c r="A30" s="8">
        <v>29.0</v>
      </c>
      <c r="B30" s="10" t="s">
        <v>222</v>
      </c>
      <c r="C30" s="6" t="s">
        <v>325</v>
      </c>
      <c r="D30" s="14" t="s">
        <v>345</v>
      </c>
      <c r="E30" s="10" t="s">
        <v>347</v>
      </c>
      <c r="F30" s="14" t="s">
        <v>50</v>
      </c>
      <c r="G30" s="10" t="s">
        <v>52</v>
      </c>
      <c r="H30" s="6" t="s">
        <v>127</v>
      </c>
      <c r="I30" s="10"/>
      <c r="J30" s="19"/>
    </row>
    <row r="31" ht="29.25" customHeight="1">
      <c r="A31" s="26">
        <v>30.0</v>
      </c>
      <c r="B31" s="20" t="s">
        <v>222</v>
      </c>
      <c r="C31" s="13" t="s">
        <v>325</v>
      </c>
      <c r="D31" s="28" t="s">
        <v>351</v>
      </c>
      <c r="E31" s="20" t="s">
        <v>352</v>
      </c>
      <c r="F31" s="28" t="s">
        <v>50</v>
      </c>
      <c r="G31" s="20" t="s">
        <v>52</v>
      </c>
      <c r="H31" s="13" t="s">
        <v>127</v>
      </c>
      <c r="I31" s="20" t="s">
        <v>355</v>
      </c>
      <c r="J31" s="19"/>
    </row>
    <row r="32" ht="15.0" customHeight="1">
      <c r="A32" s="8">
        <v>31.0</v>
      </c>
      <c r="B32" s="10" t="s">
        <v>222</v>
      </c>
      <c r="C32" s="6" t="s">
        <v>325</v>
      </c>
      <c r="D32" s="14" t="s">
        <v>357</v>
      </c>
      <c r="E32" s="10" t="s">
        <v>358</v>
      </c>
      <c r="F32" s="14" t="s">
        <v>50</v>
      </c>
      <c r="G32" s="10" t="s">
        <v>52</v>
      </c>
      <c r="H32" s="6" t="s">
        <v>127</v>
      </c>
      <c r="I32" s="10"/>
      <c r="J32" s="19"/>
    </row>
    <row r="33" ht="29.25" customHeight="1">
      <c r="A33" s="26">
        <v>32.0</v>
      </c>
      <c r="B33" s="20" t="s">
        <v>222</v>
      </c>
      <c r="C33" s="13" t="s">
        <v>365</v>
      </c>
      <c r="D33" s="28" t="s">
        <v>367</v>
      </c>
      <c r="E33" s="20" t="s">
        <v>369</v>
      </c>
      <c r="F33" s="26" t="s">
        <v>229</v>
      </c>
      <c r="G33" s="20" t="s">
        <v>371</v>
      </c>
      <c r="H33" s="13" t="s">
        <v>127</v>
      </c>
      <c r="I33" s="20" t="s">
        <v>372</v>
      </c>
      <c r="J33" s="19"/>
    </row>
    <row r="34" ht="29.25" customHeight="1">
      <c r="A34" s="8">
        <v>33.0</v>
      </c>
      <c r="B34" s="10" t="s">
        <v>222</v>
      </c>
      <c r="C34" s="6" t="s">
        <v>365</v>
      </c>
      <c r="D34" s="14" t="s">
        <v>375</v>
      </c>
      <c r="E34" s="10" t="s">
        <v>377</v>
      </c>
      <c r="F34" s="8" t="s">
        <v>229</v>
      </c>
      <c r="G34" s="10" t="s">
        <v>371</v>
      </c>
      <c r="H34" s="6" t="s">
        <v>127</v>
      </c>
      <c r="I34" s="10"/>
      <c r="J34" s="19"/>
    </row>
    <row r="35" ht="29.25" customHeight="1">
      <c r="A35" s="26">
        <v>34.0</v>
      </c>
      <c r="B35" s="20" t="s">
        <v>222</v>
      </c>
      <c r="C35" s="13" t="s">
        <v>365</v>
      </c>
      <c r="D35" s="28" t="s">
        <v>382</v>
      </c>
      <c r="E35" s="20" t="s">
        <v>384</v>
      </c>
      <c r="F35" s="26" t="s">
        <v>229</v>
      </c>
      <c r="G35" s="20" t="s">
        <v>371</v>
      </c>
      <c r="H35" s="13" t="s">
        <v>127</v>
      </c>
      <c r="I35" s="20" t="s">
        <v>387</v>
      </c>
      <c r="J35" s="19"/>
    </row>
    <row r="36" ht="15.0" customHeight="1">
      <c r="A36" s="8">
        <v>35.0</v>
      </c>
      <c r="B36" s="10" t="s">
        <v>222</v>
      </c>
      <c r="C36" s="6" t="s">
        <v>365</v>
      </c>
      <c r="D36" s="14" t="s">
        <v>391</v>
      </c>
      <c r="E36" s="10" t="s">
        <v>392</v>
      </c>
      <c r="F36" s="14" t="s">
        <v>50</v>
      </c>
      <c r="G36" s="10" t="s">
        <v>52</v>
      </c>
      <c r="H36" s="6" t="s">
        <v>127</v>
      </c>
      <c r="I36" s="10"/>
      <c r="J36" s="19"/>
    </row>
    <row r="37" ht="29.25" customHeight="1">
      <c r="A37" s="26">
        <v>36.0</v>
      </c>
      <c r="B37" s="20" t="s">
        <v>222</v>
      </c>
      <c r="C37" s="13" t="s">
        <v>365</v>
      </c>
      <c r="D37" s="28" t="s">
        <v>396</v>
      </c>
      <c r="E37" s="20" t="s">
        <v>397</v>
      </c>
      <c r="F37" s="26" t="s">
        <v>398</v>
      </c>
      <c r="G37" s="20" t="s">
        <v>371</v>
      </c>
      <c r="H37" s="13" t="s">
        <v>127</v>
      </c>
      <c r="I37" s="20"/>
      <c r="J37" s="19"/>
    </row>
    <row r="38" ht="29.25" customHeight="1">
      <c r="A38" s="8">
        <v>37.0</v>
      </c>
      <c r="B38" s="10" t="s">
        <v>403</v>
      </c>
      <c r="C38" s="6" t="s">
        <v>404</v>
      </c>
      <c r="D38" s="14" t="s">
        <v>405</v>
      </c>
      <c r="E38" s="10" t="s">
        <v>406</v>
      </c>
      <c r="F38" s="8" t="s">
        <v>229</v>
      </c>
      <c r="G38" s="10" t="s">
        <v>52</v>
      </c>
      <c r="H38" s="6" t="s">
        <v>290</v>
      </c>
      <c r="I38" s="10"/>
      <c r="J38" s="19"/>
    </row>
    <row r="39" ht="29.25" customHeight="1">
      <c r="A39" s="26">
        <v>38.0</v>
      </c>
      <c r="B39" s="20" t="s">
        <v>403</v>
      </c>
      <c r="C39" s="13" t="s">
        <v>404</v>
      </c>
      <c r="D39" s="28" t="s">
        <v>411</v>
      </c>
      <c r="E39" s="20" t="s">
        <v>412</v>
      </c>
      <c r="F39" s="26" t="s">
        <v>398</v>
      </c>
      <c r="G39" s="20" t="s">
        <v>52</v>
      </c>
      <c r="H39" s="13" t="s">
        <v>290</v>
      </c>
      <c r="I39" s="20"/>
      <c r="J39" s="19"/>
    </row>
    <row r="40" ht="29.25" customHeight="1">
      <c r="A40" s="8">
        <v>39.0</v>
      </c>
      <c r="B40" s="10" t="s">
        <v>403</v>
      </c>
      <c r="C40" s="6" t="s">
        <v>404</v>
      </c>
      <c r="D40" s="14" t="s">
        <v>420</v>
      </c>
      <c r="E40" s="6" t="s">
        <v>422</v>
      </c>
      <c r="F40" s="14" t="s">
        <v>50</v>
      </c>
      <c r="G40" s="10" t="s">
        <v>371</v>
      </c>
      <c r="H40" s="6" t="s">
        <v>290</v>
      </c>
      <c r="I40" s="10"/>
      <c r="J40" s="19"/>
    </row>
    <row r="41" ht="29.25" customHeight="1">
      <c r="A41" s="26">
        <v>40.0</v>
      </c>
      <c r="B41" s="20" t="s">
        <v>403</v>
      </c>
      <c r="C41" s="13" t="s">
        <v>404</v>
      </c>
      <c r="D41" s="28" t="s">
        <v>427</v>
      </c>
      <c r="E41" s="20" t="s">
        <v>429</v>
      </c>
      <c r="F41" s="28" t="s">
        <v>50</v>
      </c>
      <c r="G41" s="20" t="s">
        <v>371</v>
      </c>
      <c r="H41" s="13" t="s">
        <v>290</v>
      </c>
      <c r="I41" s="20"/>
      <c r="J41" s="19"/>
    </row>
    <row r="42" ht="29.25" customHeight="1">
      <c r="A42" s="8">
        <v>41.0</v>
      </c>
      <c r="B42" s="10" t="s">
        <v>403</v>
      </c>
      <c r="C42" s="6" t="s">
        <v>404</v>
      </c>
      <c r="D42" s="14" t="s">
        <v>432</v>
      </c>
      <c r="E42" s="10" t="s">
        <v>433</v>
      </c>
      <c r="F42" s="14" t="s">
        <v>50</v>
      </c>
      <c r="G42" s="10" t="s">
        <v>371</v>
      </c>
      <c r="H42" s="6" t="s">
        <v>290</v>
      </c>
      <c r="I42" s="10"/>
      <c r="J42" s="19"/>
    </row>
    <row r="43" ht="29.25" customHeight="1">
      <c r="A43" s="26">
        <v>42.0</v>
      </c>
      <c r="B43" s="20" t="s">
        <v>403</v>
      </c>
      <c r="C43" s="13" t="s">
        <v>404</v>
      </c>
      <c r="D43" s="28" t="s">
        <v>439</v>
      </c>
      <c r="E43" s="13" t="s">
        <v>440</v>
      </c>
      <c r="F43" s="28" t="s">
        <v>50</v>
      </c>
      <c r="G43" s="20" t="s">
        <v>371</v>
      </c>
      <c r="H43" s="13" t="s">
        <v>290</v>
      </c>
      <c r="I43" s="20"/>
      <c r="J43" s="19"/>
    </row>
    <row r="44" ht="29.25" customHeight="1">
      <c r="A44" s="8">
        <v>43.0</v>
      </c>
      <c r="B44" s="10" t="s">
        <v>403</v>
      </c>
      <c r="C44" s="6" t="s">
        <v>404</v>
      </c>
      <c r="D44" s="14" t="s">
        <v>446</v>
      </c>
      <c r="E44" s="10" t="s">
        <v>447</v>
      </c>
      <c r="F44" s="14" t="s">
        <v>50</v>
      </c>
      <c r="G44" s="10" t="s">
        <v>371</v>
      </c>
      <c r="H44" s="6" t="s">
        <v>290</v>
      </c>
      <c r="I44" s="10"/>
      <c r="J44" s="19"/>
    </row>
    <row r="45" ht="29.25" customHeight="1">
      <c r="A45" s="26">
        <v>44.0</v>
      </c>
      <c r="B45" s="20" t="s">
        <v>403</v>
      </c>
      <c r="C45" s="13" t="s">
        <v>404</v>
      </c>
      <c r="D45" s="28" t="s">
        <v>451</v>
      </c>
      <c r="E45" s="20" t="s">
        <v>453</v>
      </c>
      <c r="F45" s="28" t="s">
        <v>50</v>
      </c>
      <c r="G45" s="20" t="s">
        <v>52</v>
      </c>
      <c r="H45" s="13" t="s">
        <v>290</v>
      </c>
      <c r="I45" s="20"/>
      <c r="J45" s="19"/>
    </row>
    <row r="46" ht="29.25" customHeight="1">
      <c r="A46" s="8">
        <v>45.0</v>
      </c>
      <c r="B46" s="10" t="s">
        <v>403</v>
      </c>
      <c r="C46" s="6" t="s">
        <v>404</v>
      </c>
      <c r="D46" s="14" t="s">
        <v>458</v>
      </c>
      <c r="E46" s="10" t="s">
        <v>459</v>
      </c>
      <c r="F46" s="8" t="s">
        <v>229</v>
      </c>
      <c r="G46" s="10" t="s">
        <v>52</v>
      </c>
      <c r="H46" s="6" t="s">
        <v>290</v>
      </c>
      <c r="I46" s="10"/>
      <c r="J46" s="19"/>
    </row>
    <row r="47" ht="29.25" customHeight="1">
      <c r="A47" s="26">
        <v>46.0</v>
      </c>
      <c r="B47" s="20" t="s">
        <v>403</v>
      </c>
      <c r="C47" s="13" t="s">
        <v>404</v>
      </c>
      <c r="D47" s="28" t="s">
        <v>463</v>
      </c>
      <c r="E47" s="20" t="s">
        <v>465</v>
      </c>
      <c r="F47" s="28" t="s">
        <v>469</v>
      </c>
      <c r="G47" s="20" t="s">
        <v>470</v>
      </c>
      <c r="H47" s="13" t="s">
        <v>290</v>
      </c>
      <c r="I47" s="20"/>
      <c r="J47" s="19"/>
    </row>
    <row r="48" ht="29.25" customHeight="1">
      <c r="A48" s="8">
        <v>47.0</v>
      </c>
      <c r="B48" s="10" t="s">
        <v>403</v>
      </c>
      <c r="C48" s="6" t="s">
        <v>474</v>
      </c>
      <c r="D48" s="14" t="s">
        <v>476</v>
      </c>
      <c r="E48" s="10" t="s">
        <v>478</v>
      </c>
      <c r="F48" s="14" t="s">
        <v>50</v>
      </c>
      <c r="G48" s="10" t="s">
        <v>52</v>
      </c>
      <c r="H48" s="6" t="s">
        <v>290</v>
      </c>
      <c r="I48" s="10"/>
      <c r="J48" s="19"/>
    </row>
    <row r="49" ht="29.25" customHeight="1">
      <c r="A49" s="26">
        <v>48.0</v>
      </c>
      <c r="B49" s="20" t="s">
        <v>403</v>
      </c>
      <c r="C49" s="13" t="s">
        <v>484</v>
      </c>
      <c r="D49" s="28" t="s">
        <v>485</v>
      </c>
      <c r="E49" s="20" t="s">
        <v>486</v>
      </c>
      <c r="F49" s="28" t="s">
        <v>50</v>
      </c>
      <c r="G49" s="20" t="s">
        <v>52</v>
      </c>
      <c r="H49" s="13" t="s">
        <v>290</v>
      </c>
      <c r="I49" s="20"/>
      <c r="J49" s="19"/>
    </row>
    <row r="50" ht="29.25" customHeight="1">
      <c r="A50" s="8">
        <v>49.0</v>
      </c>
      <c r="B50" s="10" t="s">
        <v>403</v>
      </c>
      <c r="C50" s="6" t="s">
        <v>484</v>
      </c>
      <c r="D50" s="14" t="s">
        <v>495</v>
      </c>
      <c r="E50" s="10" t="s">
        <v>497</v>
      </c>
      <c r="F50" s="14" t="s">
        <v>50</v>
      </c>
      <c r="G50" s="10" t="s">
        <v>52</v>
      </c>
      <c r="H50" s="6" t="s">
        <v>290</v>
      </c>
      <c r="I50" s="10"/>
      <c r="J50" s="19"/>
    </row>
    <row r="51" ht="29.25" customHeight="1">
      <c r="A51" s="26">
        <v>50.0</v>
      </c>
      <c r="B51" s="20" t="s">
        <v>403</v>
      </c>
      <c r="C51" s="13" t="s">
        <v>484</v>
      </c>
      <c r="D51" s="28" t="s">
        <v>504</v>
      </c>
      <c r="E51" s="20" t="s">
        <v>505</v>
      </c>
      <c r="F51" s="28" t="s">
        <v>50</v>
      </c>
      <c r="G51" s="20" t="s">
        <v>470</v>
      </c>
      <c r="H51" s="13" t="s">
        <v>290</v>
      </c>
      <c r="I51" s="20"/>
      <c r="J51" s="19"/>
    </row>
    <row r="52" ht="29.25" customHeight="1">
      <c r="A52" s="8">
        <v>51.0</v>
      </c>
      <c r="B52" s="10" t="s">
        <v>511</v>
      </c>
      <c r="C52" s="6" t="s">
        <v>513</v>
      </c>
      <c r="D52" s="14" t="s">
        <v>514</v>
      </c>
      <c r="E52" s="10" t="s">
        <v>517</v>
      </c>
      <c r="F52" s="14" t="s">
        <v>321</v>
      </c>
      <c r="G52" s="10" t="s">
        <v>52</v>
      </c>
      <c r="H52" s="6" t="s">
        <v>519</v>
      </c>
      <c r="I52" s="10"/>
      <c r="J52" s="19"/>
    </row>
    <row r="53" ht="15.0" customHeight="1">
      <c r="A53" s="26">
        <v>52.0</v>
      </c>
      <c r="B53" s="20" t="s">
        <v>511</v>
      </c>
      <c r="C53" s="13" t="s">
        <v>522</v>
      </c>
      <c r="D53" s="28" t="s">
        <v>524</v>
      </c>
      <c r="E53" s="20" t="s">
        <v>525</v>
      </c>
      <c r="F53" s="28" t="s">
        <v>50</v>
      </c>
      <c r="G53" s="20" t="s">
        <v>52</v>
      </c>
      <c r="H53" s="13" t="s">
        <v>148</v>
      </c>
      <c r="I53" s="20" t="s">
        <v>526</v>
      </c>
      <c r="J53" s="19"/>
    </row>
    <row r="54" ht="15.0" customHeight="1">
      <c r="A54" s="8">
        <v>53.0</v>
      </c>
      <c r="B54" s="10" t="s">
        <v>511</v>
      </c>
      <c r="C54" s="6" t="s">
        <v>522</v>
      </c>
      <c r="D54" s="14" t="s">
        <v>528</v>
      </c>
      <c r="E54" s="10" t="s">
        <v>529</v>
      </c>
      <c r="F54" s="14" t="s">
        <v>50</v>
      </c>
      <c r="G54" s="10" t="s">
        <v>52</v>
      </c>
      <c r="H54" s="6" t="s">
        <v>148</v>
      </c>
      <c r="I54" s="10"/>
      <c r="J54" s="19"/>
    </row>
    <row r="55" ht="15.0" customHeight="1">
      <c r="A55" s="26">
        <v>54.0</v>
      </c>
      <c r="B55" s="20" t="s">
        <v>511</v>
      </c>
      <c r="C55" s="13" t="s">
        <v>522</v>
      </c>
      <c r="D55" s="28" t="s">
        <v>536</v>
      </c>
      <c r="E55" s="20" t="s">
        <v>537</v>
      </c>
      <c r="F55" s="28" t="s">
        <v>50</v>
      </c>
      <c r="G55" s="20" t="s">
        <v>52</v>
      </c>
      <c r="H55" s="13" t="s">
        <v>148</v>
      </c>
      <c r="I55" s="20"/>
      <c r="J55" s="19"/>
    </row>
    <row r="56" ht="15.0" customHeight="1">
      <c r="A56" s="8">
        <v>55.0</v>
      </c>
      <c r="B56" s="10" t="s">
        <v>511</v>
      </c>
      <c r="C56" s="6" t="s">
        <v>542</v>
      </c>
      <c r="D56" s="14" t="s">
        <v>543</v>
      </c>
      <c r="E56" s="10" t="s">
        <v>546</v>
      </c>
      <c r="F56" s="14" t="s">
        <v>50</v>
      </c>
      <c r="G56" s="10" t="s">
        <v>52</v>
      </c>
      <c r="H56" s="6" t="s">
        <v>550</v>
      </c>
      <c r="I56" s="10" t="s">
        <v>552</v>
      </c>
      <c r="J56" s="19"/>
    </row>
    <row r="57" ht="29.25" customHeight="1">
      <c r="A57" s="26">
        <v>56.0</v>
      </c>
      <c r="B57" s="20" t="s">
        <v>511</v>
      </c>
      <c r="C57" s="13" t="s">
        <v>542</v>
      </c>
      <c r="D57" s="28" t="s">
        <v>559</v>
      </c>
      <c r="E57" s="20" t="s">
        <v>560</v>
      </c>
      <c r="F57" s="28" t="s">
        <v>50</v>
      </c>
      <c r="G57" s="20" t="s">
        <v>371</v>
      </c>
      <c r="H57" s="13" t="s">
        <v>550</v>
      </c>
      <c r="I57" s="20"/>
      <c r="J57" s="19"/>
    </row>
    <row r="58" ht="15.0" customHeight="1">
      <c r="A58" s="8">
        <v>57.0</v>
      </c>
      <c r="B58" s="10" t="s">
        <v>511</v>
      </c>
      <c r="C58" s="6" t="s">
        <v>542</v>
      </c>
      <c r="D58" s="14" t="s">
        <v>565</v>
      </c>
      <c r="E58" s="10" t="s">
        <v>566</v>
      </c>
      <c r="F58" s="14" t="s">
        <v>50</v>
      </c>
      <c r="G58" s="10" t="s">
        <v>52</v>
      </c>
      <c r="H58" s="6" t="s">
        <v>550</v>
      </c>
      <c r="I58" s="10"/>
      <c r="J58" s="19"/>
    </row>
    <row r="59" ht="15.0" customHeight="1">
      <c r="A59" s="26">
        <v>58.0</v>
      </c>
      <c r="B59" s="20" t="s">
        <v>511</v>
      </c>
      <c r="C59" s="13" t="s">
        <v>542</v>
      </c>
      <c r="D59" s="28" t="s">
        <v>571</v>
      </c>
      <c r="E59" s="20" t="s">
        <v>572</v>
      </c>
      <c r="F59" s="28" t="s">
        <v>50</v>
      </c>
      <c r="G59" s="20" t="s">
        <v>52</v>
      </c>
      <c r="H59" s="13" t="s">
        <v>550</v>
      </c>
      <c r="I59" s="20"/>
      <c r="J59" s="19"/>
    </row>
    <row r="60" ht="29.25" customHeight="1">
      <c r="A60" s="8">
        <v>59.0</v>
      </c>
      <c r="B60" s="10" t="s">
        <v>577</v>
      </c>
      <c r="C60" s="6" t="s">
        <v>579</v>
      </c>
      <c r="D60" s="14" t="s">
        <v>582</v>
      </c>
      <c r="E60" s="10" t="s">
        <v>583</v>
      </c>
      <c r="F60" s="8" t="s">
        <v>229</v>
      </c>
      <c r="G60" s="10" t="s">
        <v>371</v>
      </c>
      <c r="H60" s="6" t="s">
        <v>585</v>
      </c>
      <c r="I60" s="10" t="s">
        <v>588</v>
      </c>
      <c r="J60" s="19"/>
    </row>
    <row r="61" ht="29.25" customHeight="1">
      <c r="A61" s="26">
        <v>60.0</v>
      </c>
      <c r="B61" s="20" t="s">
        <v>577</v>
      </c>
      <c r="C61" s="13" t="s">
        <v>579</v>
      </c>
      <c r="D61" s="28" t="s">
        <v>593</v>
      </c>
      <c r="E61" s="20" t="s">
        <v>595</v>
      </c>
      <c r="F61" s="26" t="s">
        <v>229</v>
      </c>
      <c r="G61" s="20" t="s">
        <v>371</v>
      </c>
      <c r="H61" s="13" t="s">
        <v>585</v>
      </c>
      <c r="I61" s="20"/>
      <c r="J61" s="19"/>
    </row>
    <row r="62" ht="15.0" customHeight="1">
      <c r="A62" s="8">
        <v>61.0</v>
      </c>
      <c r="B62" s="10" t="s">
        <v>577</v>
      </c>
      <c r="C62" s="6" t="s">
        <v>579</v>
      </c>
      <c r="D62" s="14" t="s">
        <v>600</v>
      </c>
      <c r="E62" s="10" t="s">
        <v>601</v>
      </c>
      <c r="F62" s="8" t="s">
        <v>398</v>
      </c>
      <c r="G62" s="10" t="s">
        <v>52</v>
      </c>
      <c r="H62" s="6" t="s">
        <v>585</v>
      </c>
      <c r="I62" s="10" t="s">
        <v>606</v>
      </c>
      <c r="J62" s="19"/>
    </row>
    <row r="63" ht="29.25" customHeight="1">
      <c r="A63" s="26">
        <v>62.0</v>
      </c>
      <c r="B63" s="20" t="s">
        <v>577</v>
      </c>
      <c r="C63" s="13" t="s">
        <v>579</v>
      </c>
      <c r="D63" s="28" t="s">
        <v>611</v>
      </c>
      <c r="E63" s="13" t="s">
        <v>613</v>
      </c>
      <c r="F63" s="28" t="s">
        <v>50</v>
      </c>
      <c r="G63" s="20" t="s">
        <v>371</v>
      </c>
      <c r="H63" s="13" t="s">
        <v>585</v>
      </c>
      <c r="I63" s="20"/>
      <c r="J63" s="19"/>
    </row>
    <row r="64" ht="15.0" customHeight="1">
      <c r="A64" s="8">
        <v>63.0</v>
      </c>
      <c r="B64" s="10" t="s">
        <v>577</v>
      </c>
      <c r="C64" s="6" t="s">
        <v>579</v>
      </c>
      <c r="D64" s="14" t="s">
        <v>624</v>
      </c>
      <c r="E64" s="10" t="s">
        <v>625</v>
      </c>
      <c r="F64" s="14" t="s">
        <v>50</v>
      </c>
      <c r="G64" s="10" t="s">
        <v>52</v>
      </c>
      <c r="H64" s="6" t="s">
        <v>585</v>
      </c>
      <c r="I64" s="10" t="s">
        <v>629</v>
      </c>
      <c r="J64" s="19"/>
    </row>
    <row r="65" ht="15.0" customHeight="1">
      <c r="A65" s="26">
        <v>64.0</v>
      </c>
      <c r="B65" s="20" t="s">
        <v>577</v>
      </c>
      <c r="C65" s="13" t="s">
        <v>579</v>
      </c>
      <c r="D65" s="28" t="s">
        <v>635</v>
      </c>
      <c r="E65" s="20" t="s">
        <v>637</v>
      </c>
      <c r="F65" s="28" t="s">
        <v>50</v>
      </c>
      <c r="G65" s="20" t="s">
        <v>52</v>
      </c>
      <c r="H65" s="13" t="s">
        <v>585</v>
      </c>
      <c r="I65" s="20"/>
      <c r="J65" s="19"/>
    </row>
    <row r="66" ht="15.0" customHeight="1">
      <c r="A66" s="8">
        <v>65.0</v>
      </c>
      <c r="B66" s="10" t="s">
        <v>577</v>
      </c>
      <c r="C66" s="6" t="s">
        <v>579</v>
      </c>
      <c r="D66" s="14" t="s">
        <v>644</v>
      </c>
      <c r="E66" s="10" t="s">
        <v>647</v>
      </c>
      <c r="F66" s="14" t="s">
        <v>50</v>
      </c>
      <c r="G66" s="10" t="s">
        <v>52</v>
      </c>
      <c r="H66" s="6" t="s">
        <v>585</v>
      </c>
      <c r="I66" s="10"/>
      <c r="J66" s="19"/>
    </row>
    <row r="67" ht="15.0" customHeight="1">
      <c r="A67" s="26">
        <v>66.0</v>
      </c>
      <c r="B67" s="20" t="s">
        <v>577</v>
      </c>
      <c r="C67" s="13" t="s">
        <v>655</v>
      </c>
      <c r="D67" s="28" t="s">
        <v>657</v>
      </c>
      <c r="E67" s="20" t="s">
        <v>658</v>
      </c>
      <c r="F67" s="28" t="s">
        <v>50</v>
      </c>
      <c r="G67" s="20" t="s">
        <v>52</v>
      </c>
      <c r="H67" s="13" t="s">
        <v>188</v>
      </c>
      <c r="I67" s="20" t="s">
        <v>664</v>
      </c>
      <c r="J67" s="19"/>
    </row>
    <row r="68" ht="29.25" customHeight="1">
      <c r="A68" s="8">
        <v>67.0</v>
      </c>
      <c r="B68" s="10" t="s">
        <v>577</v>
      </c>
      <c r="C68" s="6" t="s">
        <v>655</v>
      </c>
      <c r="D68" s="14" t="s">
        <v>669</v>
      </c>
      <c r="E68" s="10" t="s">
        <v>670</v>
      </c>
      <c r="F68" s="14" t="s">
        <v>50</v>
      </c>
      <c r="G68" s="10" t="s">
        <v>52</v>
      </c>
      <c r="H68" s="6" t="s">
        <v>188</v>
      </c>
      <c r="I68" s="10" t="s">
        <v>677</v>
      </c>
      <c r="J68" s="19"/>
    </row>
    <row r="69" ht="29.25" customHeight="1">
      <c r="A69" s="26">
        <v>68.0</v>
      </c>
      <c r="B69" s="20" t="s">
        <v>577</v>
      </c>
      <c r="C69" s="13" t="s">
        <v>682</v>
      </c>
      <c r="D69" s="28" t="s">
        <v>684</v>
      </c>
      <c r="E69" s="20" t="s">
        <v>686</v>
      </c>
      <c r="F69" s="28" t="s">
        <v>50</v>
      </c>
      <c r="G69" s="20" t="s">
        <v>371</v>
      </c>
      <c r="H69" s="13" t="s">
        <v>691</v>
      </c>
      <c r="I69" s="20"/>
      <c r="J69" s="19"/>
    </row>
    <row r="70" ht="15.0" customHeight="1">
      <c r="A70" s="8">
        <v>69.0</v>
      </c>
      <c r="B70" s="10" t="s">
        <v>577</v>
      </c>
      <c r="C70" s="6" t="s">
        <v>682</v>
      </c>
      <c r="D70" s="14" t="s">
        <v>694</v>
      </c>
      <c r="E70" s="10" t="s">
        <v>696</v>
      </c>
      <c r="F70" s="8" t="s">
        <v>229</v>
      </c>
      <c r="G70" s="10" t="s">
        <v>52</v>
      </c>
      <c r="H70" s="6" t="s">
        <v>691</v>
      </c>
      <c r="I70" s="10"/>
      <c r="J70" s="19"/>
    </row>
    <row r="71" ht="15.0" customHeight="1">
      <c r="A71" s="26">
        <v>70.0</v>
      </c>
      <c r="B71" s="20" t="s">
        <v>577</v>
      </c>
      <c r="C71" s="13" t="s">
        <v>682</v>
      </c>
      <c r="D71" s="28" t="s">
        <v>704</v>
      </c>
      <c r="E71" s="20" t="s">
        <v>706</v>
      </c>
      <c r="F71" s="28" t="s">
        <v>50</v>
      </c>
      <c r="G71" s="20" t="s">
        <v>52</v>
      </c>
      <c r="H71" s="13" t="s">
        <v>691</v>
      </c>
      <c r="I71" s="20"/>
      <c r="J71" s="19"/>
    </row>
    <row r="72" ht="15.0" customHeight="1">
      <c r="A72" s="8">
        <v>71.0</v>
      </c>
      <c r="B72" s="10" t="s">
        <v>577</v>
      </c>
      <c r="C72" s="6" t="s">
        <v>682</v>
      </c>
      <c r="D72" s="14" t="s">
        <v>718</v>
      </c>
      <c r="E72" s="10" t="s">
        <v>720</v>
      </c>
      <c r="F72" s="14" t="s">
        <v>50</v>
      </c>
      <c r="G72" s="10" t="s">
        <v>52</v>
      </c>
      <c r="H72" s="6" t="s">
        <v>691</v>
      </c>
      <c r="I72" s="10" t="s">
        <v>724</v>
      </c>
      <c r="J72" s="19"/>
    </row>
    <row r="73" ht="29.25" customHeight="1">
      <c r="A73" s="26">
        <v>72.0</v>
      </c>
      <c r="B73" s="20" t="s">
        <v>577</v>
      </c>
      <c r="C73" s="13" t="s">
        <v>727</v>
      </c>
      <c r="D73" s="28" t="s">
        <v>730</v>
      </c>
      <c r="E73" s="20" t="s">
        <v>732</v>
      </c>
      <c r="F73" s="28" t="s">
        <v>50</v>
      </c>
      <c r="G73" s="20" t="s">
        <v>52</v>
      </c>
      <c r="H73" s="13" t="s">
        <v>159</v>
      </c>
      <c r="I73" s="20" t="s">
        <v>736</v>
      </c>
      <c r="J73" s="19"/>
    </row>
    <row r="74" ht="29.25" customHeight="1">
      <c r="A74" s="8">
        <v>73.0</v>
      </c>
      <c r="B74" s="10" t="s">
        <v>577</v>
      </c>
      <c r="C74" s="6" t="s">
        <v>727</v>
      </c>
      <c r="D74" s="14" t="s">
        <v>742</v>
      </c>
      <c r="E74" s="10" t="s">
        <v>744</v>
      </c>
      <c r="F74" s="14" t="s">
        <v>50</v>
      </c>
      <c r="G74" s="10" t="s">
        <v>470</v>
      </c>
      <c r="H74" s="6" t="s">
        <v>159</v>
      </c>
      <c r="I74" s="10"/>
      <c r="J74" s="19"/>
    </row>
    <row r="75" ht="29.25" customHeight="1">
      <c r="A75" s="26">
        <v>74.0</v>
      </c>
      <c r="B75" s="20" t="s">
        <v>753</v>
      </c>
      <c r="C75" s="13" t="s">
        <v>754</v>
      </c>
      <c r="D75" s="28" t="s">
        <v>755</v>
      </c>
      <c r="E75" s="20" t="s">
        <v>757</v>
      </c>
      <c r="F75" s="28" t="s">
        <v>50</v>
      </c>
      <c r="G75" s="20" t="s">
        <v>52</v>
      </c>
      <c r="H75" s="13" t="s">
        <v>764</v>
      </c>
      <c r="I75" s="20"/>
      <c r="J75" s="19"/>
    </row>
    <row r="76" ht="26.25" customHeight="1">
      <c r="A76" s="8">
        <v>75.0</v>
      </c>
      <c r="B76" s="10" t="s">
        <v>753</v>
      </c>
      <c r="C76" s="6" t="s">
        <v>754</v>
      </c>
      <c r="D76" s="14" t="s">
        <v>768</v>
      </c>
      <c r="E76" s="10" t="s">
        <v>769</v>
      </c>
      <c r="F76" s="8" t="s">
        <v>229</v>
      </c>
      <c r="G76" s="10" t="s">
        <v>52</v>
      </c>
      <c r="H76" s="6" t="s">
        <v>764</v>
      </c>
      <c r="I76" s="10"/>
      <c r="J76" s="19"/>
    </row>
    <row r="77" ht="15.0" customHeight="1">
      <c r="A77" s="26">
        <v>76.0</v>
      </c>
      <c r="B77" s="20" t="s">
        <v>753</v>
      </c>
      <c r="C77" s="13" t="s">
        <v>772</v>
      </c>
      <c r="D77" s="28" t="s">
        <v>773</v>
      </c>
      <c r="E77" s="20" t="s">
        <v>775</v>
      </c>
      <c r="F77" s="26" t="s">
        <v>309</v>
      </c>
      <c r="G77" s="20" t="s">
        <v>52</v>
      </c>
      <c r="H77" s="13" t="s">
        <v>764</v>
      </c>
      <c r="I77" s="20"/>
      <c r="J77" s="19"/>
    </row>
    <row r="78" ht="15.0" customHeight="1">
      <c r="A78" s="8">
        <v>77.0</v>
      </c>
      <c r="B78" s="10" t="s">
        <v>753</v>
      </c>
      <c r="C78" s="6" t="s">
        <v>781</v>
      </c>
      <c r="D78" s="14" t="s">
        <v>783</v>
      </c>
      <c r="E78" s="10" t="s">
        <v>785</v>
      </c>
      <c r="F78" s="14" t="s">
        <v>50</v>
      </c>
      <c r="G78" s="10" t="s">
        <v>52</v>
      </c>
      <c r="H78" s="6" t="s">
        <v>764</v>
      </c>
      <c r="I78" s="10"/>
      <c r="J78" s="19"/>
    </row>
    <row r="79" ht="29.25" customHeight="1">
      <c r="A79" s="26">
        <v>78.0</v>
      </c>
      <c r="B79" s="20" t="s">
        <v>753</v>
      </c>
      <c r="C79" s="13" t="s">
        <v>781</v>
      </c>
      <c r="D79" s="28" t="s">
        <v>790</v>
      </c>
      <c r="E79" s="20" t="s">
        <v>793</v>
      </c>
      <c r="F79" s="28" t="s">
        <v>50</v>
      </c>
      <c r="G79" s="20" t="s">
        <v>371</v>
      </c>
      <c r="H79" s="13" t="s">
        <v>764</v>
      </c>
      <c r="I79" s="20"/>
      <c r="J79" s="19"/>
    </row>
    <row r="80" ht="29.25" customHeight="1">
      <c r="A80" s="8">
        <v>79.0</v>
      </c>
      <c r="B80" s="10" t="s">
        <v>753</v>
      </c>
      <c r="C80" s="6" t="s">
        <v>781</v>
      </c>
      <c r="D80" s="14" t="s">
        <v>802</v>
      </c>
      <c r="E80" s="10" t="s">
        <v>804</v>
      </c>
      <c r="F80" s="14" t="s">
        <v>469</v>
      </c>
      <c r="G80" s="10" t="s">
        <v>52</v>
      </c>
      <c r="H80" s="6" t="s">
        <v>764</v>
      </c>
      <c r="I80" s="10"/>
      <c r="J80" s="19"/>
    </row>
    <row r="81" ht="29.25" customHeight="1">
      <c r="A81" s="26">
        <v>80.0</v>
      </c>
      <c r="B81" s="20" t="s">
        <v>806</v>
      </c>
      <c r="C81" s="13" t="s">
        <v>807</v>
      </c>
      <c r="D81" s="28" t="s">
        <v>808</v>
      </c>
      <c r="E81" s="20" t="s">
        <v>809</v>
      </c>
      <c r="F81" s="28" t="s">
        <v>50</v>
      </c>
      <c r="G81" s="20" t="s">
        <v>52</v>
      </c>
      <c r="H81" s="13" t="s">
        <v>810</v>
      </c>
      <c r="I81" s="20"/>
      <c r="J81" s="19"/>
    </row>
    <row r="82" ht="26.25" customHeight="1">
      <c r="A82" s="8">
        <v>81.0</v>
      </c>
      <c r="B82" s="10" t="s">
        <v>806</v>
      </c>
      <c r="C82" s="6" t="s">
        <v>807</v>
      </c>
      <c r="D82" s="14" t="s">
        <v>813</v>
      </c>
      <c r="E82" s="10" t="s">
        <v>814</v>
      </c>
      <c r="F82" s="14" t="s">
        <v>50</v>
      </c>
      <c r="G82" s="10" t="s">
        <v>52</v>
      </c>
      <c r="H82" s="6" t="s">
        <v>810</v>
      </c>
      <c r="I82" s="10"/>
      <c r="J82" s="19"/>
    </row>
    <row r="83" ht="15.0" customHeight="1">
      <c r="A83" s="26">
        <v>82.0</v>
      </c>
      <c r="B83" s="20" t="s">
        <v>806</v>
      </c>
      <c r="C83" s="13" t="s">
        <v>819</v>
      </c>
      <c r="D83" s="28" t="s">
        <v>820</v>
      </c>
      <c r="E83" s="20" t="s">
        <v>822</v>
      </c>
      <c r="F83" s="28" t="s">
        <v>50</v>
      </c>
      <c r="G83" s="20" t="s">
        <v>52</v>
      </c>
      <c r="H83" s="13" t="s">
        <v>810</v>
      </c>
      <c r="I83" s="20"/>
      <c r="J83" s="19"/>
    </row>
    <row r="84" ht="15.0" customHeight="1">
      <c r="A84" s="8">
        <v>83.0</v>
      </c>
      <c r="B84" s="10" t="s">
        <v>806</v>
      </c>
      <c r="C84" s="6" t="s">
        <v>819</v>
      </c>
      <c r="D84" s="14" t="s">
        <v>829</v>
      </c>
      <c r="E84" s="10" t="s">
        <v>831</v>
      </c>
      <c r="F84" s="14" t="s">
        <v>50</v>
      </c>
      <c r="G84" s="10" t="s">
        <v>52</v>
      </c>
      <c r="H84" s="6" t="s">
        <v>810</v>
      </c>
      <c r="I84" s="10"/>
      <c r="J84" s="19"/>
    </row>
    <row r="85" ht="15.0" customHeight="1">
      <c r="A85" s="26">
        <v>84.0</v>
      </c>
      <c r="B85" s="20" t="s">
        <v>806</v>
      </c>
      <c r="C85" s="13" t="s">
        <v>819</v>
      </c>
      <c r="D85" s="28" t="s">
        <v>834</v>
      </c>
      <c r="E85" s="20" t="s">
        <v>836</v>
      </c>
      <c r="F85" s="28" t="s">
        <v>50</v>
      </c>
      <c r="G85" s="20" t="s">
        <v>52</v>
      </c>
      <c r="H85" s="13" t="s">
        <v>810</v>
      </c>
      <c r="I85" s="20"/>
      <c r="J85" s="19"/>
    </row>
    <row r="86" ht="15.0" customHeight="1">
      <c r="A86" s="8">
        <v>85.0</v>
      </c>
      <c r="B86" s="10" t="s">
        <v>842</v>
      </c>
      <c r="C86" s="6" t="s">
        <v>845</v>
      </c>
      <c r="D86" s="14" t="s">
        <v>846</v>
      </c>
      <c r="E86" s="10" t="s">
        <v>848</v>
      </c>
      <c r="F86" s="14" t="s">
        <v>50</v>
      </c>
      <c r="G86" s="10" t="s">
        <v>52</v>
      </c>
      <c r="H86" s="6" t="s">
        <v>852</v>
      </c>
      <c r="I86" s="10"/>
      <c r="J86" s="19"/>
    </row>
    <row r="87" ht="15.0" customHeight="1">
      <c r="A87" s="26">
        <v>86.0</v>
      </c>
      <c r="B87" s="20" t="s">
        <v>842</v>
      </c>
      <c r="C87" s="13" t="s">
        <v>845</v>
      </c>
      <c r="D87" s="28" t="s">
        <v>856</v>
      </c>
      <c r="E87" s="20" t="s">
        <v>857</v>
      </c>
      <c r="F87" s="28" t="s">
        <v>50</v>
      </c>
      <c r="G87" s="20" t="s">
        <v>52</v>
      </c>
      <c r="H87" s="13" t="s">
        <v>852</v>
      </c>
      <c r="I87" s="20"/>
      <c r="J87" s="19"/>
    </row>
    <row r="88" ht="29.25" customHeight="1">
      <c r="A88" s="8">
        <v>87.0</v>
      </c>
      <c r="B88" s="10" t="s">
        <v>842</v>
      </c>
      <c r="C88" s="6" t="s">
        <v>845</v>
      </c>
      <c r="D88" s="14" t="s">
        <v>863</v>
      </c>
      <c r="E88" s="10" t="s">
        <v>866</v>
      </c>
      <c r="F88" s="8" t="s">
        <v>229</v>
      </c>
      <c r="G88" s="10" t="s">
        <v>371</v>
      </c>
      <c r="H88" s="6" t="s">
        <v>852</v>
      </c>
      <c r="I88" s="10" t="s">
        <v>868</v>
      </c>
      <c r="J88" s="19"/>
    </row>
    <row r="89" ht="15.0" customHeight="1">
      <c r="A89" s="26">
        <v>88.0</v>
      </c>
      <c r="B89" s="20" t="s">
        <v>842</v>
      </c>
      <c r="C89" s="13" t="s">
        <v>845</v>
      </c>
      <c r="D89" s="28" t="s">
        <v>874</v>
      </c>
      <c r="E89" s="20" t="s">
        <v>875</v>
      </c>
      <c r="F89" s="26" t="s">
        <v>229</v>
      </c>
      <c r="G89" s="20" t="s">
        <v>52</v>
      </c>
      <c r="H89" s="13" t="s">
        <v>852</v>
      </c>
      <c r="I89" s="20"/>
      <c r="J89" s="19"/>
    </row>
    <row r="90" ht="29.25" customHeight="1">
      <c r="A90" s="8">
        <v>89.0</v>
      </c>
      <c r="B90" s="10" t="s">
        <v>842</v>
      </c>
      <c r="C90" s="6" t="s">
        <v>845</v>
      </c>
      <c r="D90" s="14" t="s">
        <v>883</v>
      </c>
      <c r="E90" s="10" t="s">
        <v>884</v>
      </c>
      <c r="F90" s="8" t="s">
        <v>229</v>
      </c>
      <c r="G90" s="10" t="s">
        <v>371</v>
      </c>
      <c r="H90" s="6" t="s">
        <v>852</v>
      </c>
      <c r="I90" s="10"/>
      <c r="J90" s="19"/>
    </row>
    <row r="91" ht="15.0" customHeight="1">
      <c r="A91" s="26">
        <v>90.0</v>
      </c>
      <c r="B91" s="20" t="s">
        <v>842</v>
      </c>
      <c r="C91" s="13" t="s">
        <v>845</v>
      </c>
      <c r="D91" s="28" t="s">
        <v>891</v>
      </c>
      <c r="E91" s="20" t="s">
        <v>892</v>
      </c>
      <c r="F91" s="28" t="s">
        <v>50</v>
      </c>
      <c r="G91" s="20" t="s">
        <v>52</v>
      </c>
      <c r="H91" s="13" t="s">
        <v>852</v>
      </c>
      <c r="I91" s="20"/>
      <c r="J91" s="19"/>
    </row>
    <row r="92" ht="15.0" customHeight="1">
      <c r="A92" s="8">
        <v>91.0</v>
      </c>
      <c r="B92" s="10" t="s">
        <v>842</v>
      </c>
      <c r="C92" s="6" t="s">
        <v>845</v>
      </c>
      <c r="D92" s="14" t="s">
        <v>901</v>
      </c>
      <c r="E92" s="10" t="s">
        <v>902</v>
      </c>
      <c r="F92" s="14" t="s">
        <v>50</v>
      </c>
      <c r="G92" s="10" t="s">
        <v>52</v>
      </c>
      <c r="H92" s="6" t="s">
        <v>852</v>
      </c>
      <c r="I92" s="10"/>
      <c r="J92" s="19"/>
    </row>
    <row r="93" ht="29.25" customHeight="1">
      <c r="A93" s="26">
        <v>92.0</v>
      </c>
      <c r="B93" s="20" t="s">
        <v>842</v>
      </c>
      <c r="C93" s="13" t="s">
        <v>845</v>
      </c>
      <c r="D93" s="28" t="s">
        <v>909</v>
      </c>
      <c r="E93" s="20" t="s">
        <v>911</v>
      </c>
      <c r="F93" s="28" t="s">
        <v>50</v>
      </c>
      <c r="G93" s="20" t="s">
        <v>371</v>
      </c>
      <c r="H93" s="13" t="s">
        <v>852</v>
      </c>
      <c r="I93" s="20"/>
      <c r="J93" s="19"/>
    </row>
    <row r="94" ht="15.0" customHeight="1">
      <c r="A94" s="8">
        <v>93.0</v>
      </c>
      <c r="B94" s="10" t="s">
        <v>842</v>
      </c>
      <c r="C94" s="6" t="s">
        <v>845</v>
      </c>
      <c r="D94" s="14" t="s">
        <v>915</v>
      </c>
      <c r="E94" s="10" t="s">
        <v>917</v>
      </c>
      <c r="F94" s="14" t="s">
        <v>50</v>
      </c>
      <c r="G94" s="10" t="s">
        <v>52</v>
      </c>
      <c r="H94" s="6" t="s">
        <v>852</v>
      </c>
      <c r="I94" s="10"/>
      <c r="J94" s="19"/>
    </row>
    <row r="95" ht="15.0" customHeight="1">
      <c r="A95" s="26">
        <v>94.0</v>
      </c>
      <c r="B95" s="20" t="s">
        <v>842</v>
      </c>
      <c r="C95" s="13" t="s">
        <v>921</v>
      </c>
      <c r="D95" s="28" t="s">
        <v>923</v>
      </c>
      <c r="E95" s="20" t="s">
        <v>925</v>
      </c>
      <c r="F95" s="28" t="s">
        <v>50</v>
      </c>
      <c r="G95" s="20" t="s">
        <v>52</v>
      </c>
      <c r="H95" s="13" t="s">
        <v>928</v>
      </c>
      <c r="I95" s="20"/>
      <c r="J95" s="19"/>
    </row>
    <row r="96" ht="15.0" customHeight="1">
      <c r="A96" s="8">
        <v>95.0</v>
      </c>
      <c r="B96" s="10" t="s">
        <v>842</v>
      </c>
      <c r="C96" s="6" t="s">
        <v>921</v>
      </c>
      <c r="D96" s="14" t="s">
        <v>934</v>
      </c>
      <c r="E96" s="10" t="s">
        <v>935</v>
      </c>
      <c r="F96" s="8" t="s">
        <v>229</v>
      </c>
      <c r="G96" s="10" t="s">
        <v>52</v>
      </c>
      <c r="H96" s="6" t="s">
        <v>928</v>
      </c>
      <c r="I96" s="10" t="s">
        <v>938</v>
      </c>
      <c r="J96" s="19"/>
    </row>
    <row r="97" ht="15.0" customHeight="1">
      <c r="A97" s="26">
        <v>96.0</v>
      </c>
      <c r="B97" s="20" t="s">
        <v>842</v>
      </c>
      <c r="C97" s="13" t="s">
        <v>921</v>
      </c>
      <c r="D97" s="28" t="s">
        <v>940</v>
      </c>
      <c r="E97" s="20" t="s">
        <v>943</v>
      </c>
      <c r="F97" s="28" t="s">
        <v>50</v>
      </c>
      <c r="G97" s="20" t="s">
        <v>52</v>
      </c>
      <c r="H97" s="13" t="s">
        <v>928</v>
      </c>
      <c r="I97" s="20"/>
      <c r="J97" s="19"/>
    </row>
    <row r="98" ht="15.0" customHeight="1">
      <c r="A98" s="8">
        <v>97.0</v>
      </c>
      <c r="B98" s="10" t="s">
        <v>947</v>
      </c>
      <c r="C98" s="6" t="s">
        <v>949</v>
      </c>
      <c r="D98" s="14" t="s">
        <v>950</v>
      </c>
      <c r="E98" s="10" t="s">
        <v>952</v>
      </c>
      <c r="F98" s="14" t="s">
        <v>50</v>
      </c>
      <c r="G98" s="10" t="s">
        <v>52</v>
      </c>
      <c r="H98" s="6" t="s">
        <v>953</v>
      </c>
      <c r="I98" s="10"/>
      <c r="J98" s="19"/>
    </row>
    <row r="99" ht="29.25" customHeight="1">
      <c r="A99" s="26">
        <v>98.0</v>
      </c>
      <c r="B99" s="20" t="s">
        <v>947</v>
      </c>
      <c r="C99" s="13" t="s">
        <v>949</v>
      </c>
      <c r="D99" s="28" t="s">
        <v>957</v>
      </c>
      <c r="E99" s="20" t="s">
        <v>960</v>
      </c>
      <c r="F99" s="28" t="s">
        <v>50</v>
      </c>
      <c r="G99" s="20" t="s">
        <v>52</v>
      </c>
      <c r="H99" s="13" t="s">
        <v>953</v>
      </c>
      <c r="I99" s="20"/>
      <c r="J99" s="19"/>
    </row>
    <row r="100" ht="15.0" customHeight="1">
      <c r="A100" s="8">
        <v>99.0</v>
      </c>
      <c r="B100" s="10" t="s">
        <v>947</v>
      </c>
      <c r="C100" s="6" t="s">
        <v>965</v>
      </c>
      <c r="D100" s="14" t="s">
        <v>967</v>
      </c>
      <c r="E100" s="10" t="s">
        <v>969</v>
      </c>
      <c r="F100" s="14" t="s">
        <v>50</v>
      </c>
      <c r="G100" s="10" t="s">
        <v>52</v>
      </c>
      <c r="H100" s="6" t="s">
        <v>953</v>
      </c>
      <c r="I100" s="10"/>
      <c r="J100" s="19"/>
    </row>
    <row r="101" ht="15.0" customHeight="1">
      <c r="A101" s="26">
        <v>100.0</v>
      </c>
      <c r="B101" s="20" t="s">
        <v>947</v>
      </c>
      <c r="C101" s="13" t="s">
        <v>965</v>
      </c>
      <c r="D101" s="28" t="s">
        <v>977</v>
      </c>
      <c r="E101" s="20" t="s">
        <v>978</v>
      </c>
      <c r="F101" s="28" t="s">
        <v>50</v>
      </c>
      <c r="G101" s="20" t="s">
        <v>52</v>
      </c>
      <c r="H101" s="13" t="s">
        <v>953</v>
      </c>
      <c r="I101" s="20"/>
      <c r="J101" s="19"/>
    </row>
    <row r="102" ht="15.0" customHeight="1">
      <c r="A102" s="8">
        <v>101.0</v>
      </c>
      <c r="B102" s="10" t="s">
        <v>947</v>
      </c>
      <c r="C102" s="6" t="s">
        <v>965</v>
      </c>
      <c r="D102" s="14" t="s">
        <v>984</v>
      </c>
      <c r="E102" s="10" t="s">
        <v>985</v>
      </c>
      <c r="F102" s="8" t="s">
        <v>309</v>
      </c>
      <c r="G102" s="10" t="s">
        <v>52</v>
      </c>
      <c r="H102" s="6" t="s">
        <v>953</v>
      </c>
      <c r="I102" s="10" t="s">
        <v>988</v>
      </c>
      <c r="J102" s="19"/>
    </row>
    <row r="103" ht="15.0" customHeight="1">
      <c r="A103" s="26">
        <v>102.0</v>
      </c>
      <c r="B103" s="20" t="s">
        <v>996</v>
      </c>
      <c r="C103" s="13" t="s">
        <v>997</v>
      </c>
      <c r="D103" s="28" t="s">
        <v>1000</v>
      </c>
      <c r="E103" s="20" t="s">
        <v>1001</v>
      </c>
      <c r="F103" s="28" t="s">
        <v>50</v>
      </c>
      <c r="G103" s="20" t="s">
        <v>52</v>
      </c>
      <c r="H103" s="13" t="s">
        <v>1003</v>
      </c>
      <c r="I103" s="20" t="s">
        <v>1006</v>
      </c>
      <c r="J103" s="19"/>
    </row>
    <row r="104" ht="15.0" customHeight="1">
      <c r="A104" s="8">
        <v>103.0</v>
      </c>
      <c r="B104" s="10" t="s">
        <v>996</v>
      </c>
      <c r="C104" s="6" t="s">
        <v>997</v>
      </c>
      <c r="D104" s="14" t="s">
        <v>1011</v>
      </c>
      <c r="E104" s="10" t="s">
        <v>1013</v>
      </c>
      <c r="F104" s="14" t="s">
        <v>50</v>
      </c>
      <c r="G104" s="10" t="s">
        <v>52</v>
      </c>
      <c r="H104" s="6" t="s">
        <v>1003</v>
      </c>
      <c r="I104" s="10" t="s">
        <v>1017</v>
      </c>
      <c r="J104" s="19"/>
    </row>
    <row r="105" ht="15.0" customHeight="1">
      <c r="A105" s="26">
        <v>104.0</v>
      </c>
      <c r="B105" s="20" t="s">
        <v>996</v>
      </c>
      <c r="C105" s="13" t="s">
        <v>997</v>
      </c>
      <c r="D105" s="28" t="s">
        <v>1021</v>
      </c>
      <c r="E105" s="20" t="s">
        <v>1022</v>
      </c>
      <c r="F105" s="28" t="s">
        <v>50</v>
      </c>
      <c r="G105" s="20" t="s">
        <v>52</v>
      </c>
      <c r="H105" s="13" t="s">
        <v>1003</v>
      </c>
      <c r="I105" s="20"/>
      <c r="J105" s="19"/>
    </row>
    <row r="106" ht="15.0" customHeight="1">
      <c r="A106" s="8">
        <v>105.0</v>
      </c>
      <c r="B106" s="10" t="s">
        <v>996</v>
      </c>
      <c r="C106" s="6" t="s">
        <v>997</v>
      </c>
      <c r="D106" s="14" t="s">
        <v>1029</v>
      </c>
      <c r="E106" s="10" t="s">
        <v>1031</v>
      </c>
      <c r="F106" s="14" t="s">
        <v>50</v>
      </c>
      <c r="G106" s="10" t="s">
        <v>52</v>
      </c>
      <c r="H106" s="6" t="s">
        <v>1003</v>
      </c>
      <c r="I106" s="10"/>
      <c r="J106" s="19"/>
    </row>
    <row r="107" ht="15.0" customHeight="1">
      <c r="A107" s="26">
        <v>106.0</v>
      </c>
      <c r="B107" s="20" t="s">
        <v>996</v>
      </c>
      <c r="C107" s="13" t="s">
        <v>997</v>
      </c>
      <c r="D107" s="28" t="s">
        <v>1035</v>
      </c>
      <c r="E107" s="20" t="s">
        <v>1036</v>
      </c>
      <c r="F107" s="28" t="s">
        <v>50</v>
      </c>
      <c r="G107" s="20" t="s">
        <v>52</v>
      </c>
      <c r="H107" s="13" t="s">
        <v>1003</v>
      </c>
      <c r="I107" s="20"/>
      <c r="J107" s="19"/>
    </row>
    <row r="108" ht="15.0" customHeight="1">
      <c r="A108" s="8">
        <v>107.0</v>
      </c>
      <c r="B108" s="10" t="s">
        <v>996</v>
      </c>
      <c r="C108" s="6" t="s">
        <v>997</v>
      </c>
      <c r="D108" s="14" t="s">
        <v>1041</v>
      </c>
      <c r="E108" s="10" t="s">
        <v>1042</v>
      </c>
      <c r="F108" s="14" t="s">
        <v>50</v>
      </c>
      <c r="G108" s="10" t="s">
        <v>52</v>
      </c>
      <c r="H108" s="6" t="s">
        <v>1003</v>
      </c>
      <c r="I108" s="10"/>
      <c r="J108" s="19"/>
    </row>
    <row r="109" ht="15.0" customHeight="1">
      <c r="A109" s="26">
        <v>108.0</v>
      </c>
      <c r="B109" s="20" t="s">
        <v>996</v>
      </c>
      <c r="C109" s="13" t="s">
        <v>997</v>
      </c>
      <c r="D109" s="28" t="s">
        <v>1049</v>
      </c>
      <c r="E109" s="20" t="s">
        <v>1050</v>
      </c>
      <c r="F109" s="28" t="s">
        <v>50</v>
      </c>
      <c r="G109" s="20" t="s">
        <v>52</v>
      </c>
      <c r="H109" s="13" t="s">
        <v>1003</v>
      </c>
      <c r="I109" s="20" t="s">
        <v>1054</v>
      </c>
      <c r="J109" s="19"/>
    </row>
    <row r="110" ht="15.0" customHeight="1">
      <c r="A110" s="8">
        <v>109.0</v>
      </c>
      <c r="B110" s="10" t="s">
        <v>996</v>
      </c>
      <c r="C110" s="6" t="s">
        <v>997</v>
      </c>
      <c r="D110" s="14" t="s">
        <v>1056</v>
      </c>
      <c r="E110" s="10" t="s">
        <v>1058</v>
      </c>
      <c r="F110" s="14" t="s">
        <v>50</v>
      </c>
      <c r="G110" s="10" t="s">
        <v>52</v>
      </c>
      <c r="H110" s="6" t="s">
        <v>1003</v>
      </c>
      <c r="I110" s="10" t="s">
        <v>1062</v>
      </c>
      <c r="J110" s="19"/>
    </row>
    <row r="111" ht="15.0" customHeight="1">
      <c r="A111" s="26">
        <v>110.0</v>
      </c>
      <c r="B111" s="20" t="s">
        <v>996</v>
      </c>
      <c r="C111" s="13" t="s">
        <v>997</v>
      </c>
      <c r="D111" s="28" t="s">
        <v>1066</v>
      </c>
      <c r="E111" s="20" t="s">
        <v>1067</v>
      </c>
      <c r="F111" s="28" t="s">
        <v>50</v>
      </c>
      <c r="G111" s="20" t="s">
        <v>52</v>
      </c>
      <c r="H111" s="13" t="s">
        <v>1003</v>
      </c>
      <c r="I111" s="20"/>
      <c r="J111" s="19"/>
    </row>
    <row r="112" ht="15.0" customHeight="1">
      <c r="A112" s="8">
        <v>111.0</v>
      </c>
      <c r="B112" s="10" t="s">
        <v>996</v>
      </c>
      <c r="C112" s="6" t="s">
        <v>997</v>
      </c>
      <c r="D112" s="14" t="s">
        <v>1071</v>
      </c>
      <c r="E112" s="10" t="s">
        <v>1073</v>
      </c>
      <c r="F112" s="14" t="s">
        <v>50</v>
      </c>
      <c r="G112" s="10" t="s">
        <v>52</v>
      </c>
      <c r="H112" s="6" t="s">
        <v>1003</v>
      </c>
      <c r="I112" s="10"/>
      <c r="J112" s="19"/>
    </row>
    <row r="113" ht="15.0" customHeight="1">
      <c r="A113" s="26">
        <v>112.0</v>
      </c>
      <c r="B113" s="20" t="s">
        <v>996</v>
      </c>
      <c r="C113" s="13" t="s">
        <v>997</v>
      </c>
      <c r="D113" s="28" t="s">
        <v>1078</v>
      </c>
      <c r="E113" s="20" t="s">
        <v>1079</v>
      </c>
      <c r="F113" s="26" t="s">
        <v>229</v>
      </c>
      <c r="G113" s="20" t="s">
        <v>52</v>
      </c>
      <c r="H113" s="13" t="s">
        <v>1003</v>
      </c>
      <c r="I113" s="20"/>
      <c r="J113" s="19"/>
    </row>
    <row r="114" ht="15.0" customHeight="1">
      <c r="A114" s="8">
        <v>113.0</v>
      </c>
      <c r="B114" s="10" t="s">
        <v>996</v>
      </c>
      <c r="C114" s="6" t="s">
        <v>1083</v>
      </c>
      <c r="D114" s="14" t="s">
        <v>1084</v>
      </c>
      <c r="E114" s="10" t="s">
        <v>1085</v>
      </c>
      <c r="F114" s="14" t="s">
        <v>50</v>
      </c>
      <c r="G114" s="10" t="s">
        <v>52</v>
      </c>
      <c r="H114" s="6" t="s">
        <v>1003</v>
      </c>
      <c r="I114" s="10"/>
      <c r="J114" s="19"/>
    </row>
    <row r="115" ht="15.0" customHeight="1">
      <c r="A115" s="26">
        <v>114.0</v>
      </c>
      <c r="B115" s="20" t="s">
        <v>996</v>
      </c>
      <c r="C115" s="13" t="s">
        <v>1083</v>
      </c>
      <c r="D115" s="28" t="s">
        <v>1089</v>
      </c>
      <c r="E115" s="20" t="s">
        <v>1091</v>
      </c>
      <c r="F115" s="28" t="s">
        <v>50</v>
      </c>
      <c r="G115" s="20" t="s">
        <v>52</v>
      </c>
      <c r="H115" s="13" t="s">
        <v>1003</v>
      </c>
      <c r="I115" s="20"/>
      <c r="J115" s="19"/>
    </row>
    <row r="116" ht="15.0" customHeight="1">
      <c r="A116" s="8">
        <v>115.0</v>
      </c>
      <c r="B116" s="10" t="s">
        <v>996</v>
      </c>
      <c r="C116" s="6" t="s">
        <v>1083</v>
      </c>
      <c r="D116" s="14" t="s">
        <v>1097</v>
      </c>
      <c r="E116" s="10" t="s">
        <v>1098</v>
      </c>
      <c r="F116" s="8" t="s">
        <v>229</v>
      </c>
      <c r="G116" s="10" t="s">
        <v>52</v>
      </c>
      <c r="H116" s="6" t="s">
        <v>1003</v>
      </c>
      <c r="I116" s="10" t="s">
        <v>1102</v>
      </c>
      <c r="J116" s="19"/>
    </row>
    <row r="117" ht="26.25" customHeight="1">
      <c r="A117" s="26">
        <v>116.0</v>
      </c>
      <c r="B117" s="20" t="s">
        <v>1105</v>
      </c>
      <c r="C117" s="13" t="s">
        <v>1107</v>
      </c>
      <c r="D117" s="28" t="s">
        <v>1109</v>
      </c>
      <c r="E117" s="20" t="s">
        <v>1110</v>
      </c>
      <c r="F117" s="28" t="s">
        <v>50</v>
      </c>
      <c r="G117" s="20" t="s">
        <v>52</v>
      </c>
      <c r="H117" s="13" t="s">
        <v>1111</v>
      </c>
      <c r="I117" s="20"/>
      <c r="J117" s="19"/>
    </row>
    <row r="118" ht="26.25" customHeight="1">
      <c r="A118" s="8">
        <v>117.0</v>
      </c>
      <c r="B118" s="10" t="s">
        <v>1105</v>
      </c>
      <c r="C118" s="6" t="s">
        <v>1107</v>
      </c>
      <c r="D118" s="14" t="s">
        <v>1114</v>
      </c>
      <c r="E118" s="10" t="s">
        <v>1116</v>
      </c>
      <c r="F118" s="14" t="s">
        <v>50</v>
      </c>
      <c r="G118" s="10" t="s">
        <v>52</v>
      </c>
      <c r="H118" s="6" t="s">
        <v>1111</v>
      </c>
      <c r="I118" s="10" t="s">
        <v>1120</v>
      </c>
      <c r="J118" s="19"/>
    </row>
    <row r="119" ht="29.25" customHeight="1">
      <c r="A119" s="26">
        <v>118.0</v>
      </c>
      <c r="B119" s="20" t="s">
        <v>1105</v>
      </c>
      <c r="C119" s="13" t="s">
        <v>1123</v>
      </c>
      <c r="D119" s="28" t="s">
        <v>1125</v>
      </c>
      <c r="E119" s="20" t="s">
        <v>1128</v>
      </c>
      <c r="F119" s="28" t="s">
        <v>50</v>
      </c>
      <c r="G119" s="20" t="s">
        <v>52</v>
      </c>
      <c r="H119" s="13" t="s">
        <v>1111</v>
      </c>
      <c r="I119" s="20" t="s">
        <v>1130</v>
      </c>
      <c r="J119" s="19"/>
    </row>
    <row r="120" ht="15.0" customHeight="1">
      <c r="A120" s="8">
        <v>119.0</v>
      </c>
      <c r="B120" s="10" t="s">
        <v>1105</v>
      </c>
      <c r="C120" s="6" t="s">
        <v>1123</v>
      </c>
      <c r="D120" s="14" t="s">
        <v>1133</v>
      </c>
      <c r="E120" s="10" t="s">
        <v>1134</v>
      </c>
      <c r="F120" s="14" t="s">
        <v>50</v>
      </c>
      <c r="G120" s="10" t="s">
        <v>52</v>
      </c>
      <c r="H120" s="6" t="s">
        <v>1111</v>
      </c>
      <c r="I120" s="10"/>
      <c r="J120" s="19"/>
    </row>
    <row r="121" ht="15.0" customHeight="1">
      <c r="A121" s="26">
        <v>120.0</v>
      </c>
      <c r="B121" s="20" t="s">
        <v>1105</v>
      </c>
      <c r="C121" s="13" t="s">
        <v>1123</v>
      </c>
      <c r="D121" s="28" t="s">
        <v>1141</v>
      </c>
      <c r="E121" s="20" t="s">
        <v>1143</v>
      </c>
      <c r="F121" s="28" t="s">
        <v>50</v>
      </c>
      <c r="G121" s="20" t="s">
        <v>52</v>
      </c>
      <c r="H121" s="13" t="s">
        <v>1111</v>
      </c>
      <c r="I121" s="20"/>
      <c r="J121" s="19"/>
    </row>
    <row r="122" ht="29.25" customHeight="1">
      <c r="A122" s="8">
        <v>121.0</v>
      </c>
      <c r="B122" s="10" t="s">
        <v>1148</v>
      </c>
      <c r="C122" s="6" t="s">
        <v>1151</v>
      </c>
      <c r="D122" s="14" t="s">
        <v>1153</v>
      </c>
      <c r="E122" s="10" t="s">
        <v>1154</v>
      </c>
      <c r="F122" s="14" t="s">
        <v>50</v>
      </c>
      <c r="G122" s="10" t="s">
        <v>470</v>
      </c>
      <c r="H122" s="70" t="s">
        <v>1160</v>
      </c>
      <c r="I122" s="10" t="s">
        <v>1162</v>
      </c>
      <c r="J122" s="19"/>
    </row>
    <row r="123" ht="29.25" customHeight="1">
      <c r="A123" s="26">
        <v>122.0</v>
      </c>
      <c r="B123" s="20" t="s">
        <v>1148</v>
      </c>
      <c r="C123" s="13" t="s">
        <v>1151</v>
      </c>
      <c r="D123" s="28" t="s">
        <v>1165</v>
      </c>
      <c r="E123" s="20" t="s">
        <v>1167</v>
      </c>
      <c r="F123" s="28" t="s">
        <v>50</v>
      </c>
      <c r="G123" s="20" t="s">
        <v>470</v>
      </c>
      <c r="H123" s="70" t="s">
        <v>1160</v>
      </c>
      <c r="I123" s="20"/>
      <c r="J123" s="19"/>
    </row>
    <row r="124" ht="29.25" customHeight="1">
      <c r="A124" s="8">
        <v>123.0</v>
      </c>
      <c r="B124" s="10" t="s">
        <v>1148</v>
      </c>
      <c r="C124" s="6" t="s">
        <v>1151</v>
      </c>
      <c r="D124" s="14" t="s">
        <v>1176</v>
      </c>
      <c r="E124" s="10" t="s">
        <v>1177</v>
      </c>
      <c r="F124" s="14" t="s">
        <v>50</v>
      </c>
      <c r="G124" s="10" t="s">
        <v>470</v>
      </c>
      <c r="H124" s="70" t="s">
        <v>1160</v>
      </c>
      <c r="I124" s="10"/>
      <c r="J124" s="19"/>
    </row>
    <row r="125" ht="29.25" customHeight="1">
      <c r="A125" s="26">
        <v>124.0</v>
      </c>
      <c r="B125" s="20" t="s">
        <v>1182</v>
      </c>
      <c r="C125" s="20" t="s">
        <v>1186</v>
      </c>
      <c r="D125" s="28" t="s">
        <v>1188</v>
      </c>
      <c r="E125" s="20" t="s">
        <v>1190</v>
      </c>
      <c r="F125" s="28" t="s">
        <v>50</v>
      </c>
      <c r="G125" s="20" t="s">
        <v>1191</v>
      </c>
      <c r="H125" s="13" t="s">
        <v>29</v>
      </c>
      <c r="I125" s="20" t="s">
        <v>1193</v>
      </c>
      <c r="J125" s="19"/>
    </row>
    <row r="126" ht="29.25" customHeight="1">
      <c r="A126" s="8">
        <v>125.0</v>
      </c>
      <c r="B126" s="10" t="s">
        <v>1182</v>
      </c>
      <c r="C126" s="10" t="s">
        <v>1186</v>
      </c>
      <c r="D126" s="14" t="s">
        <v>1196</v>
      </c>
      <c r="E126" s="10" t="s">
        <v>1199</v>
      </c>
      <c r="F126" s="8" t="s">
        <v>9</v>
      </c>
      <c r="G126" s="10" t="s">
        <v>1191</v>
      </c>
      <c r="H126" s="6" t="s">
        <v>29</v>
      </c>
      <c r="I126" s="6" t="s">
        <v>1202</v>
      </c>
      <c r="J126" s="19"/>
    </row>
    <row r="127" ht="29.25" customHeight="1">
      <c r="A127" s="26">
        <v>126.0</v>
      </c>
      <c r="B127" s="20" t="s">
        <v>1182</v>
      </c>
      <c r="C127" s="20" t="s">
        <v>1186</v>
      </c>
      <c r="D127" s="28" t="s">
        <v>1206</v>
      </c>
      <c r="E127" s="20" t="s">
        <v>1208</v>
      </c>
      <c r="F127" s="26" t="s">
        <v>229</v>
      </c>
      <c r="G127" s="20" t="s">
        <v>1191</v>
      </c>
      <c r="H127" s="13" t="s">
        <v>29</v>
      </c>
      <c r="I127" s="20" t="s">
        <v>1212</v>
      </c>
      <c r="J127" s="19"/>
    </row>
    <row r="128" ht="29.25" customHeight="1">
      <c r="A128" s="8">
        <v>127.0</v>
      </c>
      <c r="B128" s="10" t="s">
        <v>1182</v>
      </c>
      <c r="C128" s="10" t="s">
        <v>1186</v>
      </c>
      <c r="D128" s="14" t="s">
        <v>1218</v>
      </c>
      <c r="E128" s="6" t="s">
        <v>1219</v>
      </c>
      <c r="F128" s="14" t="s">
        <v>50</v>
      </c>
      <c r="G128" s="10" t="s">
        <v>1191</v>
      </c>
      <c r="H128" s="6" t="s">
        <v>111</v>
      </c>
      <c r="I128" s="10"/>
      <c r="J128" s="19"/>
    </row>
    <row r="129" ht="29.25" customHeight="1">
      <c r="A129" s="26">
        <v>128.0</v>
      </c>
      <c r="B129" s="20" t="s">
        <v>1182</v>
      </c>
      <c r="C129" s="20" t="s">
        <v>1186</v>
      </c>
      <c r="D129" s="28" t="s">
        <v>1226</v>
      </c>
      <c r="E129" s="20" t="s">
        <v>1229</v>
      </c>
      <c r="F129" s="28" t="s">
        <v>50</v>
      </c>
      <c r="G129" s="20" t="s">
        <v>1191</v>
      </c>
      <c r="H129" s="13" t="s">
        <v>132</v>
      </c>
      <c r="I129" s="20"/>
      <c r="J129" s="19"/>
    </row>
    <row r="130" ht="29.25" customHeight="1">
      <c r="A130" s="8">
        <v>129.0</v>
      </c>
      <c r="B130" s="10" t="s">
        <v>1182</v>
      </c>
      <c r="C130" s="10" t="s">
        <v>1186</v>
      </c>
      <c r="D130" s="14" t="s">
        <v>1237</v>
      </c>
      <c r="E130" s="6" t="s">
        <v>1238</v>
      </c>
      <c r="F130" s="14" t="s">
        <v>50</v>
      </c>
      <c r="G130" s="10" t="s">
        <v>1191</v>
      </c>
      <c r="H130" s="6" t="s">
        <v>832</v>
      </c>
      <c r="I130" s="10"/>
      <c r="J130" s="19"/>
    </row>
    <row r="131" ht="14.25" customHeight="1"/>
    <row r="132" ht="15.0" customHeight="1">
      <c r="A132" s="39" t="s">
        <v>1245</v>
      </c>
    </row>
    <row r="133" ht="15.0" customHeight="1">
      <c r="A133" s="72" t="s">
        <v>1252</v>
      </c>
    </row>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4.43" defaultRowHeight="15.0"/>
  <cols>
    <col customWidth="1" min="1" max="1" width="3.0"/>
    <col customWidth="1" min="2" max="2" width="6.0"/>
    <col customWidth="1" min="3" max="3" width="26.0"/>
    <col customWidth="1" min="4" max="4" width="32.0"/>
    <col customWidth="1" min="5" max="5" width="12.0"/>
    <col customWidth="1" min="6" max="6" width="46.0"/>
    <col customWidth="1" min="7" max="7" width="42.0"/>
    <col customWidth="1" min="8" max="26" width="8.71"/>
  </cols>
  <sheetData>
    <row r="1" ht="14.25" customHeight="1"/>
    <row r="2" ht="23.25" customHeight="1">
      <c r="B2" s="51" t="s">
        <v>380</v>
      </c>
    </row>
    <row r="3" ht="16.5" customHeight="1">
      <c r="B3" s="11" t="s">
        <v>386</v>
      </c>
    </row>
    <row r="4" ht="14.25" customHeight="1">
      <c r="B4" s="52" t="s">
        <v>390</v>
      </c>
    </row>
    <row r="5" ht="18.75" customHeight="1">
      <c r="B5" s="15" t="s">
        <v>393</v>
      </c>
    </row>
    <row r="6" ht="19.5" customHeight="1">
      <c r="B6" s="12" t="s">
        <v>7</v>
      </c>
      <c r="C6" s="12" t="s">
        <v>313</v>
      </c>
      <c r="D6" s="12" t="s">
        <v>94</v>
      </c>
      <c r="E6" s="7" t="s">
        <v>410</v>
      </c>
      <c r="F6" s="12" t="s">
        <v>414</v>
      </c>
      <c r="G6" s="12" t="s">
        <v>416</v>
      </c>
    </row>
    <row r="7" ht="15.0" customHeight="1">
      <c r="B7" s="54" t="s">
        <v>71</v>
      </c>
      <c r="C7" s="16">
        <v>1.0</v>
      </c>
      <c r="D7" s="16">
        <v>4.0</v>
      </c>
      <c r="E7" s="16">
        <v>0.0</v>
      </c>
      <c r="F7" s="16">
        <f t="shared" ref="F7:F10" si="1">C7+D7+E7</f>
        <v>5</v>
      </c>
      <c r="G7" s="55">
        <f t="shared" ref="G7:G11" si="2">IFERROR(C7/F7,0)</f>
        <v>0.2</v>
      </c>
    </row>
    <row r="8" ht="15.0" customHeight="1">
      <c r="B8" s="56" t="s">
        <v>338</v>
      </c>
      <c r="C8" s="16">
        <v>5.0</v>
      </c>
      <c r="D8" s="16">
        <v>12.0</v>
      </c>
      <c r="E8" s="16">
        <v>15.0</v>
      </c>
      <c r="F8" s="16">
        <f t="shared" si="1"/>
        <v>32</v>
      </c>
      <c r="G8" s="55">
        <f t="shared" si="2"/>
        <v>0.15625</v>
      </c>
    </row>
    <row r="9" ht="15.0" customHeight="1">
      <c r="B9" s="57" t="s">
        <v>521</v>
      </c>
      <c r="C9" s="16">
        <v>0.0</v>
      </c>
      <c r="D9" s="16">
        <v>5.0</v>
      </c>
      <c r="E9" s="16">
        <v>29.0</v>
      </c>
      <c r="F9" s="16">
        <f t="shared" si="1"/>
        <v>34</v>
      </c>
      <c r="G9" s="55">
        <f t="shared" si="2"/>
        <v>0</v>
      </c>
    </row>
    <row r="10" ht="15.0" customHeight="1">
      <c r="B10" s="59" t="s">
        <v>545</v>
      </c>
      <c r="C10" s="16">
        <v>2.0</v>
      </c>
      <c r="D10" s="16">
        <v>10.0</v>
      </c>
      <c r="E10" s="16">
        <v>8.0</v>
      </c>
      <c r="F10" s="16">
        <f t="shared" si="1"/>
        <v>20</v>
      </c>
      <c r="G10" s="55">
        <f t="shared" si="2"/>
        <v>0.1</v>
      </c>
    </row>
    <row r="11" ht="15.0" customHeight="1">
      <c r="B11" s="60" t="s">
        <v>564</v>
      </c>
      <c r="C11" s="60">
        <f t="shared" ref="C11:F11" si="3">SUM(C7:C10)</f>
        <v>8</v>
      </c>
      <c r="D11" s="60">
        <f t="shared" si="3"/>
        <v>31</v>
      </c>
      <c r="E11" s="60">
        <f t="shared" si="3"/>
        <v>52</v>
      </c>
      <c r="F11" s="60">
        <f t="shared" si="3"/>
        <v>91</v>
      </c>
      <c r="G11" s="61">
        <f t="shared" si="2"/>
        <v>0.08791208791</v>
      </c>
    </row>
    <row r="12" ht="14.25" customHeight="1"/>
    <row r="13" ht="14.25" customHeight="1"/>
    <row r="14" ht="18.75" customHeight="1">
      <c r="B14" s="15" t="s">
        <v>609</v>
      </c>
    </row>
    <row r="15" ht="15.0" customHeight="1">
      <c r="B15" s="39" t="s">
        <v>615</v>
      </c>
    </row>
    <row r="16" ht="14.25" customHeight="1"/>
    <row r="17" ht="21.75" customHeight="1">
      <c r="B17" s="5" t="s">
        <v>623</v>
      </c>
      <c r="C17" s="5" t="s">
        <v>626</v>
      </c>
      <c r="D17" s="5" t="s">
        <v>628</v>
      </c>
      <c r="E17" s="2" t="s">
        <v>632</v>
      </c>
      <c r="F17" s="5" t="s">
        <v>636</v>
      </c>
      <c r="G17" s="2" t="s">
        <v>638</v>
      </c>
    </row>
    <row r="18" ht="43.5" customHeight="1">
      <c r="B18" s="58">
        <v>1.0</v>
      </c>
      <c r="C18" s="20" t="s">
        <v>646</v>
      </c>
      <c r="D18" s="13" t="s">
        <v>650</v>
      </c>
      <c r="E18" s="26" t="s">
        <v>653</v>
      </c>
      <c r="F18" s="20" t="s">
        <v>659</v>
      </c>
      <c r="G18" s="20" t="s">
        <v>662</v>
      </c>
    </row>
    <row r="19" ht="43.5" customHeight="1">
      <c r="B19" s="58">
        <v>2.0</v>
      </c>
      <c r="C19" s="10" t="s">
        <v>668</v>
      </c>
      <c r="D19" s="6" t="s">
        <v>678</v>
      </c>
      <c r="E19" s="8" t="s">
        <v>683</v>
      </c>
      <c r="F19" s="10" t="s">
        <v>687</v>
      </c>
      <c r="G19" s="10" t="s">
        <v>690</v>
      </c>
    </row>
    <row r="20" ht="43.5" customHeight="1">
      <c r="B20" s="58">
        <v>3.0</v>
      </c>
      <c r="C20" s="20" t="s">
        <v>693</v>
      </c>
      <c r="D20" s="13" t="s">
        <v>695</v>
      </c>
      <c r="E20" s="26" t="s">
        <v>697</v>
      </c>
      <c r="F20" s="20" t="s">
        <v>699</v>
      </c>
      <c r="G20" s="20" t="s">
        <v>700</v>
      </c>
    </row>
    <row r="21" ht="43.5" customHeight="1">
      <c r="B21" s="58">
        <v>4.0</v>
      </c>
      <c r="C21" s="10" t="s">
        <v>702</v>
      </c>
      <c r="D21" s="6" t="s">
        <v>705</v>
      </c>
      <c r="E21" s="8" t="s">
        <v>697</v>
      </c>
      <c r="F21" s="6" t="s">
        <v>710</v>
      </c>
      <c r="G21" s="10" t="s">
        <v>713</v>
      </c>
    </row>
    <row r="22" ht="43.5" customHeight="1">
      <c r="B22" s="58">
        <v>5.0</v>
      </c>
      <c r="C22" s="13" t="s">
        <v>716</v>
      </c>
      <c r="D22" s="13" t="s">
        <v>719</v>
      </c>
      <c r="E22" s="26" t="s">
        <v>653</v>
      </c>
      <c r="F22" s="13" t="s">
        <v>722</v>
      </c>
      <c r="G22" s="13" t="s">
        <v>725</v>
      </c>
    </row>
    <row r="23" ht="43.5" customHeight="1">
      <c r="B23" s="58">
        <v>6.0</v>
      </c>
      <c r="C23" s="10" t="s">
        <v>733</v>
      </c>
      <c r="D23" s="6" t="s">
        <v>735</v>
      </c>
      <c r="E23" s="8" t="s">
        <v>653</v>
      </c>
      <c r="F23" s="6" t="s">
        <v>738</v>
      </c>
      <c r="G23" s="6" t="s">
        <v>740</v>
      </c>
    </row>
    <row r="24" ht="43.5" customHeight="1">
      <c r="B24" s="58">
        <v>7.0</v>
      </c>
      <c r="C24" s="20" t="s">
        <v>745</v>
      </c>
      <c r="D24" s="13" t="s">
        <v>748</v>
      </c>
      <c r="E24" s="26" t="s">
        <v>653</v>
      </c>
      <c r="F24" s="13" t="s">
        <v>750</v>
      </c>
      <c r="G24" s="13" t="s">
        <v>752</v>
      </c>
    </row>
    <row r="25" ht="43.5" customHeight="1">
      <c r="B25" s="58">
        <v>8.0</v>
      </c>
      <c r="C25" s="10" t="s">
        <v>756</v>
      </c>
      <c r="D25" s="6" t="s">
        <v>760</v>
      </c>
      <c r="E25" s="8" t="s">
        <v>761</v>
      </c>
      <c r="F25" s="10" t="s">
        <v>762</v>
      </c>
      <c r="G25" s="10" t="s">
        <v>765</v>
      </c>
    </row>
    <row r="26" ht="43.5" customHeight="1">
      <c r="B26" s="58">
        <v>9.0</v>
      </c>
      <c r="C26" s="20" t="s">
        <v>780</v>
      </c>
      <c r="D26" s="20" t="s">
        <v>788</v>
      </c>
      <c r="E26" s="26" t="s">
        <v>697</v>
      </c>
      <c r="F26" s="20" t="s">
        <v>796</v>
      </c>
      <c r="G26" s="20" t="s">
        <v>798</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showGridLines="0" workbookViewId="0"/>
  </sheetViews>
  <sheetFormatPr customHeight="1" defaultColWidth="14.43" defaultRowHeight="15.0"/>
  <cols>
    <col customWidth="1" min="1" max="1" width="3.0"/>
    <col customWidth="1" min="2" max="2" width="26.0"/>
    <col customWidth="1" min="3" max="7" width="16.0"/>
    <col customWidth="1" min="8" max="26" width="8.71"/>
  </cols>
  <sheetData>
    <row r="1" ht="14.25" customHeight="1"/>
    <row r="2" ht="23.25" customHeight="1">
      <c r="B2" s="51" t="s">
        <v>1290</v>
      </c>
    </row>
    <row r="3" ht="16.5" customHeight="1">
      <c r="B3" s="11" t="s">
        <v>1296</v>
      </c>
    </row>
    <row r="4" ht="14.25" customHeight="1"/>
    <row r="5" ht="18.75" customHeight="1">
      <c r="B5" s="15" t="s">
        <v>1302</v>
      </c>
    </row>
    <row r="6" ht="15.0" customHeight="1">
      <c r="B6" s="29" t="s">
        <v>1307</v>
      </c>
      <c r="C6" s="74">
        <v>91.0</v>
      </c>
    </row>
    <row r="7" ht="15.0" customHeight="1">
      <c r="B7" s="29" t="s">
        <v>1316</v>
      </c>
      <c r="C7" s="74">
        <f>COUNT('01_ESG통합진단마스터'!X2:X43)</f>
        <v>42</v>
      </c>
    </row>
    <row r="8" ht="15.0" customHeight="1">
      <c r="B8" s="29" t="s">
        <v>1342</v>
      </c>
      <c r="C8" s="75">
        <f>C7/C6</f>
        <v>0.4615384615</v>
      </c>
    </row>
    <row r="9" ht="14.25" customHeight="1"/>
    <row r="10" ht="18.75" customHeight="1">
      <c r="B10" s="15" t="s">
        <v>1361</v>
      </c>
    </row>
    <row r="11" ht="25.5" customHeight="1">
      <c r="B11" s="2" t="s">
        <v>7</v>
      </c>
      <c r="C11" s="2" t="s">
        <v>1371</v>
      </c>
      <c r="D11" s="2" t="s">
        <v>1372</v>
      </c>
      <c r="E11" s="2" t="s">
        <v>1375</v>
      </c>
      <c r="F11" s="2" t="s">
        <v>1377</v>
      </c>
      <c r="G11" s="5" t="s">
        <v>1384</v>
      </c>
    </row>
    <row r="12" ht="15.0" customHeight="1">
      <c r="B12" s="54" t="s">
        <v>71</v>
      </c>
      <c r="C12" s="16">
        <f>COUNTIF('01_ESG통합진단마스터'!$D$2:$D$43,B12)</f>
        <v>5</v>
      </c>
      <c r="D12" s="16">
        <f>SUMPRODUCT(('01_ESG통합진단마스터'!$D$2:$D$43=B12)*ISNUMBER('01_ESG통합진단마스터'!$X$2:$X$43))</f>
        <v>5</v>
      </c>
      <c r="E12" s="76">
        <f>IFERROR(AVERAGEIFS('01_ESG통합진단마스터'!$X$2:$X$43,'01_ESG통합진단마스터'!$D$2:$D$43,B12),"미입력")</f>
        <v>85</v>
      </c>
      <c r="F12" s="16">
        <f>COUNTIFS('01_ESG통합진단마스터'!$D$2:$D$43,B12,'01_ESG통합진단마스터'!$P$2:$P$43,"완전대응")</f>
        <v>1</v>
      </c>
      <c r="G12" s="16">
        <f>COUNTIFS('01_ESG통합진단마스터'!$D$2:$D$43,B12,'01_ESG통합진단마스터'!$P$2:$P$43,"GAP(대응지표 없음)")</f>
        <v>0</v>
      </c>
    </row>
    <row r="13" ht="15.0" customHeight="1">
      <c r="B13" s="56" t="s">
        <v>338</v>
      </c>
      <c r="C13" s="16">
        <f>COUNTIF('01_ESG통합진단마스터'!$D$2:$D$43,B13)</f>
        <v>17</v>
      </c>
      <c r="D13" s="16">
        <f>SUMPRODUCT(('01_ESG통합진단마스터'!$D$2:$D$43=B13)*ISNUMBER('01_ESG통합진단마스터'!$X$2:$X$43))</f>
        <v>17</v>
      </c>
      <c r="E13" s="76">
        <f>IFERROR(AVERAGEIFS('01_ESG통합진단마스터'!$X$2:$X$43,'01_ESG통합진단마스터'!$D$2:$D$43,B13),"미입력")</f>
        <v>49.26470588</v>
      </c>
      <c r="F13" s="16">
        <f>COUNTIFS('01_ESG통합진단마스터'!$D$2:$D$43,B13,'01_ESG통합진단마스터'!$P$2:$P$43,"완전대응")</f>
        <v>4</v>
      </c>
      <c r="G13" s="16">
        <f>COUNTIFS('01_ESG통합진단마스터'!$D$2:$D$43,B13,'01_ESG통합진단마스터'!$P$2:$P$43,"GAP(대응지표 없음)")</f>
        <v>9</v>
      </c>
    </row>
    <row r="14" ht="15.0" customHeight="1">
      <c r="B14" s="57" t="s">
        <v>521</v>
      </c>
      <c r="C14" s="16">
        <f>COUNTIF('01_ESG통합진단마스터'!$D$2:$D$43,B14)</f>
        <v>0</v>
      </c>
      <c r="D14" s="16">
        <f>SUMPRODUCT(('01_ESG통합진단마스터'!$D$2:$D$43=B14)*ISNUMBER('01_ESG통합진단마스터'!$X$2:$X$43))</f>
        <v>0</v>
      </c>
      <c r="E14" s="76" t="str">
        <f>IFERROR(AVERAGEIFS('01_ESG통합진단마스터'!$X$2:$X$43,'01_ESG통합진단마스터'!$D$2:$D$43,B14),"미입력")</f>
        <v>미입력</v>
      </c>
      <c r="F14" s="16">
        <f>COUNTIFS('01_ESG통합진단마스터'!$D$2:$D$43,B14,'01_ESG통합진단마스터'!$P$2:$P$43,"완전대응")</f>
        <v>0</v>
      </c>
      <c r="G14" s="16">
        <f>COUNTIFS('01_ESG통합진단마스터'!$D$2:$D$43,B14,'01_ESG통합진단마스터'!$P$2:$P$43,"GAP(대응지표 없음)")</f>
        <v>0</v>
      </c>
    </row>
    <row r="15" ht="15.0" customHeight="1">
      <c r="B15" s="59" t="s">
        <v>545</v>
      </c>
      <c r="C15" s="16">
        <f>COUNTIF('01_ESG통합진단마스터'!$D$2:$D$43,B15)</f>
        <v>20</v>
      </c>
      <c r="D15" s="16">
        <f>SUMPRODUCT(('01_ESG통합진단마스터'!$D$2:$D$43=B15)*ISNUMBER('01_ESG통합진단마스터'!$X$2:$X$43))</f>
        <v>20</v>
      </c>
      <c r="E15" s="76">
        <f>IFERROR(AVERAGEIFS('01_ESG통합진단마스터'!$X$2:$X$43,'01_ESG통합진단마스터'!$D$2:$D$43,B15),"미입력")</f>
        <v>44</v>
      </c>
      <c r="F15" s="16">
        <f>COUNTIFS('01_ESG통합진단마스터'!$D$2:$D$43,B15,'01_ESG통합진단마스터'!$P$2:$P$43,"완전대응")</f>
        <v>2</v>
      </c>
      <c r="G15" s="16">
        <f>COUNTIFS('01_ESG통합진단마스터'!$D$2:$D$43,B15,'01_ESG통합진단마스터'!$P$2:$P$43,"GAP(대응지표 없음)")</f>
        <v>8</v>
      </c>
    </row>
    <row r="16" ht="15.0" customHeight="1">
      <c r="B16" s="60" t="s">
        <v>1450</v>
      </c>
      <c r="C16" s="60">
        <f t="shared" ref="C16:D16" si="1">SUM(C12:C15)</f>
        <v>42</v>
      </c>
      <c r="D16" s="60">
        <f t="shared" si="1"/>
        <v>42</v>
      </c>
      <c r="E16" s="90">
        <f>IFERROR(AVERAGE('01_ESG통합진단마스터'!$X$2:$X$43),"미입력")</f>
        <v>51.01190476</v>
      </c>
      <c r="F16" s="60">
        <f t="shared" ref="F16:G16" si="2">SUM(F12:F15)</f>
        <v>7</v>
      </c>
      <c r="G16" s="60">
        <f t="shared" si="2"/>
        <v>17</v>
      </c>
    </row>
    <row r="17" ht="14.25" customHeight="1"/>
    <row r="18" ht="14.25" customHeight="1"/>
    <row r="19" ht="18.75" customHeight="1">
      <c r="B19" s="15" t="s">
        <v>1451</v>
      </c>
    </row>
    <row r="20" ht="15.0" customHeight="1">
      <c r="B20" s="2" t="s">
        <v>6</v>
      </c>
      <c r="C20" s="2" t="s">
        <v>1371</v>
      </c>
      <c r="D20" s="2" t="s">
        <v>1372</v>
      </c>
      <c r="E20" s="2" t="s">
        <v>1452</v>
      </c>
    </row>
    <row r="21" ht="15.0" customHeight="1">
      <c r="B21" s="91" t="s">
        <v>68</v>
      </c>
      <c r="C21" s="91">
        <f>COUNTIF('01_ESG통합진단마스터'!$C$2:$C$43,B21)</f>
        <v>34</v>
      </c>
      <c r="D21" s="91">
        <f>SUMPRODUCT(('01_ESG통합진단마스터'!$C$2:$C$43=B21)*ISNUMBER('01_ESG통합진단마스터'!$X$2:$X$43))</f>
        <v>34</v>
      </c>
      <c r="E21" s="76">
        <f>IFERROR(AVERAGEIFS('01_ESG통합진단마스터'!$X$2:$X$43,'01_ESG통합진단마스터'!$C$2:$C$43,B21),"미입력")</f>
        <v>54.19117647</v>
      </c>
    </row>
    <row r="22" ht="15.0" customHeight="1">
      <c r="B22" s="91" t="s">
        <v>1303</v>
      </c>
      <c r="C22" s="91">
        <f>COUNTIF('01_ESG통합진단마스터'!$C$2:$C$43,B22)</f>
        <v>2</v>
      </c>
      <c r="D22" s="91">
        <f>SUMPRODUCT(('01_ESG통합진단마스터'!$C$2:$C$43=B22)*ISNUMBER('01_ESG통합진단마스터'!$X$2:$X$43))</f>
        <v>2</v>
      </c>
      <c r="E22" s="76">
        <f>IFERROR(AVERAGEIFS('01_ESG통합진단마스터'!$X$2:$X$43,'01_ESG통합진단마스터'!$C$2:$C$43,B22),"미입력")</f>
        <v>50</v>
      </c>
    </row>
    <row r="23" ht="15.0" customHeight="1">
      <c r="B23" s="91" t="s">
        <v>1355</v>
      </c>
      <c r="C23" s="91">
        <f>COUNTIF('01_ESG통합진단마스터'!$C$2:$C$43,B23)</f>
        <v>6</v>
      </c>
      <c r="D23" s="91">
        <f>SUMPRODUCT(('01_ESG통합진단마스터'!$C$2:$C$43=B23)*ISNUMBER('01_ESG통합진단마스터'!$X$2:$X$43))</f>
        <v>6</v>
      </c>
      <c r="E23" s="76">
        <f>IFERROR(AVERAGEIFS('01_ESG통합진단마스터'!$X$2:$X$43,'01_ESG통합진단마스터'!$C$2:$C$43,B23),"미입력")</f>
        <v>33.33333333</v>
      </c>
    </row>
    <row r="24" ht="14.25" customHeight="1"/>
    <row r="25" ht="14.25" customHeight="1"/>
    <row r="26" ht="18.75" customHeight="1">
      <c r="B26" s="15" t="s">
        <v>1453</v>
      </c>
    </row>
    <row r="27" ht="15.0" customHeight="1">
      <c r="B27" s="39" t="s">
        <v>1454</v>
      </c>
    </row>
    <row r="28" ht="15.0" customHeight="1">
      <c r="B28" s="39" t="s">
        <v>1455</v>
      </c>
    </row>
    <row r="29" ht="14.25" customHeight="1"/>
    <row r="30" ht="18.75" customHeight="1"/>
    <row r="31" ht="27.75" customHeight="1"/>
    <row r="32" ht="14.25" customHeight="1"/>
    <row r="33" ht="29.25" customHeight="1"/>
    <row r="34" ht="15.0" customHeight="1"/>
    <row r="35" ht="15.0" customHeight="1"/>
    <row r="36" ht="15.0" customHeight="1"/>
    <row r="37" ht="15.0" customHeight="1"/>
    <row r="38" ht="14.25" customHeight="1"/>
    <row r="39" ht="18.75" customHeight="1"/>
    <row r="40" ht="27.75" customHeight="1"/>
    <row r="41" ht="14.25" customHeight="1"/>
    <row r="42" ht="15.0" customHeight="1"/>
    <row r="43" ht="15.0" customHeight="1"/>
    <row r="44" ht="15.0" customHeight="1"/>
    <row r="45" ht="15.0"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8" max="8" width="26.0"/>
  </cols>
  <sheetData>
    <row r="1">
      <c r="A1" s="79"/>
      <c r="B1" s="79"/>
      <c r="C1" s="79"/>
      <c r="D1" s="79"/>
      <c r="E1" s="79"/>
      <c r="F1" s="79"/>
      <c r="G1" s="79"/>
      <c r="H1" s="79"/>
    </row>
    <row r="2">
      <c r="A2" s="79"/>
      <c r="B2" s="81" t="s">
        <v>1290</v>
      </c>
      <c r="C2" s="79"/>
      <c r="D2" s="79"/>
      <c r="E2" s="79"/>
      <c r="F2" s="79"/>
      <c r="G2" s="79"/>
      <c r="H2" s="79"/>
    </row>
    <row r="3">
      <c r="A3" s="79"/>
      <c r="B3" s="82" t="s">
        <v>1296</v>
      </c>
      <c r="C3" s="79"/>
      <c r="D3" s="79"/>
      <c r="E3" s="79"/>
      <c r="F3" s="79"/>
      <c r="G3" s="79"/>
      <c r="H3" s="79"/>
    </row>
    <row r="4">
      <c r="A4" s="79"/>
      <c r="B4" s="79"/>
      <c r="C4" s="79"/>
      <c r="D4" s="79"/>
      <c r="E4" s="79"/>
      <c r="F4" s="79"/>
      <c r="G4" s="79"/>
      <c r="H4" s="79"/>
    </row>
    <row r="5">
      <c r="A5" s="79"/>
      <c r="B5" s="83" t="s">
        <v>1302</v>
      </c>
      <c r="C5" s="79"/>
      <c r="D5" s="79"/>
      <c r="E5" s="79"/>
      <c r="F5" s="79"/>
      <c r="G5" s="79"/>
      <c r="H5" s="79"/>
    </row>
    <row r="6">
      <c r="A6" s="79"/>
      <c r="B6" s="84" t="s">
        <v>1307</v>
      </c>
      <c r="C6" s="85">
        <v>91.0</v>
      </c>
      <c r="D6" s="79"/>
      <c r="E6" s="79"/>
      <c r="F6" s="79"/>
      <c r="G6" s="79"/>
      <c r="H6" s="79"/>
    </row>
    <row r="7">
      <c r="A7" s="79"/>
      <c r="B7" s="84" t="s">
        <v>1316</v>
      </c>
      <c r="C7" s="85">
        <f>COUNT('01_ESG통합진단마스터'!X2:X43)</f>
        <v>42</v>
      </c>
      <c r="D7" s="79"/>
      <c r="E7" s="79"/>
      <c r="F7" s="79"/>
      <c r="G7" s="79"/>
      <c r="H7" s="79"/>
    </row>
    <row r="8">
      <c r="A8" s="79"/>
      <c r="B8" s="84" t="s">
        <v>1342</v>
      </c>
      <c r="C8" s="86">
        <f>C7/C6</f>
        <v>0.4615384615</v>
      </c>
      <c r="D8" s="79"/>
      <c r="E8" s="79"/>
      <c r="F8" s="79"/>
      <c r="G8" s="79"/>
      <c r="H8" s="79"/>
    </row>
    <row r="9">
      <c r="A9" s="79"/>
      <c r="B9" s="79"/>
      <c r="C9" s="79"/>
      <c r="D9" s="79"/>
      <c r="E9" s="79"/>
      <c r="F9" s="79"/>
      <c r="G9" s="79"/>
      <c r="H9" s="79"/>
    </row>
    <row r="10">
      <c r="A10" s="79"/>
      <c r="B10" s="83" t="s">
        <v>1361</v>
      </c>
      <c r="C10" s="79"/>
      <c r="D10" s="79"/>
      <c r="E10" s="79"/>
      <c r="F10" s="79"/>
      <c r="G10" s="79"/>
      <c r="H10" s="79"/>
    </row>
    <row r="11">
      <c r="A11" s="79"/>
      <c r="B11" s="2" t="s">
        <v>7</v>
      </c>
      <c r="C11" s="2" t="s">
        <v>1371</v>
      </c>
      <c r="D11" s="2" t="s">
        <v>1372</v>
      </c>
      <c r="E11" s="2" t="s">
        <v>1375</v>
      </c>
      <c r="F11" s="2" t="s">
        <v>1377</v>
      </c>
      <c r="G11" s="5" t="s">
        <v>1384</v>
      </c>
      <c r="H11" s="87" t="s">
        <v>1449</v>
      </c>
    </row>
    <row r="12">
      <c r="A12" s="79"/>
      <c r="B12" s="88" t="s">
        <v>71</v>
      </c>
      <c r="C12" s="89">
        <f>COUNTIF('01_ESG통합진단마스터'!$D$2:$D$43,B12)</f>
        <v>5</v>
      </c>
      <c r="D12" s="89">
        <f>SUMPRODUCT(('01_ESG통합진단마스터'!$D$2:$D$43=B12)*ISNUMBER('01_ESG통합진단마스터'!$X$2:$X$43))</f>
        <v>5</v>
      </c>
      <c r="E12" s="92">
        <f>IFERROR(AVERAGEIFS('01_ESG통합진단마스터'!$X$2:$X$43,'01_ESG통합진단마스터'!$D$2:$D$43,B12),"미입력")</f>
        <v>85</v>
      </c>
      <c r="F12" s="89">
        <f>COUNTIFS('01_ESG통합진단마스터'!$D$2:$D$43,B12,'01_ESG통합진단마스터'!$P$2:$P$43,"완전대응")</f>
        <v>1</v>
      </c>
      <c r="G12" s="89">
        <f>COUNTIFS('01_ESG통합진단마스터'!$D$2:$D$43,B12,'01_ESG통합진단마스터'!$P$2:$P$43,"GAP(대응지표 없음)")</f>
        <v>0</v>
      </c>
      <c r="H12" s="93">
        <f>IFERROR(AVERAGEIFS('01_ESG통합진단마스터'!$X$2:$X$43,'01_ESG통합진단마스터'!$D$2:$D$43,B12,'01_ESG통합진단마스터'!$C$2:$C$43,"&lt;&gt;업종특화(반도체 v1.0)"),"미입력")</f>
        <v>85</v>
      </c>
    </row>
    <row r="13">
      <c r="A13" s="79"/>
      <c r="B13" s="94" t="s">
        <v>338</v>
      </c>
      <c r="C13" s="89">
        <f>COUNTIF('01_ESG통합진단마스터'!$D$2:$D$43,B13)</f>
        <v>17</v>
      </c>
      <c r="D13" s="89">
        <f>SUMPRODUCT(('01_ESG통합진단마스터'!$D$2:$D$43=B13)*ISNUMBER('01_ESG통합진단마스터'!$X$2:$X$43))</f>
        <v>17</v>
      </c>
      <c r="E13" s="92">
        <f>IFERROR(AVERAGEIFS('01_ESG통합진단마스터'!$X$2:$X$43,'01_ESG통합진단마스터'!$D$2:$D$43,B13),"미입력")</f>
        <v>49.26470588</v>
      </c>
      <c r="F13" s="89">
        <f>COUNTIFS('01_ESG통합진단마스터'!$D$2:$D$43,B13,'01_ESG통합진단마스터'!$P$2:$P$43,"완전대응")</f>
        <v>4</v>
      </c>
      <c r="G13" s="89">
        <f>COUNTIFS('01_ESG통합진단마스터'!$D$2:$D$43,B13,'01_ESG통합진단마스터'!$P$2:$P$43,"GAP(대응지표 없음)")</f>
        <v>9</v>
      </c>
      <c r="H13" s="93">
        <f>IFERROR(AVERAGEIFS('01_ESG통합진단마스터'!$X$2:$X$43,'01_ESG통합진단마스터'!$D$2:$D$43,B13,'01_ESG통합진단마스터'!$C$2:$C$43,"&lt;&gt;업종특화(반도체 v1.0)"),"미입력")</f>
        <v>61.45833333</v>
      </c>
    </row>
    <row r="14">
      <c r="A14" s="79"/>
      <c r="B14" s="95" t="s">
        <v>521</v>
      </c>
      <c r="C14" s="89">
        <f>COUNTIF('01_ESG통합진단마스터'!$D$2:$D$43,B14)</f>
        <v>0</v>
      </c>
      <c r="D14" s="89">
        <f>SUMPRODUCT(('01_ESG통합진단마스터'!$D$2:$D$43=B14)*ISNUMBER('01_ESG통합진단마스터'!$X$2:$X$43))</f>
        <v>0</v>
      </c>
      <c r="E14" s="92" t="str">
        <f>IFERROR(AVERAGEIFS('01_ESG통합진단마스터'!$X$2:$X$43,'01_ESG통합진단마스터'!$D$2:$D$43,B14),"미입력")</f>
        <v>미입력</v>
      </c>
      <c r="F14" s="89">
        <f>COUNTIFS('01_ESG통합진단마스터'!$D$2:$D$43,B14,'01_ESG통합진단마스터'!$P$2:$P$43,"완전대응")</f>
        <v>0</v>
      </c>
      <c r="G14" s="89">
        <f>COUNTIFS('01_ESG통합진단마스터'!$D$2:$D$43,B14,'01_ESG통합진단마스터'!$P$2:$P$43,"GAP(대응지표 없음)")</f>
        <v>0</v>
      </c>
      <c r="H14" s="93" t="str">
        <f>IFERROR(AVERAGEIFS('01_ESG통합진단마스터'!$X$2:$X$43,'01_ESG통합진단마스터'!$D$2:$D$43,B14,'01_ESG통합진단마스터'!$C$2:$C$43,"&lt;&gt;업종특화(반도체 v1.0)"),"미입력")</f>
        <v>미입력</v>
      </c>
    </row>
    <row r="15">
      <c r="A15" s="79"/>
      <c r="B15" s="96" t="s">
        <v>545</v>
      </c>
      <c r="C15" s="89">
        <f>COUNTIF('01_ESG통합진단마스터'!$D$2:$D$43,B15)</f>
        <v>20</v>
      </c>
      <c r="D15" s="89">
        <f>SUMPRODUCT(('01_ESG통합진단마스터'!$D$2:$D$43=B15)*ISNUMBER('01_ESG통합진단마스터'!$X$2:$X$43))</f>
        <v>20</v>
      </c>
      <c r="E15" s="92">
        <f>IFERROR(AVERAGEIFS('01_ESG통합진단마스터'!$X$2:$X$43,'01_ESG통합진단마스터'!$D$2:$D$43,B15),"미입력")</f>
        <v>44</v>
      </c>
      <c r="F15" s="89">
        <f>COUNTIFS('01_ESG통합진단마스터'!$D$2:$D$43,B15,'01_ESG통합진단마스터'!$P$2:$P$43,"완전대응")</f>
        <v>2</v>
      </c>
      <c r="G15" s="89">
        <f>COUNTIFS('01_ESG통합진단마스터'!$D$2:$D$43,B15,'01_ESG통합진단마스터'!$P$2:$P$43,"GAP(대응지표 없음)")</f>
        <v>8</v>
      </c>
      <c r="H15" s="93">
        <f>IFERROR(AVERAGEIFS('01_ESG통합진단마스터'!$X$2:$X$43,'01_ESG통합진단마스터'!$D$2:$D$43,B15,'01_ESG통합진단마스터'!$C$2:$C$43,"&lt;&gt;업종특화(반도체 v1.0)"),"미입력")</f>
        <v>41.05263158</v>
      </c>
    </row>
    <row r="16">
      <c r="A16" s="79"/>
      <c r="B16" s="97" t="s">
        <v>1450</v>
      </c>
      <c r="C16" s="97">
        <f t="shared" ref="C16:D16" si="1">SUM(C12:C15)</f>
        <v>42</v>
      </c>
      <c r="D16" s="97">
        <f t="shared" si="1"/>
        <v>42</v>
      </c>
      <c r="E16" s="98">
        <f>IFERROR(AVERAGE('01_ESG통합진단마스터'!$X$2:$X$43),"미입력")</f>
        <v>51.01190476</v>
      </c>
      <c r="F16" s="97">
        <f t="shared" ref="F16:G16" si="2">SUM(F12:F15)</f>
        <v>7</v>
      </c>
      <c r="G16" s="97">
        <f t="shared" si="2"/>
        <v>17</v>
      </c>
      <c r="H16" s="99">
        <f>IFERROR(AVERAGEIFS('01_ESG통합진단마스터'!$X$2:$X$43,'01_ESG통합진단마스터'!$C$2:$C$43,"&lt;&gt;업종특화(반도체 v1.0)"),"미입력")</f>
        <v>53.95833333</v>
      </c>
    </row>
    <row r="17">
      <c r="A17" s="79"/>
      <c r="B17" s="79"/>
      <c r="C17" s="79"/>
      <c r="D17" s="79"/>
      <c r="E17" s="79"/>
      <c r="F17" s="79"/>
      <c r="G17" s="79"/>
      <c r="H17" s="79"/>
    </row>
    <row r="18">
      <c r="A18" s="79"/>
      <c r="B18" s="79"/>
      <c r="C18" s="79"/>
      <c r="D18" s="79"/>
      <c r="E18" s="79"/>
      <c r="F18" s="79"/>
      <c r="G18" s="79"/>
      <c r="H18" s="79"/>
    </row>
    <row r="19">
      <c r="A19" s="79"/>
      <c r="B19" s="83" t="s">
        <v>1451</v>
      </c>
      <c r="C19" s="79"/>
      <c r="D19" s="79"/>
      <c r="E19" s="79"/>
      <c r="F19" s="79"/>
      <c r="G19" s="79"/>
      <c r="H19" s="79"/>
    </row>
    <row r="20">
      <c r="A20" s="79"/>
      <c r="B20" s="2" t="s">
        <v>6</v>
      </c>
      <c r="C20" s="2" t="s">
        <v>1371</v>
      </c>
      <c r="D20" s="2" t="s">
        <v>1372</v>
      </c>
      <c r="E20" s="2" t="s">
        <v>1452</v>
      </c>
      <c r="F20" s="79"/>
      <c r="G20" s="79"/>
      <c r="H20" s="79"/>
    </row>
    <row r="21">
      <c r="A21" s="79"/>
      <c r="B21" s="100" t="s">
        <v>68</v>
      </c>
      <c r="C21" s="100">
        <f>COUNTIF('01_ESG통합진단마스터'!$C$2:$C$43,B21)</f>
        <v>34</v>
      </c>
      <c r="D21" s="100">
        <f>SUMPRODUCT(('01_ESG통합진단마스터'!$C$2:$C$43=B21)*ISNUMBER('01_ESG통합진단마스터'!$X$2:$X$43))</f>
        <v>34</v>
      </c>
      <c r="E21" s="92">
        <f>IFERROR(AVERAGEIFS('01_ESG통합진단마스터'!$X$2:$X$43,'01_ESG통합진단마스터'!$C$2:$C$43,B21),"미입력")</f>
        <v>54.19117647</v>
      </c>
      <c r="F21" s="79"/>
      <c r="G21" s="79"/>
      <c r="H21" s="79"/>
    </row>
    <row r="22">
      <c r="A22" s="79"/>
      <c r="B22" s="100" t="s">
        <v>1303</v>
      </c>
      <c r="C22" s="100">
        <f>COUNTIF('01_ESG통합진단마스터'!$C$2:$C$43,B22)</f>
        <v>2</v>
      </c>
      <c r="D22" s="100">
        <f>SUMPRODUCT(('01_ESG통합진단마스터'!$C$2:$C$43=B22)*ISNUMBER('01_ESG통합진단마스터'!$X$2:$X$43))</f>
        <v>2</v>
      </c>
      <c r="E22" s="92">
        <f>IFERROR(AVERAGEIFS('01_ESG통합진단마스터'!$X$2:$X$43,'01_ESG통합진단마스터'!$C$2:$C$43,B22),"미입력")</f>
        <v>50</v>
      </c>
      <c r="F22" s="79"/>
      <c r="G22" s="79"/>
      <c r="H22" s="79"/>
    </row>
    <row r="23">
      <c r="A23" s="79"/>
      <c r="B23" s="100" t="s">
        <v>1355</v>
      </c>
      <c r="C23" s="100">
        <f>COUNTIF('01_ESG통합진단마스터'!$C$2:$C$43,B23)</f>
        <v>6</v>
      </c>
      <c r="D23" s="100">
        <f>SUMPRODUCT(('01_ESG통합진단마스터'!$C$2:$C$43=B23)*ISNUMBER('01_ESG통합진단마스터'!$X$2:$X$43))</f>
        <v>6</v>
      </c>
      <c r="E23" s="92">
        <f>IFERROR(AVERAGEIFS('01_ESG통합진단마스터'!$X$2:$X$43,'01_ESG통합진단마스터'!$C$2:$C$43,B23),"미입력")</f>
        <v>33.33333333</v>
      </c>
      <c r="F23" s="79"/>
      <c r="G23" s="79"/>
      <c r="H23" s="79"/>
    </row>
    <row r="24">
      <c r="A24" s="79"/>
      <c r="B24" s="79"/>
      <c r="C24" s="79"/>
      <c r="D24" s="79"/>
      <c r="E24" s="79"/>
      <c r="F24" s="79"/>
      <c r="G24" s="79"/>
      <c r="H24" s="79"/>
    </row>
    <row r="25">
      <c r="A25" s="79"/>
      <c r="B25" s="79"/>
      <c r="C25" s="79"/>
      <c r="D25" s="79"/>
      <c r="E25" s="79"/>
      <c r="F25" s="79"/>
      <c r="G25" s="79"/>
      <c r="H25" s="79"/>
    </row>
    <row r="26">
      <c r="A26" s="79"/>
      <c r="B26" s="83" t="s">
        <v>1453</v>
      </c>
      <c r="C26" s="79"/>
      <c r="D26" s="79"/>
      <c r="E26" s="79"/>
      <c r="F26" s="79"/>
      <c r="G26" s="79"/>
      <c r="H26" s="79"/>
    </row>
    <row r="27">
      <c r="A27" s="79"/>
      <c r="B27" s="101" t="s">
        <v>1454</v>
      </c>
      <c r="C27" s="79"/>
      <c r="D27" s="79"/>
      <c r="E27" s="79"/>
      <c r="F27" s="79"/>
      <c r="G27" s="79"/>
      <c r="H27" s="79"/>
    </row>
    <row r="28">
      <c r="A28" s="79"/>
      <c r="B28" s="101" t="s">
        <v>1455</v>
      </c>
      <c r="C28" s="79"/>
      <c r="D28" s="79"/>
      <c r="E28" s="79"/>
      <c r="F28" s="79"/>
      <c r="G28" s="79"/>
      <c r="H28" s="79"/>
    </row>
    <row r="29">
      <c r="A29" s="79"/>
      <c r="B29" s="79"/>
      <c r="C29" s="79"/>
      <c r="D29" s="79"/>
      <c r="E29" s="79"/>
      <c r="F29" s="79"/>
      <c r="G29" s="79"/>
      <c r="H29" s="79"/>
    </row>
    <row r="30">
      <c r="A30" s="79"/>
      <c r="B30" s="79"/>
      <c r="C30" s="79"/>
      <c r="D30" s="79"/>
      <c r="E30" s="79"/>
      <c r="F30" s="79"/>
      <c r="G30" s="79"/>
      <c r="H30" s="79"/>
    </row>
    <row r="31">
      <c r="A31" s="79"/>
      <c r="B31" s="79"/>
      <c r="C31" s="79"/>
      <c r="D31" s="79"/>
      <c r="E31" s="79"/>
      <c r="F31" s="79"/>
      <c r="G31" s="79"/>
      <c r="H31" s="79"/>
    </row>
    <row r="32">
      <c r="A32" s="79"/>
      <c r="B32" s="79"/>
      <c r="C32" s="79"/>
      <c r="D32" s="79"/>
      <c r="E32" s="79"/>
      <c r="F32" s="79"/>
      <c r="G32" s="79"/>
      <c r="H32" s="79"/>
    </row>
    <row r="33">
      <c r="A33" s="79"/>
      <c r="B33" s="79"/>
      <c r="C33" s="79"/>
      <c r="D33" s="79"/>
      <c r="E33" s="79"/>
      <c r="F33" s="79"/>
      <c r="G33" s="79"/>
      <c r="H33" s="79"/>
    </row>
    <row r="34">
      <c r="A34" s="79"/>
      <c r="B34" s="79"/>
      <c r="C34" s="79"/>
      <c r="D34" s="79"/>
      <c r="E34" s="79"/>
      <c r="F34" s="79"/>
      <c r="G34" s="79"/>
      <c r="H34" s="79"/>
    </row>
    <row r="35">
      <c r="A35" s="79"/>
      <c r="B35" s="79"/>
      <c r="C35" s="79"/>
      <c r="D35" s="79"/>
      <c r="E35" s="79"/>
      <c r="F35" s="79"/>
      <c r="G35" s="79"/>
      <c r="H35" s="79"/>
    </row>
    <row r="36">
      <c r="A36" s="79"/>
      <c r="B36" s="79"/>
      <c r="C36" s="79"/>
      <c r="D36" s="79"/>
      <c r="E36" s="79"/>
      <c r="F36" s="79"/>
      <c r="G36" s="79"/>
      <c r="H36" s="79"/>
    </row>
    <row r="37">
      <c r="A37" s="79"/>
      <c r="B37" s="79"/>
      <c r="C37" s="79"/>
      <c r="D37" s="79"/>
      <c r="E37" s="79"/>
      <c r="F37" s="79"/>
      <c r="G37" s="79"/>
      <c r="H37" s="79"/>
    </row>
    <row r="38">
      <c r="A38" s="79"/>
      <c r="B38" s="79"/>
      <c r="C38" s="79"/>
      <c r="D38" s="79"/>
      <c r="E38" s="79"/>
      <c r="F38" s="79"/>
      <c r="G38" s="79"/>
      <c r="H38" s="79"/>
    </row>
    <row r="39">
      <c r="A39" s="79"/>
      <c r="B39" s="79"/>
      <c r="C39" s="79"/>
      <c r="D39" s="79"/>
      <c r="E39" s="79"/>
      <c r="F39" s="79"/>
      <c r="G39" s="79"/>
      <c r="H39" s="79"/>
    </row>
    <row r="40">
      <c r="A40" s="79"/>
      <c r="B40" s="79"/>
      <c r="C40" s="79"/>
      <c r="D40" s="79"/>
      <c r="E40" s="79"/>
      <c r="F40" s="79"/>
      <c r="G40" s="79"/>
      <c r="H40" s="79"/>
    </row>
    <row r="41">
      <c r="A41" s="79"/>
      <c r="B41" s="79"/>
      <c r="C41" s="79"/>
      <c r="D41" s="79"/>
      <c r="E41" s="79"/>
      <c r="F41" s="79"/>
      <c r="G41" s="79"/>
      <c r="H41" s="79"/>
    </row>
    <row r="42">
      <c r="A42" s="79"/>
      <c r="B42" s="79"/>
      <c r="C42" s="79"/>
      <c r="D42" s="79"/>
      <c r="E42" s="79"/>
      <c r="F42" s="79"/>
      <c r="G42" s="79"/>
      <c r="H42" s="79"/>
    </row>
    <row r="43">
      <c r="A43" s="79"/>
      <c r="B43" s="79"/>
      <c r="C43" s="79"/>
      <c r="D43" s="79"/>
      <c r="E43" s="79"/>
      <c r="F43" s="79"/>
      <c r="G43" s="79"/>
      <c r="H43" s="79"/>
    </row>
    <row r="44">
      <c r="A44" s="79"/>
      <c r="B44" s="79"/>
      <c r="C44" s="79"/>
      <c r="D44" s="79"/>
      <c r="E44" s="79"/>
      <c r="F44" s="79"/>
      <c r="G44" s="79"/>
      <c r="H44" s="79"/>
    </row>
    <row r="45">
      <c r="A45" s="79"/>
      <c r="B45" s="79"/>
      <c r="C45" s="79"/>
      <c r="D45" s="79"/>
      <c r="E45" s="79"/>
      <c r="F45" s="79"/>
      <c r="G45" s="79"/>
      <c r="H45" s="79"/>
    </row>
    <row r="46">
      <c r="A46" s="79"/>
      <c r="B46" s="79"/>
      <c r="C46" s="79"/>
      <c r="D46" s="79"/>
      <c r="E46" s="79"/>
      <c r="F46" s="79"/>
      <c r="G46" s="79"/>
      <c r="H46" s="79"/>
    </row>
    <row r="47">
      <c r="A47" s="79"/>
      <c r="B47" s="79"/>
      <c r="C47" s="79"/>
      <c r="D47" s="79"/>
      <c r="E47" s="79"/>
      <c r="F47" s="79"/>
      <c r="G47" s="79"/>
      <c r="H47" s="79"/>
    </row>
    <row r="48">
      <c r="A48" s="79"/>
      <c r="B48" s="79"/>
      <c r="C48" s="79"/>
      <c r="D48" s="79"/>
      <c r="E48" s="79"/>
      <c r="F48" s="79"/>
      <c r="G48" s="79"/>
      <c r="H48" s="79"/>
    </row>
    <row r="49">
      <c r="A49" s="79"/>
      <c r="B49" s="79"/>
      <c r="C49" s="79"/>
      <c r="D49" s="79"/>
      <c r="E49" s="79"/>
      <c r="F49" s="79"/>
      <c r="G49" s="79"/>
      <c r="H49" s="79"/>
    </row>
    <row r="50">
      <c r="A50" s="79"/>
      <c r="B50" s="79"/>
      <c r="C50" s="79"/>
      <c r="D50" s="79"/>
      <c r="E50" s="79"/>
      <c r="F50" s="79"/>
      <c r="G50" s="79"/>
      <c r="H50" s="79"/>
    </row>
    <row r="51">
      <c r="A51" s="79"/>
      <c r="B51" s="79"/>
      <c r="C51" s="79"/>
      <c r="D51" s="79"/>
      <c r="E51" s="79"/>
      <c r="F51" s="79"/>
      <c r="G51" s="79"/>
      <c r="H51" s="79"/>
    </row>
    <row r="52">
      <c r="A52" s="79"/>
      <c r="B52" s="79"/>
      <c r="C52" s="79"/>
      <c r="D52" s="79"/>
      <c r="E52" s="79"/>
      <c r="F52" s="79"/>
      <c r="G52" s="79"/>
      <c r="H52" s="79"/>
    </row>
    <row r="53">
      <c r="A53" s="79"/>
      <c r="B53" s="79"/>
      <c r="C53" s="79"/>
      <c r="D53" s="79"/>
      <c r="E53" s="79"/>
      <c r="F53" s="79"/>
      <c r="G53" s="79"/>
      <c r="H53" s="79"/>
    </row>
    <row r="54">
      <c r="A54" s="79"/>
      <c r="B54" s="79"/>
      <c r="C54" s="79"/>
      <c r="D54" s="79"/>
      <c r="E54" s="79"/>
      <c r="F54" s="79"/>
      <c r="G54" s="79"/>
      <c r="H54" s="79"/>
    </row>
    <row r="55">
      <c r="A55" s="79"/>
      <c r="B55" s="79"/>
      <c r="C55" s="79"/>
      <c r="D55" s="79"/>
      <c r="E55" s="79"/>
      <c r="F55" s="79"/>
      <c r="G55" s="79"/>
      <c r="H55" s="79"/>
    </row>
    <row r="56">
      <c r="A56" s="79"/>
      <c r="B56" s="79"/>
      <c r="C56" s="79"/>
      <c r="D56" s="79"/>
      <c r="E56" s="79"/>
      <c r="F56" s="79"/>
      <c r="G56" s="79"/>
      <c r="H56" s="79"/>
    </row>
    <row r="57">
      <c r="A57" s="79"/>
      <c r="B57" s="79"/>
      <c r="C57" s="79"/>
      <c r="D57" s="79"/>
      <c r="E57" s="79"/>
      <c r="F57" s="79"/>
      <c r="G57" s="79"/>
      <c r="H57" s="79"/>
    </row>
    <row r="58">
      <c r="A58" s="79"/>
      <c r="B58" s="79"/>
      <c r="C58" s="79"/>
      <c r="D58" s="79"/>
      <c r="E58" s="79"/>
      <c r="F58" s="79"/>
      <c r="G58" s="79"/>
      <c r="H58" s="79"/>
    </row>
    <row r="59">
      <c r="A59" s="79"/>
      <c r="B59" s="79"/>
      <c r="C59" s="79"/>
      <c r="D59" s="79"/>
      <c r="E59" s="79"/>
      <c r="F59" s="79"/>
      <c r="G59" s="79"/>
      <c r="H59" s="79"/>
    </row>
    <row r="60">
      <c r="A60" s="79"/>
      <c r="B60" s="79"/>
      <c r="C60" s="79"/>
      <c r="D60" s="79"/>
      <c r="E60" s="79"/>
      <c r="F60" s="79"/>
      <c r="G60" s="79"/>
      <c r="H60" s="79"/>
    </row>
    <row r="61">
      <c r="A61" s="79"/>
      <c r="B61" s="79"/>
      <c r="C61" s="79"/>
      <c r="D61" s="79"/>
      <c r="E61" s="79"/>
      <c r="F61" s="79"/>
      <c r="G61" s="79"/>
      <c r="H61" s="79"/>
    </row>
    <row r="62">
      <c r="A62" s="79"/>
      <c r="B62" s="79"/>
      <c r="C62" s="79"/>
      <c r="D62" s="79"/>
      <c r="E62" s="79"/>
      <c r="F62" s="79"/>
      <c r="G62" s="79"/>
      <c r="H62" s="79"/>
    </row>
    <row r="63">
      <c r="A63" s="79"/>
      <c r="B63" s="79"/>
      <c r="C63" s="79"/>
      <c r="D63" s="79"/>
      <c r="E63" s="79"/>
      <c r="F63" s="79"/>
      <c r="G63" s="79"/>
      <c r="H63" s="79"/>
    </row>
    <row r="64">
      <c r="A64" s="79"/>
      <c r="B64" s="79"/>
      <c r="C64" s="79"/>
      <c r="D64" s="79"/>
      <c r="E64" s="79"/>
      <c r="F64" s="79"/>
      <c r="G64" s="79"/>
      <c r="H64" s="79"/>
    </row>
    <row r="65">
      <c r="A65" s="79"/>
      <c r="B65" s="79"/>
      <c r="C65" s="79"/>
      <c r="D65" s="79"/>
      <c r="E65" s="79"/>
      <c r="F65" s="79"/>
      <c r="G65" s="79"/>
      <c r="H65" s="79"/>
    </row>
    <row r="66">
      <c r="A66" s="79"/>
      <c r="B66" s="79"/>
      <c r="C66" s="79"/>
      <c r="D66" s="79"/>
      <c r="E66" s="79"/>
      <c r="F66" s="79"/>
      <c r="G66" s="79"/>
      <c r="H66" s="79"/>
    </row>
    <row r="67">
      <c r="A67" s="79"/>
      <c r="B67" s="79"/>
      <c r="C67" s="79"/>
      <c r="D67" s="79"/>
      <c r="E67" s="79"/>
      <c r="F67" s="79"/>
      <c r="G67" s="79"/>
      <c r="H67" s="79"/>
    </row>
    <row r="68">
      <c r="A68" s="79"/>
      <c r="B68" s="79"/>
      <c r="C68" s="79"/>
      <c r="D68" s="79"/>
      <c r="E68" s="79"/>
      <c r="F68" s="79"/>
      <c r="G68" s="79"/>
      <c r="H68" s="79"/>
    </row>
    <row r="69">
      <c r="A69" s="79"/>
      <c r="B69" s="79"/>
      <c r="C69" s="79"/>
      <c r="D69" s="79"/>
      <c r="E69" s="79"/>
      <c r="F69" s="79"/>
      <c r="G69" s="79"/>
      <c r="H69" s="79"/>
    </row>
    <row r="70">
      <c r="A70" s="79"/>
      <c r="B70" s="79"/>
      <c r="C70" s="79"/>
      <c r="D70" s="79"/>
      <c r="E70" s="79"/>
      <c r="F70" s="79"/>
      <c r="G70" s="79"/>
      <c r="H70" s="79"/>
    </row>
    <row r="71">
      <c r="A71" s="79"/>
      <c r="B71" s="79"/>
      <c r="C71" s="79"/>
      <c r="D71" s="79"/>
      <c r="E71" s="79"/>
      <c r="F71" s="79"/>
      <c r="G71" s="79"/>
      <c r="H71" s="79"/>
    </row>
    <row r="72">
      <c r="A72" s="79"/>
      <c r="B72" s="79"/>
      <c r="C72" s="79"/>
      <c r="D72" s="79"/>
      <c r="E72" s="79"/>
      <c r="F72" s="79"/>
      <c r="G72" s="79"/>
      <c r="H72" s="79"/>
    </row>
    <row r="73">
      <c r="A73" s="79"/>
      <c r="B73" s="79"/>
      <c r="C73" s="79"/>
      <c r="D73" s="79"/>
      <c r="E73" s="79"/>
      <c r="F73" s="79"/>
      <c r="G73" s="79"/>
      <c r="H73" s="79"/>
    </row>
    <row r="74">
      <c r="A74" s="79"/>
      <c r="B74" s="79"/>
      <c r="C74" s="79"/>
      <c r="D74" s="79"/>
      <c r="E74" s="79"/>
      <c r="F74" s="79"/>
      <c r="G74" s="79"/>
      <c r="H74" s="79"/>
    </row>
    <row r="75">
      <c r="A75" s="79"/>
      <c r="B75" s="79"/>
      <c r="C75" s="79"/>
      <c r="D75" s="79"/>
      <c r="E75" s="79"/>
      <c r="F75" s="79"/>
      <c r="G75" s="79"/>
      <c r="H75" s="79"/>
    </row>
    <row r="76">
      <c r="A76" s="79"/>
      <c r="B76" s="79"/>
      <c r="C76" s="79"/>
      <c r="D76" s="79"/>
      <c r="E76" s="79"/>
      <c r="F76" s="79"/>
      <c r="G76" s="79"/>
      <c r="H76" s="79"/>
    </row>
    <row r="77">
      <c r="A77" s="79"/>
      <c r="B77" s="79"/>
      <c r="C77" s="79"/>
      <c r="D77" s="79"/>
      <c r="E77" s="79"/>
      <c r="F77" s="79"/>
      <c r="G77" s="79"/>
      <c r="H77" s="79"/>
    </row>
    <row r="78">
      <c r="A78" s="79"/>
      <c r="B78" s="79"/>
      <c r="C78" s="79"/>
      <c r="D78" s="79"/>
      <c r="E78" s="79"/>
      <c r="F78" s="79"/>
      <c r="G78" s="79"/>
      <c r="H78" s="79"/>
    </row>
    <row r="79">
      <c r="A79" s="79"/>
      <c r="B79" s="79"/>
      <c r="C79" s="79"/>
      <c r="D79" s="79"/>
      <c r="E79" s="79"/>
      <c r="F79" s="79"/>
      <c r="G79" s="79"/>
      <c r="H79" s="79"/>
    </row>
    <row r="80">
      <c r="A80" s="79"/>
      <c r="B80" s="79"/>
      <c r="C80" s="79"/>
      <c r="D80" s="79"/>
      <c r="E80" s="79"/>
      <c r="F80" s="79"/>
      <c r="G80" s="79"/>
      <c r="H80" s="79"/>
    </row>
    <row r="81">
      <c r="A81" s="79"/>
      <c r="B81" s="79"/>
      <c r="C81" s="79"/>
      <c r="D81" s="79"/>
      <c r="E81" s="79"/>
      <c r="F81" s="79"/>
      <c r="G81" s="79"/>
      <c r="H81" s="79"/>
    </row>
    <row r="82">
      <c r="A82" s="79"/>
      <c r="B82" s="79"/>
      <c r="C82" s="79"/>
      <c r="D82" s="79"/>
      <c r="E82" s="79"/>
      <c r="F82" s="79"/>
      <c r="G82" s="79"/>
      <c r="H82" s="79"/>
    </row>
    <row r="83">
      <c r="A83" s="79"/>
      <c r="B83" s="79"/>
      <c r="C83" s="79"/>
      <c r="D83" s="79"/>
      <c r="E83" s="79"/>
      <c r="F83" s="79"/>
      <c r="G83" s="79"/>
      <c r="H83" s="79"/>
    </row>
    <row r="84">
      <c r="A84" s="79"/>
      <c r="B84" s="79"/>
      <c r="C84" s="79"/>
      <c r="D84" s="79"/>
      <c r="E84" s="79"/>
      <c r="F84" s="79"/>
      <c r="G84" s="79"/>
      <c r="H84" s="79"/>
    </row>
    <row r="85">
      <c r="A85" s="79"/>
      <c r="B85" s="79"/>
      <c r="C85" s="79"/>
      <c r="D85" s="79"/>
      <c r="E85" s="79"/>
      <c r="F85" s="79"/>
      <c r="G85" s="79"/>
      <c r="H85" s="79"/>
    </row>
    <row r="86">
      <c r="A86" s="79"/>
      <c r="B86" s="79"/>
      <c r="C86" s="79"/>
      <c r="D86" s="79"/>
      <c r="E86" s="79"/>
      <c r="F86" s="79"/>
      <c r="G86" s="79"/>
      <c r="H86" s="79"/>
    </row>
    <row r="87">
      <c r="A87" s="79"/>
      <c r="B87" s="79"/>
      <c r="C87" s="79"/>
      <c r="D87" s="79"/>
      <c r="E87" s="79"/>
      <c r="F87" s="79"/>
      <c r="G87" s="79"/>
      <c r="H87" s="79"/>
    </row>
    <row r="88">
      <c r="A88" s="79"/>
      <c r="B88" s="79"/>
      <c r="C88" s="79"/>
      <c r="D88" s="79"/>
      <c r="E88" s="79"/>
      <c r="F88" s="79"/>
      <c r="G88" s="79"/>
      <c r="H88" s="79"/>
    </row>
    <row r="89">
      <c r="A89" s="79"/>
      <c r="B89" s="79"/>
      <c r="C89" s="79"/>
      <c r="D89" s="79"/>
      <c r="E89" s="79"/>
      <c r="F89" s="79"/>
      <c r="G89" s="79"/>
      <c r="H89" s="79"/>
    </row>
    <row r="90">
      <c r="A90" s="79"/>
      <c r="B90" s="79"/>
      <c r="C90" s="79"/>
      <c r="D90" s="79"/>
      <c r="E90" s="79"/>
      <c r="F90" s="79"/>
      <c r="G90" s="79"/>
      <c r="H90" s="79"/>
    </row>
    <row r="91">
      <c r="A91" s="79"/>
      <c r="B91" s="79"/>
      <c r="C91" s="79"/>
      <c r="D91" s="79"/>
      <c r="E91" s="79"/>
      <c r="F91" s="79"/>
      <c r="G91" s="79"/>
      <c r="H91" s="79"/>
    </row>
    <row r="92">
      <c r="A92" s="79"/>
      <c r="B92" s="79"/>
      <c r="C92" s="79"/>
      <c r="D92" s="79"/>
      <c r="E92" s="79"/>
      <c r="F92" s="79"/>
      <c r="G92" s="79"/>
      <c r="H92" s="79"/>
    </row>
    <row r="93">
      <c r="A93" s="79"/>
      <c r="B93" s="79"/>
      <c r="C93" s="79"/>
      <c r="D93" s="79"/>
      <c r="E93" s="79"/>
      <c r="F93" s="79"/>
      <c r="G93" s="79"/>
      <c r="H93" s="79"/>
    </row>
    <row r="94">
      <c r="A94" s="79"/>
      <c r="B94" s="79"/>
      <c r="C94" s="79"/>
      <c r="D94" s="79"/>
      <c r="E94" s="79"/>
      <c r="F94" s="79"/>
      <c r="G94" s="79"/>
      <c r="H94" s="79"/>
    </row>
    <row r="95">
      <c r="A95" s="79"/>
      <c r="B95" s="79"/>
      <c r="C95" s="79"/>
      <c r="D95" s="79"/>
      <c r="E95" s="79"/>
      <c r="F95" s="79"/>
      <c r="G95" s="79"/>
      <c r="H95" s="79"/>
    </row>
    <row r="96">
      <c r="A96" s="79"/>
      <c r="B96" s="79"/>
      <c r="C96" s="79"/>
      <c r="D96" s="79"/>
      <c r="E96" s="79"/>
      <c r="F96" s="79"/>
      <c r="G96" s="79"/>
      <c r="H96" s="79"/>
    </row>
    <row r="97">
      <c r="A97" s="79"/>
      <c r="B97" s="79"/>
      <c r="C97" s="79"/>
      <c r="D97" s="79"/>
      <c r="E97" s="79"/>
      <c r="F97" s="79"/>
      <c r="G97" s="79"/>
      <c r="H97" s="79"/>
    </row>
    <row r="98">
      <c r="A98" s="79"/>
      <c r="B98" s="79"/>
      <c r="C98" s="79"/>
      <c r="D98" s="79"/>
      <c r="E98" s="79"/>
      <c r="F98" s="79"/>
      <c r="G98" s="79"/>
      <c r="H98" s="79"/>
    </row>
    <row r="99">
      <c r="A99" s="79"/>
      <c r="B99" s="79"/>
      <c r="C99" s="79"/>
      <c r="D99" s="79"/>
      <c r="E99" s="79"/>
      <c r="F99" s="79"/>
      <c r="G99" s="79"/>
      <c r="H99" s="79"/>
    </row>
    <row r="100">
      <c r="A100" s="79"/>
      <c r="B100" s="79"/>
      <c r="C100" s="79"/>
      <c r="D100" s="79"/>
      <c r="E100" s="79"/>
      <c r="F100" s="79"/>
      <c r="G100" s="79"/>
      <c r="H100" s="79"/>
    </row>
    <row r="101">
      <c r="A101" s="79"/>
      <c r="B101" s="79"/>
      <c r="C101" s="79"/>
      <c r="D101" s="79"/>
      <c r="E101" s="79"/>
      <c r="F101" s="79"/>
      <c r="G101" s="79"/>
      <c r="H101" s="79"/>
    </row>
    <row r="102">
      <c r="A102" s="79"/>
      <c r="B102" s="79"/>
      <c r="C102" s="79"/>
      <c r="D102" s="79"/>
      <c r="E102" s="79"/>
      <c r="F102" s="79"/>
      <c r="G102" s="79"/>
      <c r="H102" s="79"/>
    </row>
    <row r="103">
      <c r="A103" s="79"/>
      <c r="B103" s="79"/>
      <c r="C103" s="79"/>
      <c r="D103" s="79"/>
      <c r="E103" s="79"/>
      <c r="F103" s="79"/>
      <c r="G103" s="79"/>
      <c r="H103" s="79"/>
    </row>
    <row r="104">
      <c r="A104" s="79"/>
      <c r="B104" s="79"/>
      <c r="C104" s="79"/>
      <c r="D104" s="79"/>
      <c r="E104" s="79"/>
      <c r="F104" s="79"/>
      <c r="G104" s="79"/>
      <c r="H104" s="79"/>
    </row>
    <row r="105">
      <c r="A105" s="79"/>
      <c r="B105" s="79"/>
      <c r="C105" s="79"/>
      <c r="D105" s="79"/>
      <c r="E105" s="79"/>
      <c r="F105" s="79"/>
      <c r="G105" s="79"/>
      <c r="H105" s="79"/>
    </row>
    <row r="106">
      <c r="A106" s="79"/>
      <c r="B106" s="79"/>
      <c r="C106" s="79"/>
      <c r="D106" s="79"/>
      <c r="E106" s="79"/>
      <c r="F106" s="79"/>
      <c r="G106" s="79"/>
      <c r="H106" s="79"/>
    </row>
    <row r="107">
      <c r="A107" s="79"/>
      <c r="B107" s="79"/>
      <c r="C107" s="79"/>
      <c r="D107" s="79"/>
      <c r="E107" s="79"/>
      <c r="F107" s="79"/>
      <c r="G107" s="79"/>
      <c r="H107" s="79"/>
    </row>
    <row r="108">
      <c r="A108" s="79"/>
      <c r="B108" s="79"/>
      <c r="C108" s="79"/>
      <c r="D108" s="79"/>
      <c r="E108" s="79"/>
      <c r="F108" s="79"/>
      <c r="G108" s="79"/>
      <c r="H108" s="79"/>
    </row>
    <row r="109">
      <c r="A109" s="79"/>
      <c r="B109" s="79"/>
      <c r="C109" s="79"/>
      <c r="D109" s="79"/>
      <c r="E109" s="79"/>
      <c r="F109" s="79"/>
      <c r="G109" s="79"/>
      <c r="H109" s="79"/>
    </row>
    <row r="110">
      <c r="A110" s="79"/>
      <c r="B110" s="79"/>
      <c r="C110" s="79"/>
      <c r="D110" s="79"/>
      <c r="E110" s="79"/>
      <c r="F110" s="79"/>
      <c r="G110" s="79"/>
      <c r="H110" s="79"/>
    </row>
    <row r="111">
      <c r="A111" s="79"/>
      <c r="B111" s="79"/>
      <c r="C111" s="79"/>
      <c r="D111" s="79"/>
      <c r="E111" s="79"/>
      <c r="F111" s="79"/>
      <c r="G111" s="79"/>
      <c r="H111" s="79"/>
    </row>
    <row r="112">
      <c r="A112" s="79"/>
      <c r="B112" s="79"/>
      <c r="C112" s="79"/>
      <c r="D112" s="79"/>
      <c r="E112" s="79"/>
      <c r="F112" s="79"/>
      <c r="G112" s="79"/>
      <c r="H112" s="79"/>
    </row>
    <row r="113">
      <c r="A113" s="79"/>
      <c r="B113" s="79"/>
      <c r="C113" s="79"/>
      <c r="D113" s="79"/>
      <c r="E113" s="79"/>
      <c r="F113" s="79"/>
      <c r="G113" s="79"/>
      <c r="H113" s="79"/>
    </row>
    <row r="114">
      <c r="A114" s="79"/>
      <c r="B114" s="79"/>
      <c r="C114" s="79"/>
      <c r="D114" s="79"/>
      <c r="E114" s="79"/>
      <c r="F114" s="79"/>
      <c r="G114" s="79"/>
      <c r="H114" s="79"/>
    </row>
    <row r="115">
      <c r="A115" s="79"/>
      <c r="B115" s="79"/>
      <c r="C115" s="79"/>
      <c r="D115" s="79"/>
      <c r="E115" s="79"/>
      <c r="F115" s="79"/>
      <c r="G115" s="79"/>
      <c r="H115" s="79"/>
    </row>
    <row r="116">
      <c r="A116" s="79"/>
      <c r="B116" s="79"/>
      <c r="C116" s="79"/>
      <c r="D116" s="79"/>
      <c r="E116" s="79"/>
      <c r="F116" s="79"/>
      <c r="G116" s="79"/>
      <c r="H116" s="79"/>
    </row>
    <row r="117">
      <c r="A117" s="79"/>
      <c r="B117" s="79"/>
      <c r="C117" s="79"/>
      <c r="D117" s="79"/>
      <c r="E117" s="79"/>
      <c r="F117" s="79"/>
      <c r="G117" s="79"/>
      <c r="H117" s="79"/>
    </row>
    <row r="118">
      <c r="A118" s="79"/>
      <c r="B118" s="79"/>
      <c r="C118" s="79"/>
      <c r="D118" s="79"/>
      <c r="E118" s="79"/>
      <c r="F118" s="79"/>
      <c r="G118" s="79"/>
      <c r="H118" s="79"/>
    </row>
    <row r="119">
      <c r="A119" s="79"/>
      <c r="B119" s="79"/>
      <c r="C119" s="79"/>
      <c r="D119" s="79"/>
      <c r="E119" s="79"/>
      <c r="F119" s="79"/>
      <c r="G119" s="79"/>
      <c r="H119" s="79"/>
    </row>
    <row r="120">
      <c r="A120" s="79"/>
      <c r="B120" s="79"/>
      <c r="C120" s="79"/>
      <c r="D120" s="79"/>
      <c r="E120" s="79"/>
      <c r="F120" s="79"/>
      <c r="G120" s="79"/>
      <c r="H120" s="79"/>
    </row>
    <row r="121">
      <c r="A121" s="79"/>
      <c r="B121" s="79"/>
      <c r="C121" s="79"/>
      <c r="D121" s="79"/>
      <c r="E121" s="79"/>
      <c r="F121" s="79"/>
      <c r="G121" s="79"/>
      <c r="H121" s="79"/>
    </row>
    <row r="122">
      <c r="A122" s="79"/>
      <c r="B122" s="79"/>
      <c r="C122" s="79"/>
      <c r="D122" s="79"/>
      <c r="E122" s="79"/>
      <c r="F122" s="79"/>
      <c r="G122" s="79"/>
      <c r="H122" s="79"/>
    </row>
    <row r="123">
      <c r="A123" s="79"/>
      <c r="B123" s="79"/>
      <c r="C123" s="79"/>
      <c r="D123" s="79"/>
      <c r="E123" s="79"/>
      <c r="F123" s="79"/>
      <c r="G123" s="79"/>
      <c r="H123" s="79"/>
    </row>
    <row r="124">
      <c r="A124" s="79"/>
      <c r="B124" s="79"/>
      <c r="C124" s="79"/>
      <c r="D124" s="79"/>
      <c r="E124" s="79"/>
      <c r="F124" s="79"/>
      <c r="G124" s="79"/>
      <c r="H124" s="79"/>
    </row>
    <row r="125">
      <c r="A125" s="79"/>
      <c r="B125" s="79"/>
      <c r="C125" s="79"/>
      <c r="D125" s="79"/>
      <c r="E125" s="79"/>
      <c r="F125" s="79"/>
      <c r="G125" s="79"/>
      <c r="H125" s="79"/>
    </row>
    <row r="126">
      <c r="A126" s="79"/>
      <c r="B126" s="79"/>
      <c r="C126" s="79"/>
      <c r="D126" s="79"/>
      <c r="E126" s="79"/>
      <c r="F126" s="79"/>
      <c r="G126" s="79"/>
      <c r="H126" s="79"/>
    </row>
    <row r="127">
      <c r="A127" s="79"/>
      <c r="B127" s="79"/>
      <c r="C127" s="79"/>
      <c r="D127" s="79"/>
      <c r="E127" s="79"/>
      <c r="F127" s="79"/>
      <c r="G127" s="79"/>
      <c r="H127" s="79"/>
    </row>
    <row r="128">
      <c r="A128" s="79"/>
      <c r="B128" s="79"/>
      <c r="C128" s="79"/>
      <c r="D128" s="79"/>
      <c r="E128" s="79"/>
      <c r="F128" s="79"/>
      <c r="G128" s="79"/>
      <c r="H128" s="79"/>
    </row>
    <row r="129">
      <c r="A129" s="79"/>
      <c r="B129" s="79"/>
      <c r="C129" s="79"/>
      <c r="D129" s="79"/>
      <c r="E129" s="79"/>
      <c r="F129" s="79"/>
      <c r="G129" s="79"/>
      <c r="H129" s="79"/>
    </row>
    <row r="130">
      <c r="A130" s="79"/>
      <c r="B130" s="79"/>
      <c r="C130" s="79"/>
      <c r="D130" s="79"/>
      <c r="E130" s="79"/>
      <c r="F130" s="79"/>
      <c r="G130" s="79"/>
      <c r="H130" s="79"/>
    </row>
    <row r="131">
      <c r="A131" s="79"/>
      <c r="B131" s="79"/>
      <c r="C131" s="79"/>
      <c r="D131" s="79"/>
      <c r="E131" s="79"/>
      <c r="F131" s="79"/>
      <c r="G131" s="79"/>
      <c r="H131" s="79"/>
    </row>
    <row r="132">
      <c r="A132" s="79"/>
      <c r="B132" s="79"/>
      <c r="C132" s="79"/>
      <c r="D132" s="79"/>
      <c r="E132" s="79"/>
      <c r="F132" s="79"/>
      <c r="G132" s="79"/>
      <c r="H132" s="79"/>
    </row>
    <row r="133">
      <c r="A133" s="79"/>
      <c r="B133" s="79"/>
      <c r="C133" s="79"/>
      <c r="D133" s="79"/>
      <c r="E133" s="79"/>
      <c r="F133" s="79"/>
      <c r="G133" s="79"/>
      <c r="H133" s="79"/>
    </row>
    <row r="134">
      <c r="A134" s="79"/>
      <c r="B134" s="79"/>
      <c r="C134" s="79"/>
      <c r="D134" s="79"/>
      <c r="E134" s="79"/>
      <c r="F134" s="79"/>
      <c r="G134" s="79"/>
      <c r="H134" s="79"/>
    </row>
    <row r="135">
      <c r="A135" s="79"/>
      <c r="B135" s="79"/>
      <c r="C135" s="79"/>
      <c r="D135" s="79"/>
      <c r="E135" s="79"/>
      <c r="F135" s="79"/>
      <c r="G135" s="79"/>
      <c r="H135" s="79"/>
    </row>
    <row r="136">
      <c r="A136" s="79"/>
      <c r="B136" s="79"/>
      <c r="C136" s="79"/>
      <c r="D136" s="79"/>
      <c r="E136" s="79"/>
      <c r="F136" s="79"/>
      <c r="G136" s="79"/>
      <c r="H136" s="79"/>
    </row>
    <row r="137">
      <c r="A137" s="79"/>
      <c r="B137" s="79"/>
      <c r="C137" s="79"/>
      <c r="D137" s="79"/>
      <c r="E137" s="79"/>
      <c r="F137" s="79"/>
      <c r="G137" s="79"/>
      <c r="H137" s="79"/>
    </row>
    <row r="138">
      <c r="A138" s="79"/>
      <c r="B138" s="79"/>
      <c r="C138" s="79"/>
      <c r="D138" s="79"/>
      <c r="E138" s="79"/>
      <c r="F138" s="79"/>
      <c r="G138" s="79"/>
      <c r="H138" s="79"/>
    </row>
    <row r="139">
      <c r="A139" s="79"/>
      <c r="B139" s="79"/>
      <c r="C139" s="79"/>
      <c r="D139" s="79"/>
      <c r="E139" s="79"/>
      <c r="F139" s="79"/>
      <c r="G139" s="79"/>
      <c r="H139" s="79"/>
    </row>
    <row r="140">
      <c r="A140" s="79"/>
      <c r="B140" s="79"/>
      <c r="C140" s="79"/>
      <c r="D140" s="79"/>
      <c r="E140" s="79"/>
      <c r="F140" s="79"/>
      <c r="G140" s="79"/>
      <c r="H140" s="79"/>
    </row>
    <row r="141">
      <c r="A141" s="79"/>
      <c r="B141" s="79"/>
      <c r="C141" s="79"/>
      <c r="D141" s="79"/>
      <c r="E141" s="79"/>
      <c r="F141" s="79"/>
      <c r="G141" s="79"/>
      <c r="H141" s="79"/>
    </row>
    <row r="142">
      <c r="A142" s="79"/>
      <c r="B142" s="79"/>
      <c r="C142" s="79"/>
      <c r="D142" s="79"/>
      <c r="E142" s="79"/>
      <c r="F142" s="79"/>
      <c r="G142" s="79"/>
      <c r="H142" s="79"/>
    </row>
    <row r="143">
      <c r="A143" s="79"/>
      <c r="B143" s="79"/>
      <c r="C143" s="79"/>
      <c r="D143" s="79"/>
      <c r="E143" s="79"/>
      <c r="F143" s="79"/>
      <c r="G143" s="79"/>
      <c r="H143" s="79"/>
    </row>
    <row r="144">
      <c r="A144" s="79"/>
      <c r="B144" s="79"/>
      <c r="C144" s="79"/>
      <c r="D144" s="79"/>
      <c r="E144" s="79"/>
      <c r="F144" s="79"/>
      <c r="G144" s="79"/>
      <c r="H144" s="79"/>
    </row>
    <row r="145">
      <c r="A145" s="79"/>
      <c r="B145" s="79"/>
      <c r="C145" s="79"/>
      <c r="D145" s="79"/>
      <c r="E145" s="79"/>
      <c r="F145" s="79"/>
      <c r="G145" s="79"/>
      <c r="H145" s="79"/>
    </row>
    <row r="146">
      <c r="A146" s="79"/>
      <c r="B146" s="79"/>
      <c r="C146" s="79"/>
      <c r="D146" s="79"/>
      <c r="E146" s="79"/>
      <c r="F146" s="79"/>
      <c r="G146" s="79"/>
      <c r="H146" s="79"/>
    </row>
    <row r="147">
      <c r="A147" s="79"/>
      <c r="B147" s="79"/>
      <c r="C147" s="79"/>
      <c r="D147" s="79"/>
      <c r="E147" s="79"/>
      <c r="F147" s="79"/>
      <c r="G147" s="79"/>
      <c r="H147" s="79"/>
    </row>
    <row r="148">
      <c r="A148" s="79"/>
      <c r="B148" s="79"/>
      <c r="C148" s="79"/>
      <c r="D148" s="79"/>
      <c r="E148" s="79"/>
      <c r="F148" s="79"/>
      <c r="G148" s="79"/>
      <c r="H148" s="79"/>
    </row>
    <row r="149">
      <c r="A149" s="79"/>
      <c r="B149" s="79"/>
      <c r="C149" s="79"/>
      <c r="D149" s="79"/>
      <c r="E149" s="79"/>
      <c r="F149" s="79"/>
      <c r="G149" s="79"/>
      <c r="H149" s="79"/>
    </row>
    <row r="150">
      <c r="A150" s="79"/>
      <c r="B150" s="79"/>
      <c r="C150" s="79"/>
      <c r="D150" s="79"/>
      <c r="E150" s="79"/>
      <c r="F150" s="79"/>
      <c r="G150" s="79"/>
      <c r="H150" s="79"/>
    </row>
    <row r="151">
      <c r="A151" s="79"/>
      <c r="B151" s="79"/>
      <c r="C151" s="79"/>
      <c r="D151" s="79"/>
      <c r="E151" s="79"/>
      <c r="F151" s="79"/>
      <c r="G151" s="79"/>
      <c r="H151" s="79"/>
    </row>
    <row r="152">
      <c r="A152" s="79"/>
      <c r="B152" s="79"/>
      <c r="C152" s="79"/>
      <c r="D152" s="79"/>
      <c r="E152" s="79"/>
      <c r="F152" s="79"/>
      <c r="G152" s="79"/>
      <c r="H152" s="79"/>
    </row>
    <row r="153">
      <c r="A153" s="79"/>
      <c r="B153" s="79"/>
      <c r="C153" s="79"/>
      <c r="D153" s="79"/>
      <c r="E153" s="79"/>
      <c r="F153" s="79"/>
      <c r="G153" s="79"/>
      <c r="H153" s="79"/>
    </row>
    <row r="154">
      <c r="A154" s="79"/>
      <c r="B154" s="79"/>
      <c r="C154" s="79"/>
      <c r="D154" s="79"/>
      <c r="E154" s="79"/>
      <c r="F154" s="79"/>
      <c r="G154" s="79"/>
      <c r="H154" s="79"/>
    </row>
    <row r="155">
      <c r="A155" s="79"/>
      <c r="B155" s="79"/>
      <c r="C155" s="79"/>
      <c r="D155" s="79"/>
      <c r="E155" s="79"/>
      <c r="F155" s="79"/>
      <c r="G155" s="79"/>
      <c r="H155" s="79"/>
    </row>
    <row r="156">
      <c r="A156" s="79"/>
      <c r="B156" s="79"/>
      <c r="C156" s="79"/>
      <c r="D156" s="79"/>
      <c r="E156" s="79"/>
      <c r="F156" s="79"/>
      <c r="G156" s="79"/>
      <c r="H156" s="79"/>
    </row>
    <row r="157">
      <c r="A157" s="79"/>
      <c r="B157" s="79"/>
      <c r="C157" s="79"/>
      <c r="D157" s="79"/>
      <c r="E157" s="79"/>
      <c r="F157" s="79"/>
      <c r="G157" s="79"/>
      <c r="H157" s="79"/>
    </row>
    <row r="158">
      <c r="A158" s="79"/>
      <c r="B158" s="79"/>
      <c r="C158" s="79"/>
      <c r="D158" s="79"/>
      <c r="E158" s="79"/>
      <c r="F158" s="79"/>
      <c r="G158" s="79"/>
      <c r="H158" s="79"/>
    </row>
    <row r="159">
      <c r="A159" s="79"/>
      <c r="B159" s="79"/>
      <c r="C159" s="79"/>
      <c r="D159" s="79"/>
      <c r="E159" s="79"/>
      <c r="F159" s="79"/>
      <c r="G159" s="79"/>
      <c r="H159" s="79"/>
    </row>
    <row r="160">
      <c r="A160" s="79"/>
      <c r="B160" s="79"/>
      <c r="C160" s="79"/>
      <c r="D160" s="79"/>
      <c r="E160" s="79"/>
      <c r="F160" s="79"/>
      <c r="G160" s="79"/>
      <c r="H160" s="79"/>
    </row>
    <row r="161">
      <c r="A161" s="79"/>
      <c r="B161" s="79"/>
      <c r="C161" s="79"/>
      <c r="D161" s="79"/>
      <c r="E161" s="79"/>
      <c r="F161" s="79"/>
      <c r="G161" s="79"/>
      <c r="H161" s="79"/>
    </row>
    <row r="162">
      <c r="A162" s="79"/>
      <c r="B162" s="79"/>
      <c r="C162" s="79"/>
      <c r="D162" s="79"/>
      <c r="E162" s="79"/>
      <c r="F162" s="79"/>
      <c r="G162" s="79"/>
      <c r="H162" s="79"/>
    </row>
    <row r="163">
      <c r="A163" s="79"/>
      <c r="B163" s="79"/>
      <c r="C163" s="79"/>
      <c r="D163" s="79"/>
      <c r="E163" s="79"/>
      <c r="F163" s="79"/>
      <c r="G163" s="79"/>
      <c r="H163" s="79"/>
    </row>
    <row r="164">
      <c r="A164" s="79"/>
      <c r="B164" s="79"/>
      <c r="C164" s="79"/>
      <c r="D164" s="79"/>
      <c r="E164" s="79"/>
      <c r="F164" s="79"/>
      <c r="G164" s="79"/>
      <c r="H164" s="79"/>
    </row>
    <row r="165">
      <c r="A165" s="79"/>
      <c r="B165" s="79"/>
      <c r="C165" s="79"/>
      <c r="D165" s="79"/>
      <c r="E165" s="79"/>
      <c r="F165" s="79"/>
      <c r="G165" s="79"/>
      <c r="H165" s="79"/>
    </row>
    <row r="166">
      <c r="A166" s="79"/>
      <c r="B166" s="79"/>
      <c r="C166" s="79"/>
      <c r="D166" s="79"/>
      <c r="E166" s="79"/>
      <c r="F166" s="79"/>
      <c r="G166" s="79"/>
      <c r="H166" s="79"/>
    </row>
    <row r="167">
      <c r="A167" s="79"/>
      <c r="B167" s="79"/>
      <c r="C167" s="79"/>
      <c r="D167" s="79"/>
      <c r="E167" s="79"/>
      <c r="F167" s="79"/>
      <c r="G167" s="79"/>
      <c r="H167" s="79"/>
    </row>
    <row r="168">
      <c r="A168" s="79"/>
      <c r="B168" s="79"/>
      <c r="C168" s="79"/>
      <c r="D168" s="79"/>
      <c r="E168" s="79"/>
      <c r="F168" s="79"/>
      <c r="G168" s="79"/>
      <c r="H168" s="79"/>
    </row>
    <row r="169">
      <c r="A169" s="79"/>
      <c r="B169" s="79"/>
      <c r="C169" s="79"/>
      <c r="D169" s="79"/>
      <c r="E169" s="79"/>
      <c r="F169" s="79"/>
      <c r="G169" s="79"/>
      <c r="H169" s="79"/>
    </row>
    <row r="170">
      <c r="A170" s="79"/>
      <c r="B170" s="79"/>
      <c r="C170" s="79"/>
      <c r="D170" s="79"/>
      <c r="E170" s="79"/>
      <c r="F170" s="79"/>
      <c r="G170" s="79"/>
      <c r="H170" s="79"/>
    </row>
    <row r="171">
      <c r="A171" s="79"/>
      <c r="B171" s="79"/>
      <c r="C171" s="79"/>
      <c r="D171" s="79"/>
      <c r="E171" s="79"/>
      <c r="F171" s="79"/>
      <c r="G171" s="79"/>
      <c r="H171" s="79"/>
    </row>
    <row r="172">
      <c r="A172" s="79"/>
      <c r="B172" s="79"/>
      <c r="C172" s="79"/>
      <c r="D172" s="79"/>
      <c r="E172" s="79"/>
      <c r="F172" s="79"/>
      <c r="G172" s="79"/>
      <c r="H172" s="79"/>
    </row>
    <row r="173">
      <c r="A173" s="79"/>
      <c r="B173" s="79"/>
      <c r="C173" s="79"/>
      <c r="D173" s="79"/>
      <c r="E173" s="79"/>
      <c r="F173" s="79"/>
      <c r="G173" s="79"/>
      <c r="H173" s="79"/>
    </row>
    <row r="174">
      <c r="A174" s="79"/>
      <c r="B174" s="79"/>
      <c r="C174" s="79"/>
      <c r="D174" s="79"/>
      <c r="E174" s="79"/>
      <c r="F174" s="79"/>
      <c r="G174" s="79"/>
      <c r="H174" s="79"/>
    </row>
    <row r="175">
      <c r="A175" s="79"/>
      <c r="B175" s="79"/>
      <c r="C175" s="79"/>
      <c r="D175" s="79"/>
      <c r="E175" s="79"/>
      <c r="F175" s="79"/>
      <c r="G175" s="79"/>
      <c r="H175" s="79"/>
    </row>
    <row r="176">
      <c r="A176" s="79"/>
      <c r="B176" s="79"/>
      <c r="C176" s="79"/>
      <c r="D176" s="79"/>
      <c r="E176" s="79"/>
      <c r="F176" s="79"/>
      <c r="G176" s="79"/>
      <c r="H176" s="79"/>
    </row>
    <row r="177">
      <c r="A177" s="79"/>
      <c r="B177" s="79"/>
      <c r="C177" s="79"/>
      <c r="D177" s="79"/>
      <c r="E177" s="79"/>
      <c r="F177" s="79"/>
      <c r="G177" s="79"/>
      <c r="H177" s="79"/>
    </row>
    <row r="178">
      <c r="A178" s="79"/>
      <c r="B178" s="79"/>
      <c r="C178" s="79"/>
      <c r="D178" s="79"/>
      <c r="E178" s="79"/>
      <c r="F178" s="79"/>
      <c r="G178" s="79"/>
      <c r="H178" s="79"/>
    </row>
    <row r="179">
      <c r="A179" s="79"/>
      <c r="B179" s="79"/>
      <c r="C179" s="79"/>
      <c r="D179" s="79"/>
      <c r="E179" s="79"/>
      <c r="F179" s="79"/>
      <c r="G179" s="79"/>
      <c r="H179" s="79"/>
    </row>
    <row r="180">
      <c r="A180" s="79"/>
      <c r="B180" s="79"/>
      <c r="C180" s="79"/>
      <c r="D180" s="79"/>
      <c r="E180" s="79"/>
      <c r="F180" s="79"/>
      <c r="G180" s="79"/>
      <c r="H180" s="79"/>
    </row>
    <row r="181">
      <c r="A181" s="79"/>
      <c r="B181" s="79"/>
      <c r="C181" s="79"/>
      <c r="D181" s="79"/>
      <c r="E181" s="79"/>
      <c r="F181" s="79"/>
      <c r="G181" s="79"/>
      <c r="H181" s="79"/>
    </row>
    <row r="182">
      <c r="A182" s="79"/>
      <c r="B182" s="79"/>
      <c r="C182" s="79"/>
      <c r="D182" s="79"/>
      <c r="E182" s="79"/>
      <c r="F182" s="79"/>
      <c r="G182" s="79"/>
      <c r="H182" s="79"/>
    </row>
    <row r="183">
      <c r="A183" s="79"/>
      <c r="B183" s="79"/>
      <c r="C183" s="79"/>
      <c r="D183" s="79"/>
      <c r="E183" s="79"/>
      <c r="F183" s="79"/>
      <c r="G183" s="79"/>
      <c r="H183" s="79"/>
    </row>
    <row r="184">
      <c r="A184" s="79"/>
      <c r="B184" s="79"/>
      <c r="C184" s="79"/>
      <c r="D184" s="79"/>
      <c r="E184" s="79"/>
      <c r="F184" s="79"/>
      <c r="G184" s="79"/>
      <c r="H184" s="79"/>
    </row>
    <row r="185">
      <c r="A185" s="79"/>
      <c r="B185" s="79"/>
      <c r="C185" s="79"/>
      <c r="D185" s="79"/>
      <c r="E185" s="79"/>
      <c r="F185" s="79"/>
      <c r="G185" s="79"/>
      <c r="H185" s="79"/>
    </row>
    <row r="186">
      <c r="A186" s="79"/>
      <c r="B186" s="79"/>
      <c r="C186" s="79"/>
      <c r="D186" s="79"/>
      <c r="E186" s="79"/>
      <c r="F186" s="79"/>
      <c r="G186" s="79"/>
      <c r="H186" s="79"/>
    </row>
    <row r="187">
      <c r="A187" s="79"/>
      <c r="B187" s="79"/>
      <c r="C187" s="79"/>
      <c r="D187" s="79"/>
      <c r="E187" s="79"/>
      <c r="F187" s="79"/>
      <c r="G187" s="79"/>
      <c r="H187" s="79"/>
    </row>
    <row r="188">
      <c r="A188" s="79"/>
      <c r="B188" s="79"/>
      <c r="C188" s="79"/>
      <c r="D188" s="79"/>
      <c r="E188" s="79"/>
      <c r="F188" s="79"/>
      <c r="G188" s="79"/>
      <c r="H188" s="79"/>
    </row>
    <row r="189">
      <c r="A189" s="79"/>
      <c r="B189" s="79"/>
      <c r="C189" s="79"/>
      <c r="D189" s="79"/>
      <c r="E189" s="79"/>
      <c r="F189" s="79"/>
      <c r="G189" s="79"/>
      <c r="H189" s="79"/>
    </row>
    <row r="190">
      <c r="A190" s="79"/>
      <c r="B190" s="79"/>
      <c r="C190" s="79"/>
      <c r="D190" s="79"/>
      <c r="E190" s="79"/>
      <c r="F190" s="79"/>
      <c r="G190" s="79"/>
      <c r="H190" s="79"/>
    </row>
    <row r="191">
      <c r="A191" s="79"/>
      <c r="B191" s="79"/>
      <c r="C191" s="79"/>
      <c r="D191" s="79"/>
      <c r="E191" s="79"/>
      <c r="F191" s="79"/>
      <c r="G191" s="79"/>
      <c r="H191" s="79"/>
    </row>
    <row r="192">
      <c r="A192" s="79"/>
      <c r="B192" s="79"/>
      <c r="C192" s="79"/>
      <c r="D192" s="79"/>
      <c r="E192" s="79"/>
      <c r="F192" s="79"/>
      <c r="G192" s="79"/>
      <c r="H192" s="79"/>
    </row>
    <row r="193">
      <c r="A193" s="79"/>
      <c r="B193" s="79"/>
      <c r="C193" s="79"/>
      <c r="D193" s="79"/>
      <c r="E193" s="79"/>
      <c r="F193" s="79"/>
      <c r="G193" s="79"/>
      <c r="H193" s="79"/>
    </row>
    <row r="194">
      <c r="A194" s="79"/>
      <c r="B194" s="79"/>
      <c r="C194" s="79"/>
      <c r="D194" s="79"/>
      <c r="E194" s="79"/>
      <c r="F194" s="79"/>
      <c r="G194" s="79"/>
      <c r="H194" s="79"/>
    </row>
    <row r="195">
      <c r="A195" s="79"/>
      <c r="B195" s="79"/>
      <c r="C195" s="79"/>
      <c r="D195" s="79"/>
      <c r="E195" s="79"/>
      <c r="F195" s="79"/>
      <c r="G195" s="79"/>
      <c r="H195" s="79"/>
    </row>
    <row r="196">
      <c r="A196" s="79"/>
      <c r="B196" s="79"/>
      <c r="C196" s="79"/>
      <c r="D196" s="79"/>
      <c r="E196" s="79"/>
      <c r="F196" s="79"/>
      <c r="G196" s="79"/>
      <c r="H196" s="79"/>
    </row>
    <row r="197">
      <c r="A197" s="79"/>
      <c r="B197" s="79"/>
      <c r="C197" s="79"/>
      <c r="D197" s="79"/>
      <c r="E197" s="79"/>
      <c r="F197" s="79"/>
      <c r="G197" s="79"/>
      <c r="H197" s="79"/>
    </row>
    <row r="198">
      <c r="A198" s="79"/>
      <c r="B198" s="79"/>
      <c r="C198" s="79"/>
      <c r="D198" s="79"/>
      <c r="E198" s="79"/>
      <c r="F198" s="79"/>
      <c r="G198" s="79"/>
      <c r="H198" s="79"/>
    </row>
    <row r="199">
      <c r="A199" s="79"/>
      <c r="B199" s="79"/>
      <c r="C199" s="79"/>
      <c r="D199" s="79"/>
      <c r="E199" s="79"/>
      <c r="F199" s="79"/>
      <c r="G199" s="79"/>
      <c r="H199" s="79"/>
    </row>
    <row r="200">
      <c r="A200" s="79"/>
      <c r="B200" s="79"/>
      <c r="C200" s="79"/>
      <c r="D200" s="79"/>
      <c r="E200" s="79"/>
      <c r="F200" s="79"/>
      <c r="G200" s="79"/>
      <c r="H200" s="79"/>
    </row>
    <row r="201">
      <c r="A201" s="79"/>
      <c r="B201" s="79"/>
      <c r="C201" s="79"/>
      <c r="D201" s="79"/>
      <c r="E201" s="79"/>
      <c r="F201" s="79"/>
      <c r="G201" s="79"/>
      <c r="H201" s="79"/>
    </row>
    <row r="202">
      <c r="A202" s="79"/>
      <c r="B202" s="79"/>
      <c r="C202" s="79"/>
      <c r="D202" s="79"/>
      <c r="E202" s="79"/>
      <c r="F202" s="79"/>
      <c r="G202" s="79"/>
      <c r="H202" s="79"/>
    </row>
    <row r="203">
      <c r="A203" s="79"/>
      <c r="B203" s="79"/>
      <c r="C203" s="79"/>
      <c r="D203" s="79"/>
      <c r="E203" s="79"/>
      <c r="F203" s="79"/>
      <c r="G203" s="79"/>
      <c r="H203" s="79"/>
    </row>
    <row r="204">
      <c r="A204" s="79"/>
      <c r="B204" s="79"/>
      <c r="C204" s="79"/>
      <c r="D204" s="79"/>
      <c r="E204" s="79"/>
      <c r="F204" s="79"/>
      <c r="G204" s="79"/>
      <c r="H204" s="79"/>
    </row>
    <row r="205">
      <c r="A205" s="79"/>
      <c r="B205" s="79"/>
      <c r="C205" s="79"/>
      <c r="D205" s="79"/>
      <c r="E205" s="79"/>
      <c r="F205" s="79"/>
      <c r="G205" s="79"/>
      <c r="H205" s="79"/>
    </row>
    <row r="206">
      <c r="A206" s="79"/>
      <c r="B206" s="79"/>
      <c r="C206" s="79"/>
      <c r="D206" s="79"/>
      <c r="E206" s="79"/>
      <c r="F206" s="79"/>
      <c r="G206" s="79"/>
      <c r="H206" s="79"/>
    </row>
    <row r="207">
      <c r="A207" s="79"/>
      <c r="B207" s="79"/>
      <c r="C207" s="79"/>
      <c r="D207" s="79"/>
      <c r="E207" s="79"/>
      <c r="F207" s="79"/>
      <c r="G207" s="79"/>
      <c r="H207" s="79"/>
    </row>
    <row r="208">
      <c r="A208" s="79"/>
      <c r="B208" s="79"/>
      <c r="C208" s="79"/>
      <c r="D208" s="79"/>
      <c r="E208" s="79"/>
      <c r="F208" s="79"/>
      <c r="G208" s="79"/>
      <c r="H208" s="79"/>
    </row>
    <row r="209">
      <c r="A209" s="79"/>
      <c r="B209" s="79"/>
      <c r="C209" s="79"/>
      <c r="D209" s="79"/>
      <c r="E209" s="79"/>
      <c r="F209" s="79"/>
      <c r="G209" s="79"/>
      <c r="H209" s="79"/>
    </row>
    <row r="210">
      <c r="A210" s="79"/>
      <c r="B210" s="79"/>
      <c r="C210" s="79"/>
      <c r="D210" s="79"/>
      <c r="E210" s="79"/>
      <c r="F210" s="79"/>
      <c r="G210" s="79"/>
      <c r="H210" s="79"/>
    </row>
    <row r="211">
      <c r="A211" s="79"/>
      <c r="B211" s="79"/>
      <c r="C211" s="79"/>
      <c r="D211" s="79"/>
      <c r="E211" s="79"/>
      <c r="F211" s="79"/>
      <c r="G211" s="79"/>
      <c r="H211" s="79"/>
    </row>
    <row r="212">
      <c r="A212" s="79"/>
      <c r="B212" s="79"/>
      <c r="C212" s="79"/>
      <c r="D212" s="79"/>
      <c r="E212" s="79"/>
      <c r="F212" s="79"/>
      <c r="G212" s="79"/>
      <c r="H212" s="79"/>
    </row>
    <row r="213">
      <c r="A213" s="79"/>
      <c r="B213" s="79"/>
      <c r="C213" s="79"/>
      <c r="D213" s="79"/>
      <c r="E213" s="79"/>
      <c r="F213" s="79"/>
      <c r="G213" s="79"/>
      <c r="H213" s="79"/>
    </row>
    <row r="214">
      <c r="A214" s="79"/>
      <c r="B214" s="79"/>
      <c r="C214" s="79"/>
      <c r="D214" s="79"/>
      <c r="E214" s="79"/>
      <c r="F214" s="79"/>
      <c r="G214" s="79"/>
      <c r="H214" s="79"/>
    </row>
    <row r="215">
      <c r="A215" s="79"/>
      <c r="B215" s="79"/>
      <c r="C215" s="79"/>
      <c r="D215" s="79"/>
      <c r="E215" s="79"/>
      <c r="F215" s="79"/>
      <c r="G215" s="79"/>
      <c r="H215" s="79"/>
    </row>
    <row r="216">
      <c r="A216" s="79"/>
      <c r="B216" s="79"/>
      <c r="C216" s="79"/>
      <c r="D216" s="79"/>
      <c r="E216" s="79"/>
      <c r="F216" s="79"/>
      <c r="G216" s="79"/>
      <c r="H216" s="79"/>
    </row>
    <row r="217">
      <c r="A217" s="79"/>
      <c r="B217" s="79"/>
      <c r="C217" s="79"/>
      <c r="D217" s="79"/>
      <c r="E217" s="79"/>
      <c r="F217" s="79"/>
      <c r="G217" s="79"/>
      <c r="H217" s="79"/>
    </row>
    <row r="218">
      <c r="A218" s="79"/>
      <c r="B218" s="79"/>
      <c r="C218" s="79"/>
      <c r="D218" s="79"/>
      <c r="E218" s="79"/>
      <c r="F218" s="79"/>
      <c r="G218" s="79"/>
      <c r="H218" s="79"/>
    </row>
    <row r="219">
      <c r="A219" s="79"/>
      <c r="B219" s="79"/>
      <c r="C219" s="79"/>
      <c r="D219" s="79"/>
      <c r="E219" s="79"/>
      <c r="F219" s="79"/>
      <c r="G219" s="79"/>
      <c r="H219" s="79"/>
    </row>
    <row r="220">
      <c r="A220" s="79"/>
      <c r="B220" s="79"/>
      <c r="C220" s="79"/>
      <c r="D220" s="79"/>
      <c r="E220" s="79"/>
      <c r="F220" s="79"/>
      <c r="G220" s="79"/>
      <c r="H220" s="79"/>
    </row>
    <row r="221">
      <c r="A221" s="79"/>
      <c r="B221" s="79"/>
      <c r="C221" s="79"/>
      <c r="D221" s="79"/>
      <c r="E221" s="79"/>
      <c r="F221" s="79"/>
      <c r="G221" s="79"/>
      <c r="H221" s="79"/>
    </row>
    <row r="222">
      <c r="A222" s="79"/>
      <c r="B222" s="79"/>
      <c r="C222" s="79"/>
      <c r="D222" s="79"/>
      <c r="E222" s="79"/>
      <c r="F222" s="79"/>
      <c r="G222" s="79"/>
      <c r="H222" s="79"/>
    </row>
    <row r="223">
      <c r="A223" s="79"/>
      <c r="B223" s="79"/>
      <c r="C223" s="79"/>
      <c r="D223" s="79"/>
      <c r="E223" s="79"/>
      <c r="F223" s="79"/>
      <c r="G223" s="79"/>
      <c r="H223" s="79"/>
    </row>
    <row r="224">
      <c r="A224" s="79"/>
      <c r="B224" s="79"/>
      <c r="C224" s="79"/>
      <c r="D224" s="79"/>
      <c r="E224" s="79"/>
      <c r="F224" s="79"/>
      <c r="G224" s="79"/>
      <c r="H224" s="79"/>
    </row>
    <row r="225">
      <c r="A225" s="79"/>
      <c r="B225" s="79"/>
      <c r="C225" s="79"/>
      <c r="D225" s="79"/>
      <c r="E225" s="79"/>
      <c r="F225" s="79"/>
      <c r="G225" s="79"/>
      <c r="H225" s="79"/>
    </row>
    <row r="226">
      <c r="A226" s="79"/>
      <c r="B226" s="79"/>
      <c r="C226" s="79"/>
      <c r="D226" s="79"/>
      <c r="E226" s="79"/>
      <c r="F226" s="79"/>
      <c r="G226" s="79"/>
      <c r="H226" s="79"/>
    </row>
    <row r="227">
      <c r="A227" s="79"/>
      <c r="B227" s="79"/>
      <c r="C227" s="79"/>
      <c r="D227" s="79"/>
      <c r="E227" s="79"/>
      <c r="F227" s="79"/>
      <c r="G227" s="79"/>
      <c r="H227" s="79"/>
    </row>
    <row r="228">
      <c r="A228" s="79"/>
      <c r="B228" s="79"/>
      <c r="C228" s="79"/>
      <c r="D228" s="79"/>
      <c r="E228" s="79"/>
      <c r="F228" s="79"/>
      <c r="G228" s="79"/>
      <c r="H228" s="79"/>
    </row>
    <row r="229">
      <c r="A229" s="79"/>
      <c r="B229" s="79"/>
      <c r="C229" s="79"/>
      <c r="D229" s="79"/>
      <c r="E229" s="79"/>
      <c r="F229" s="79"/>
      <c r="G229" s="79"/>
      <c r="H229" s="79"/>
    </row>
    <row r="230">
      <c r="A230" s="79"/>
      <c r="B230" s="79"/>
      <c r="C230" s="79"/>
      <c r="D230" s="79"/>
      <c r="E230" s="79"/>
      <c r="F230" s="79"/>
      <c r="G230" s="79"/>
      <c r="H230" s="79"/>
    </row>
    <row r="231">
      <c r="A231" s="79"/>
      <c r="B231" s="79"/>
      <c r="C231" s="79"/>
      <c r="D231" s="79"/>
      <c r="E231" s="79"/>
      <c r="F231" s="79"/>
      <c r="G231" s="79"/>
      <c r="H231" s="79"/>
    </row>
    <row r="232">
      <c r="A232" s="79"/>
      <c r="B232" s="79"/>
      <c r="C232" s="79"/>
      <c r="D232" s="79"/>
      <c r="E232" s="79"/>
      <c r="F232" s="79"/>
      <c r="G232" s="79"/>
      <c r="H232" s="79"/>
    </row>
    <row r="233">
      <c r="A233" s="79"/>
      <c r="B233" s="79"/>
      <c r="C233" s="79"/>
      <c r="D233" s="79"/>
      <c r="E233" s="79"/>
      <c r="F233" s="79"/>
      <c r="G233" s="79"/>
      <c r="H233" s="79"/>
    </row>
    <row r="234">
      <c r="A234" s="79"/>
      <c r="B234" s="79"/>
      <c r="C234" s="79"/>
      <c r="D234" s="79"/>
      <c r="E234" s="79"/>
      <c r="F234" s="79"/>
      <c r="G234" s="79"/>
      <c r="H234" s="79"/>
    </row>
    <row r="235">
      <c r="A235" s="79"/>
      <c r="B235" s="79"/>
      <c r="C235" s="79"/>
      <c r="D235" s="79"/>
      <c r="E235" s="79"/>
      <c r="F235" s="79"/>
      <c r="G235" s="79"/>
      <c r="H235" s="79"/>
    </row>
    <row r="236">
      <c r="A236" s="79"/>
      <c r="B236" s="79"/>
      <c r="C236" s="79"/>
      <c r="D236" s="79"/>
      <c r="E236" s="79"/>
      <c r="F236" s="79"/>
      <c r="G236" s="79"/>
      <c r="H236" s="79"/>
    </row>
    <row r="237">
      <c r="A237" s="79"/>
      <c r="B237" s="79"/>
      <c r="C237" s="79"/>
      <c r="D237" s="79"/>
      <c r="E237" s="79"/>
      <c r="F237" s="79"/>
      <c r="G237" s="79"/>
      <c r="H237" s="79"/>
    </row>
    <row r="238">
      <c r="A238" s="79"/>
      <c r="B238" s="79"/>
      <c r="C238" s="79"/>
      <c r="D238" s="79"/>
      <c r="E238" s="79"/>
      <c r="F238" s="79"/>
      <c r="G238" s="79"/>
      <c r="H238" s="79"/>
    </row>
    <row r="239">
      <c r="A239" s="79"/>
      <c r="B239" s="79"/>
      <c r="C239" s="79"/>
      <c r="D239" s="79"/>
      <c r="E239" s="79"/>
      <c r="F239" s="79"/>
      <c r="G239" s="79"/>
      <c r="H239" s="79"/>
    </row>
    <row r="240">
      <c r="A240" s="79"/>
      <c r="B240" s="79"/>
      <c r="C240" s="79"/>
      <c r="D240" s="79"/>
      <c r="E240" s="79"/>
      <c r="F240" s="79"/>
      <c r="G240" s="79"/>
      <c r="H240" s="79"/>
    </row>
    <row r="241">
      <c r="A241" s="79"/>
      <c r="B241" s="79"/>
      <c r="C241" s="79"/>
      <c r="D241" s="79"/>
      <c r="E241" s="79"/>
      <c r="F241" s="79"/>
      <c r="G241" s="79"/>
      <c r="H241" s="79"/>
    </row>
    <row r="242">
      <c r="A242" s="79"/>
      <c r="B242" s="79"/>
      <c r="C242" s="79"/>
      <c r="D242" s="79"/>
      <c r="E242" s="79"/>
      <c r="F242" s="79"/>
      <c r="G242" s="79"/>
      <c r="H242" s="79"/>
    </row>
    <row r="243">
      <c r="A243" s="79"/>
      <c r="B243" s="79"/>
      <c r="C243" s="79"/>
      <c r="D243" s="79"/>
      <c r="E243" s="79"/>
      <c r="F243" s="79"/>
      <c r="G243" s="79"/>
      <c r="H243" s="79"/>
    </row>
    <row r="244">
      <c r="A244" s="79"/>
      <c r="B244" s="79"/>
      <c r="C244" s="79"/>
      <c r="D244" s="79"/>
      <c r="E244" s="79"/>
      <c r="F244" s="79"/>
      <c r="G244" s="79"/>
      <c r="H244" s="79"/>
    </row>
    <row r="245">
      <c r="A245" s="79"/>
      <c r="B245" s="79"/>
      <c r="C245" s="79"/>
      <c r="D245" s="79"/>
      <c r="E245" s="79"/>
      <c r="F245" s="79"/>
      <c r="G245" s="79"/>
      <c r="H245" s="79"/>
    </row>
    <row r="246">
      <c r="A246" s="79"/>
      <c r="B246" s="79"/>
      <c r="C246" s="79"/>
      <c r="D246" s="79"/>
      <c r="E246" s="79"/>
      <c r="F246" s="79"/>
      <c r="G246" s="79"/>
      <c r="H246" s="79"/>
    </row>
    <row r="247">
      <c r="A247" s="79"/>
      <c r="B247" s="79"/>
      <c r="C247" s="79"/>
      <c r="D247" s="79"/>
      <c r="E247" s="79"/>
      <c r="F247" s="79"/>
      <c r="G247" s="79"/>
      <c r="H247" s="79"/>
    </row>
    <row r="248">
      <c r="A248" s="79"/>
      <c r="B248" s="79"/>
      <c r="C248" s="79"/>
      <c r="D248" s="79"/>
      <c r="E248" s="79"/>
      <c r="F248" s="79"/>
      <c r="G248" s="79"/>
      <c r="H248" s="79"/>
    </row>
    <row r="249">
      <c r="A249" s="79"/>
      <c r="B249" s="79"/>
      <c r="C249" s="79"/>
      <c r="D249" s="79"/>
      <c r="E249" s="79"/>
      <c r="F249" s="79"/>
      <c r="G249" s="79"/>
      <c r="H249" s="79"/>
    </row>
    <row r="250">
      <c r="A250" s="79"/>
      <c r="B250" s="79"/>
      <c r="C250" s="79"/>
      <c r="D250" s="79"/>
      <c r="E250" s="79"/>
      <c r="F250" s="79"/>
      <c r="G250" s="79"/>
      <c r="H250" s="79"/>
    </row>
    <row r="251">
      <c r="A251" s="79"/>
      <c r="B251" s="79"/>
      <c r="C251" s="79"/>
      <c r="D251" s="79"/>
      <c r="E251" s="79"/>
      <c r="F251" s="79"/>
      <c r="G251" s="79"/>
      <c r="H251" s="79"/>
    </row>
    <row r="252">
      <c r="A252" s="79"/>
      <c r="B252" s="79"/>
      <c r="C252" s="79"/>
      <c r="D252" s="79"/>
      <c r="E252" s="79"/>
      <c r="F252" s="79"/>
      <c r="G252" s="79"/>
      <c r="H252" s="79"/>
    </row>
    <row r="253">
      <c r="A253" s="79"/>
      <c r="B253" s="79"/>
      <c r="C253" s="79"/>
      <c r="D253" s="79"/>
      <c r="E253" s="79"/>
      <c r="F253" s="79"/>
      <c r="G253" s="79"/>
      <c r="H253" s="79"/>
    </row>
    <row r="254">
      <c r="A254" s="79"/>
      <c r="B254" s="79"/>
      <c r="C254" s="79"/>
      <c r="D254" s="79"/>
      <c r="E254" s="79"/>
      <c r="F254" s="79"/>
      <c r="G254" s="79"/>
      <c r="H254" s="79"/>
    </row>
    <row r="255">
      <c r="A255" s="79"/>
      <c r="B255" s="79"/>
      <c r="C255" s="79"/>
      <c r="D255" s="79"/>
      <c r="E255" s="79"/>
      <c r="F255" s="79"/>
      <c r="G255" s="79"/>
      <c r="H255" s="79"/>
    </row>
    <row r="256">
      <c r="A256" s="79"/>
      <c r="B256" s="79"/>
      <c r="C256" s="79"/>
      <c r="D256" s="79"/>
      <c r="E256" s="79"/>
      <c r="F256" s="79"/>
      <c r="G256" s="79"/>
      <c r="H256" s="79"/>
    </row>
    <row r="257">
      <c r="A257" s="79"/>
      <c r="B257" s="79"/>
      <c r="C257" s="79"/>
      <c r="D257" s="79"/>
      <c r="E257" s="79"/>
      <c r="F257" s="79"/>
      <c r="G257" s="79"/>
      <c r="H257" s="79"/>
    </row>
    <row r="258">
      <c r="A258" s="79"/>
      <c r="B258" s="79"/>
      <c r="C258" s="79"/>
      <c r="D258" s="79"/>
      <c r="E258" s="79"/>
      <c r="F258" s="79"/>
      <c r="G258" s="79"/>
      <c r="H258" s="79"/>
    </row>
    <row r="259">
      <c r="A259" s="79"/>
      <c r="B259" s="79"/>
      <c r="C259" s="79"/>
      <c r="D259" s="79"/>
      <c r="E259" s="79"/>
      <c r="F259" s="79"/>
      <c r="G259" s="79"/>
      <c r="H259" s="79"/>
    </row>
    <row r="260">
      <c r="A260" s="79"/>
      <c r="B260" s="79"/>
      <c r="C260" s="79"/>
      <c r="D260" s="79"/>
      <c r="E260" s="79"/>
      <c r="F260" s="79"/>
      <c r="G260" s="79"/>
      <c r="H260" s="79"/>
    </row>
    <row r="261">
      <c r="A261" s="79"/>
      <c r="B261" s="79"/>
      <c r="C261" s="79"/>
      <c r="D261" s="79"/>
      <c r="E261" s="79"/>
      <c r="F261" s="79"/>
      <c r="G261" s="79"/>
      <c r="H261" s="79"/>
    </row>
    <row r="262">
      <c r="A262" s="79"/>
      <c r="B262" s="79"/>
      <c r="C262" s="79"/>
      <c r="D262" s="79"/>
      <c r="E262" s="79"/>
      <c r="F262" s="79"/>
      <c r="G262" s="79"/>
      <c r="H262" s="79"/>
    </row>
    <row r="263">
      <c r="A263" s="79"/>
      <c r="B263" s="79"/>
      <c r="C263" s="79"/>
      <c r="D263" s="79"/>
      <c r="E263" s="79"/>
      <c r="F263" s="79"/>
      <c r="G263" s="79"/>
      <c r="H263" s="79"/>
    </row>
    <row r="264">
      <c r="A264" s="79"/>
      <c r="B264" s="79"/>
      <c r="C264" s="79"/>
      <c r="D264" s="79"/>
      <c r="E264" s="79"/>
      <c r="F264" s="79"/>
      <c r="G264" s="79"/>
      <c r="H264" s="79"/>
    </row>
    <row r="265">
      <c r="A265" s="79"/>
      <c r="B265" s="79"/>
      <c r="C265" s="79"/>
      <c r="D265" s="79"/>
      <c r="E265" s="79"/>
      <c r="F265" s="79"/>
      <c r="G265" s="79"/>
      <c r="H265" s="79"/>
    </row>
    <row r="266">
      <c r="A266" s="79"/>
      <c r="B266" s="79"/>
      <c r="C266" s="79"/>
      <c r="D266" s="79"/>
      <c r="E266" s="79"/>
      <c r="F266" s="79"/>
      <c r="G266" s="79"/>
      <c r="H266" s="79"/>
    </row>
    <row r="267">
      <c r="A267" s="79"/>
      <c r="B267" s="79"/>
      <c r="C267" s="79"/>
      <c r="D267" s="79"/>
      <c r="E267" s="79"/>
      <c r="F267" s="79"/>
      <c r="G267" s="79"/>
      <c r="H267" s="79"/>
    </row>
    <row r="268">
      <c r="A268" s="79"/>
      <c r="B268" s="79"/>
      <c r="C268" s="79"/>
      <c r="D268" s="79"/>
      <c r="E268" s="79"/>
      <c r="F268" s="79"/>
      <c r="G268" s="79"/>
      <c r="H268" s="79"/>
    </row>
    <row r="269">
      <c r="A269" s="79"/>
      <c r="B269" s="79"/>
      <c r="C269" s="79"/>
      <c r="D269" s="79"/>
      <c r="E269" s="79"/>
      <c r="F269" s="79"/>
      <c r="G269" s="79"/>
      <c r="H269" s="79"/>
    </row>
    <row r="270">
      <c r="A270" s="79"/>
      <c r="B270" s="79"/>
      <c r="C270" s="79"/>
      <c r="D270" s="79"/>
      <c r="E270" s="79"/>
      <c r="F270" s="79"/>
      <c r="G270" s="79"/>
      <c r="H270" s="79"/>
    </row>
    <row r="271">
      <c r="A271" s="79"/>
      <c r="B271" s="79"/>
      <c r="C271" s="79"/>
      <c r="D271" s="79"/>
      <c r="E271" s="79"/>
      <c r="F271" s="79"/>
      <c r="G271" s="79"/>
      <c r="H271" s="79"/>
    </row>
    <row r="272">
      <c r="A272" s="79"/>
      <c r="B272" s="79"/>
      <c r="C272" s="79"/>
      <c r="D272" s="79"/>
      <c r="E272" s="79"/>
      <c r="F272" s="79"/>
      <c r="G272" s="79"/>
      <c r="H272" s="79"/>
    </row>
    <row r="273">
      <c r="A273" s="79"/>
      <c r="B273" s="79"/>
      <c r="C273" s="79"/>
      <c r="D273" s="79"/>
      <c r="E273" s="79"/>
      <c r="F273" s="79"/>
      <c r="G273" s="79"/>
      <c r="H273" s="79"/>
    </row>
    <row r="274">
      <c r="A274" s="79"/>
      <c r="B274" s="79"/>
      <c r="C274" s="79"/>
      <c r="D274" s="79"/>
      <c r="E274" s="79"/>
      <c r="F274" s="79"/>
      <c r="G274" s="79"/>
      <c r="H274" s="79"/>
    </row>
    <row r="275">
      <c r="A275" s="79"/>
      <c r="B275" s="79"/>
      <c r="C275" s="79"/>
      <c r="D275" s="79"/>
      <c r="E275" s="79"/>
      <c r="F275" s="79"/>
      <c r="G275" s="79"/>
      <c r="H275" s="79"/>
    </row>
    <row r="276">
      <c r="A276" s="79"/>
      <c r="B276" s="79"/>
      <c r="C276" s="79"/>
      <c r="D276" s="79"/>
      <c r="E276" s="79"/>
      <c r="F276" s="79"/>
      <c r="G276" s="79"/>
      <c r="H276" s="79"/>
    </row>
    <row r="277">
      <c r="A277" s="79"/>
      <c r="B277" s="79"/>
      <c r="C277" s="79"/>
      <c r="D277" s="79"/>
      <c r="E277" s="79"/>
      <c r="F277" s="79"/>
      <c r="G277" s="79"/>
      <c r="H277" s="79"/>
    </row>
    <row r="278">
      <c r="A278" s="79"/>
      <c r="B278" s="79"/>
      <c r="C278" s="79"/>
      <c r="D278" s="79"/>
      <c r="E278" s="79"/>
      <c r="F278" s="79"/>
      <c r="G278" s="79"/>
      <c r="H278" s="79"/>
    </row>
    <row r="279">
      <c r="A279" s="79"/>
      <c r="B279" s="79"/>
      <c r="C279" s="79"/>
      <c r="D279" s="79"/>
      <c r="E279" s="79"/>
      <c r="F279" s="79"/>
      <c r="G279" s="79"/>
      <c r="H279" s="79"/>
    </row>
    <row r="280">
      <c r="A280" s="79"/>
      <c r="B280" s="79"/>
      <c r="C280" s="79"/>
      <c r="D280" s="79"/>
      <c r="E280" s="79"/>
      <c r="F280" s="79"/>
      <c r="G280" s="79"/>
      <c r="H280" s="79"/>
    </row>
    <row r="281">
      <c r="A281" s="79"/>
      <c r="B281" s="79"/>
      <c r="C281" s="79"/>
      <c r="D281" s="79"/>
      <c r="E281" s="79"/>
      <c r="F281" s="79"/>
      <c r="G281" s="79"/>
      <c r="H281" s="79"/>
    </row>
    <row r="282">
      <c r="A282" s="79"/>
      <c r="B282" s="79"/>
      <c r="C282" s="79"/>
      <c r="D282" s="79"/>
      <c r="E282" s="79"/>
      <c r="F282" s="79"/>
      <c r="G282" s="79"/>
      <c r="H282" s="79"/>
    </row>
    <row r="283">
      <c r="A283" s="79"/>
      <c r="B283" s="79"/>
      <c r="C283" s="79"/>
      <c r="D283" s="79"/>
      <c r="E283" s="79"/>
      <c r="F283" s="79"/>
      <c r="G283" s="79"/>
      <c r="H283" s="79"/>
    </row>
    <row r="284">
      <c r="A284" s="79"/>
      <c r="B284" s="79"/>
      <c r="C284" s="79"/>
      <c r="D284" s="79"/>
      <c r="E284" s="79"/>
      <c r="F284" s="79"/>
      <c r="G284" s="79"/>
      <c r="H284" s="79"/>
    </row>
    <row r="285">
      <c r="A285" s="79"/>
      <c r="B285" s="79"/>
      <c r="C285" s="79"/>
      <c r="D285" s="79"/>
      <c r="E285" s="79"/>
      <c r="F285" s="79"/>
      <c r="G285" s="79"/>
      <c r="H285" s="79"/>
    </row>
    <row r="286">
      <c r="A286" s="79"/>
      <c r="B286" s="79"/>
      <c r="C286" s="79"/>
      <c r="D286" s="79"/>
      <c r="E286" s="79"/>
      <c r="F286" s="79"/>
      <c r="G286" s="79"/>
      <c r="H286" s="79"/>
    </row>
    <row r="287">
      <c r="A287" s="79"/>
      <c r="B287" s="79"/>
      <c r="C287" s="79"/>
      <c r="D287" s="79"/>
      <c r="E287" s="79"/>
      <c r="F287" s="79"/>
      <c r="G287" s="79"/>
      <c r="H287" s="79"/>
    </row>
    <row r="288">
      <c r="A288" s="79"/>
      <c r="B288" s="79"/>
      <c r="C288" s="79"/>
      <c r="D288" s="79"/>
      <c r="E288" s="79"/>
      <c r="F288" s="79"/>
      <c r="G288" s="79"/>
      <c r="H288" s="79"/>
    </row>
    <row r="289">
      <c r="A289" s="79"/>
      <c r="B289" s="79"/>
      <c r="C289" s="79"/>
      <c r="D289" s="79"/>
      <c r="E289" s="79"/>
      <c r="F289" s="79"/>
      <c r="G289" s="79"/>
      <c r="H289" s="79"/>
    </row>
    <row r="290">
      <c r="A290" s="79"/>
      <c r="B290" s="79"/>
      <c r="C290" s="79"/>
      <c r="D290" s="79"/>
      <c r="E290" s="79"/>
      <c r="F290" s="79"/>
      <c r="G290" s="79"/>
      <c r="H290" s="79"/>
    </row>
    <row r="291">
      <c r="A291" s="79"/>
      <c r="B291" s="79"/>
      <c r="C291" s="79"/>
      <c r="D291" s="79"/>
      <c r="E291" s="79"/>
      <c r="F291" s="79"/>
      <c r="G291" s="79"/>
      <c r="H291" s="79"/>
    </row>
    <row r="292">
      <c r="A292" s="79"/>
      <c r="B292" s="79"/>
      <c r="C292" s="79"/>
      <c r="D292" s="79"/>
      <c r="E292" s="79"/>
      <c r="F292" s="79"/>
      <c r="G292" s="79"/>
      <c r="H292" s="79"/>
    </row>
    <row r="293">
      <c r="A293" s="79"/>
      <c r="B293" s="79"/>
      <c r="C293" s="79"/>
      <c r="D293" s="79"/>
      <c r="E293" s="79"/>
      <c r="F293" s="79"/>
      <c r="G293" s="79"/>
      <c r="H293" s="79"/>
    </row>
    <row r="294">
      <c r="A294" s="79"/>
      <c r="B294" s="79"/>
      <c r="C294" s="79"/>
      <c r="D294" s="79"/>
      <c r="E294" s="79"/>
      <c r="F294" s="79"/>
      <c r="G294" s="79"/>
      <c r="H294" s="79"/>
    </row>
    <row r="295">
      <c r="A295" s="79"/>
      <c r="B295" s="79"/>
      <c r="C295" s="79"/>
      <c r="D295" s="79"/>
      <c r="E295" s="79"/>
      <c r="F295" s="79"/>
      <c r="G295" s="79"/>
      <c r="H295" s="79"/>
    </row>
    <row r="296">
      <c r="A296" s="79"/>
      <c r="B296" s="79"/>
      <c r="C296" s="79"/>
      <c r="D296" s="79"/>
      <c r="E296" s="79"/>
      <c r="F296" s="79"/>
      <c r="G296" s="79"/>
      <c r="H296" s="79"/>
    </row>
    <row r="297">
      <c r="A297" s="79"/>
      <c r="B297" s="79"/>
      <c r="C297" s="79"/>
      <c r="D297" s="79"/>
      <c r="E297" s="79"/>
      <c r="F297" s="79"/>
      <c r="G297" s="79"/>
      <c r="H297" s="79"/>
    </row>
    <row r="298">
      <c r="A298" s="79"/>
      <c r="B298" s="79"/>
      <c r="C298" s="79"/>
      <c r="D298" s="79"/>
      <c r="E298" s="79"/>
      <c r="F298" s="79"/>
      <c r="G298" s="79"/>
      <c r="H298" s="79"/>
    </row>
    <row r="299">
      <c r="A299" s="79"/>
      <c r="B299" s="79"/>
      <c r="C299" s="79"/>
      <c r="D299" s="79"/>
      <c r="E299" s="79"/>
      <c r="F299" s="79"/>
      <c r="G299" s="79"/>
      <c r="H299" s="79"/>
    </row>
    <row r="300">
      <c r="A300" s="79"/>
      <c r="B300" s="79"/>
      <c r="C300" s="79"/>
      <c r="D300" s="79"/>
      <c r="E300" s="79"/>
      <c r="F300" s="79"/>
      <c r="G300" s="79"/>
      <c r="H300" s="79"/>
    </row>
    <row r="301">
      <c r="A301" s="79"/>
      <c r="B301" s="79"/>
      <c r="C301" s="79"/>
      <c r="D301" s="79"/>
      <c r="E301" s="79"/>
      <c r="F301" s="79"/>
      <c r="G301" s="79"/>
      <c r="H301" s="79"/>
    </row>
    <row r="302">
      <c r="A302" s="79"/>
      <c r="B302" s="79"/>
      <c r="C302" s="79"/>
      <c r="D302" s="79"/>
      <c r="E302" s="79"/>
      <c r="F302" s="79"/>
      <c r="G302" s="79"/>
      <c r="H302" s="79"/>
    </row>
    <row r="303">
      <c r="A303" s="79"/>
      <c r="B303" s="79"/>
      <c r="C303" s="79"/>
      <c r="D303" s="79"/>
      <c r="E303" s="79"/>
      <c r="F303" s="79"/>
      <c r="G303" s="79"/>
      <c r="H303" s="79"/>
    </row>
    <row r="304">
      <c r="A304" s="79"/>
      <c r="B304" s="79"/>
      <c r="C304" s="79"/>
      <c r="D304" s="79"/>
      <c r="E304" s="79"/>
      <c r="F304" s="79"/>
      <c r="G304" s="79"/>
      <c r="H304" s="79"/>
    </row>
    <row r="305">
      <c r="A305" s="79"/>
      <c r="B305" s="79"/>
      <c r="C305" s="79"/>
      <c r="D305" s="79"/>
      <c r="E305" s="79"/>
      <c r="F305" s="79"/>
      <c r="G305" s="79"/>
      <c r="H305" s="79"/>
    </row>
    <row r="306">
      <c r="A306" s="79"/>
      <c r="B306" s="79"/>
      <c r="C306" s="79"/>
      <c r="D306" s="79"/>
      <c r="E306" s="79"/>
      <c r="F306" s="79"/>
      <c r="G306" s="79"/>
      <c r="H306" s="79"/>
    </row>
    <row r="307">
      <c r="A307" s="79"/>
      <c r="B307" s="79"/>
      <c r="C307" s="79"/>
      <c r="D307" s="79"/>
      <c r="E307" s="79"/>
      <c r="F307" s="79"/>
      <c r="G307" s="79"/>
      <c r="H307" s="79"/>
    </row>
    <row r="308">
      <c r="A308" s="79"/>
      <c r="B308" s="79"/>
      <c r="C308" s="79"/>
      <c r="D308" s="79"/>
      <c r="E308" s="79"/>
      <c r="F308" s="79"/>
      <c r="G308" s="79"/>
      <c r="H308" s="79"/>
    </row>
    <row r="309">
      <c r="A309" s="79"/>
      <c r="B309" s="79"/>
      <c r="C309" s="79"/>
      <c r="D309" s="79"/>
      <c r="E309" s="79"/>
      <c r="F309" s="79"/>
      <c r="G309" s="79"/>
      <c r="H309" s="79"/>
    </row>
    <row r="310">
      <c r="A310" s="79"/>
      <c r="B310" s="79"/>
      <c r="C310" s="79"/>
      <c r="D310" s="79"/>
      <c r="E310" s="79"/>
      <c r="F310" s="79"/>
      <c r="G310" s="79"/>
      <c r="H310" s="79"/>
    </row>
    <row r="311">
      <c r="A311" s="79"/>
      <c r="B311" s="79"/>
      <c r="C311" s="79"/>
      <c r="D311" s="79"/>
      <c r="E311" s="79"/>
      <c r="F311" s="79"/>
      <c r="G311" s="79"/>
      <c r="H311" s="79"/>
    </row>
    <row r="312">
      <c r="A312" s="79"/>
      <c r="B312" s="79"/>
      <c r="C312" s="79"/>
      <c r="D312" s="79"/>
      <c r="E312" s="79"/>
      <c r="F312" s="79"/>
      <c r="G312" s="79"/>
      <c r="H312" s="79"/>
    </row>
    <row r="313">
      <c r="A313" s="79"/>
      <c r="B313" s="79"/>
      <c r="C313" s="79"/>
      <c r="D313" s="79"/>
      <c r="E313" s="79"/>
      <c r="F313" s="79"/>
      <c r="G313" s="79"/>
      <c r="H313" s="79"/>
    </row>
    <row r="314">
      <c r="A314" s="79"/>
      <c r="B314" s="79"/>
      <c r="C314" s="79"/>
      <c r="D314" s="79"/>
      <c r="E314" s="79"/>
      <c r="F314" s="79"/>
      <c r="G314" s="79"/>
      <c r="H314" s="79"/>
    </row>
    <row r="315">
      <c r="A315" s="79"/>
      <c r="B315" s="79"/>
      <c r="C315" s="79"/>
      <c r="D315" s="79"/>
      <c r="E315" s="79"/>
      <c r="F315" s="79"/>
      <c r="G315" s="79"/>
      <c r="H315" s="79"/>
    </row>
    <row r="316">
      <c r="A316" s="79"/>
      <c r="B316" s="79"/>
      <c r="C316" s="79"/>
      <c r="D316" s="79"/>
      <c r="E316" s="79"/>
      <c r="F316" s="79"/>
      <c r="G316" s="79"/>
      <c r="H316" s="79"/>
    </row>
    <row r="317">
      <c r="A317" s="79"/>
      <c r="B317" s="79"/>
      <c r="C317" s="79"/>
      <c r="D317" s="79"/>
      <c r="E317" s="79"/>
      <c r="F317" s="79"/>
      <c r="G317" s="79"/>
      <c r="H317" s="79"/>
    </row>
    <row r="318">
      <c r="A318" s="79"/>
      <c r="B318" s="79"/>
      <c r="C318" s="79"/>
      <c r="D318" s="79"/>
      <c r="E318" s="79"/>
      <c r="F318" s="79"/>
      <c r="G318" s="79"/>
      <c r="H318" s="79"/>
    </row>
    <row r="319">
      <c r="A319" s="79"/>
      <c r="B319" s="79"/>
      <c r="C319" s="79"/>
      <c r="D319" s="79"/>
      <c r="E319" s="79"/>
      <c r="F319" s="79"/>
      <c r="G319" s="79"/>
      <c r="H319" s="79"/>
    </row>
    <row r="320">
      <c r="A320" s="79"/>
      <c r="B320" s="79"/>
      <c r="C320" s="79"/>
      <c r="D320" s="79"/>
      <c r="E320" s="79"/>
      <c r="F320" s="79"/>
      <c r="G320" s="79"/>
      <c r="H320" s="79"/>
    </row>
    <row r="321">
      <c r="A321" s="79"/>
      <c r="B321" s="79"/>
      <c r="C321" s="79"/>
      <c r="D321" s="79"/>
      <c r="E321" s="79"/>
      <c r="F321" s="79"/>
      <c r="G321" s="79"/>
      <c r="H321" s="79"/>
    </row>
    <row r="322">
      <c r="A322" s="79"/>
      <c r="B322" s="79"/>
      <c r="C322" s="79"/>
      <c r="D322" s="79"/>
      <c r="E322" s="79"/>
      <c r="F322" s="79"/>
      <c r="G322" s="79"/>
      <c r="H322" s="79"/>
    </row>
    <row r="323">
      <c r="A323" s="79"/>
      <c r="B323" s="79"/>
      <c r="C323" s="79"/>
      <c r="D323" s="79"/>
      <c r="E323" s="79"/>
      <c r="F323" s="79"/>
      <c r="G323" s="79"/>
      <c r="H323" s="79"/>
    </row>
    <row r="324">
      <c r="A324" s="79"/>
      <c r="B324" s="79"/>
      <c r="C324" s="79"/>
      <c r="D324" s="79"/>
      <c r="E324" s="79"/>
      <c r="F324" s="79"/>
      <c r="G324" s="79"/>
      <c r="H324" s="79"/>
    </row>
    <row r="325">
      <c r="A325" s="79"/>
      <c r="B325" s="79"/>
      <c r="C325" s="79"/>
      <c r="D325" s="79"/>
      <c r="E325" s="79"/>
      <c r="F325" s="79"/>
      <c r="G325" s="79"/>
      <c r="H325" s="79"/>
    </row>
    <row r="326">
      <c r="A326" s="79"/>
      <c r="B326" s="79"/>
      <c r="C326" s="79"/>
      <c r="D326" s="79"/>
      <c r="E326" s="79"/>
      <c r="F326" s="79"/>
      <c r="G326" s="79"/>
      <c r="H326" s="79"/>
    </row>
    <row r="327">
      <c r="A327" s="79"/>
      <c r="B327" s="79"/>
      <c r="C327" s="79"/>
      <c r="D327" s="79"/>
      <c r="E327" s="79"/>
      <c r="F327" s="79"/>
      <c r="G327" s="79"/>
      <c r="H327" s="79"/>
    </row>
    <row r="328">
      <c r="A328" s="79"/>
      <c r="B328" s="79"/>
      <c r="C328" s="79"/>
      <c r="D328" s="79"/>
      <c r="E328" s="79"/>
      <c r="F328" s="79"/>
      <c r="G328" s="79"/>
      <c r="H328" s="79"/>
    </row>
    <row r="329">
      <c r="A329" s="79"/>
      <c r="B329" s="79"/>
      <c r="C329" s="79"/>
      <c r="D329" s="79"/>
      <c r="E329" s="79"/>
      <c r="F329" s="79"/>
      <c r="G329" s="79"/>
      <c r="H329" s="79"/>
    </row>
    <row r="330">
      <c r="A330" s="79"/>
      <c r="B330" s="79"/>
      <c r="C330" s="79"/>
      <c r="D330" s="79"/>
      <c r="E330" s="79"/>
      <c r="F330" s="79"/>
      <c r="G330" s="79"/>
      <c r="H330" s="79"/>
    </row>
    <row r="331">
      <c r="A331" s="79"/>
      <c r="B331" s="79"/>
      <c r="C331" s="79"/>
      <c r="D331" s="79"/>
      <c r="E331" s="79"/>
      <c r="F331" s="79"/>
      <c r="G331" s="79"/>
      <c r="H331" s="79"/>
    </row>
    <row r="332">
      <c r="A332" s="79"/>
      <c r="B332" s="79"/>
      <c r="C332" s="79"/>
      <c r="D332" s="79"/>
      <c r="E332" s="79"/>
      <c r="F332" s="79"/>
      <c r="G332" s="79"/>
      <c r="H332" s="79"/>
    </row>
    <row r="333">
      <c r="A333" s="79"/>
      <c r="B333" s="79"/>
      <c r="C333" s="79"/>
      <c r="D333" s="79"/>
      <c r="E333" s="79"/>
      <c r="F333" s="79"/>
      <c r="G333" s="79"/>
      <c r="H333" s="79"/>
    </row>
    <row r="334">
      <c r="A334" s="79"/>
      <c r="B334" s="79"/>
      <c r="C334" s="79"/>
      <c r="D334" s="79"/>
      <c r="E334" s="79"/>
      <c r="F334" s="79"/>
      <c r="G334" s="79"/>
      <c r="H334" s="79"/>
    </row>
    <row r="335">
      <c r="A335" s="79"/>
      <c r="B335" s="79"/>
      <c r="C335" s="79"/>
      <c r="D335" s="79"/>
      <c r="E335" s="79"/>
      <c r="F335" s="79"/>
      <c r="G335" s="79"/>
      <c r="H335" s="79"/>
    </row>
    <row r="336">
      <c r="A336" s="79"/>
      <c r="B336" s="79"/>
      <c r="C336" s="79"/>
      <c r="D336" s="79"/>
      <c r="E336" s="79"/>
      <c r="F336" s="79"/>
      <c r="G336" s="79"/>
      <c r="H336" s="79"/>
    </row>
    <row r="337">
      <c r="A337" s="79"/>
      <c r="B337" s="79"/>
      <c r="C337" s="79"/>
      <c r="D337" s="79"/>
      <c r="E337" s="79"/>
      <c r="F337" s="79"/>
      <c r="G337" s="79"/>
      <c r="H337" s="79"/>
    </row>
    <row r="338">
      <c r="A338" s="79"/>
      <c r="B338" s="79"/>
      <c r="C338" s="79"/>
      <c r="D338" s="79"/>
      <c r="E338" s="79"/>
      <c r="F338" s="79"/>
      <c r="G338" s="79"/>
      <c r="H338" s="79"/>
    </row>
    <row r="339">
      <c r="A339" s="79"/>
      <c r="B339" s="79"/>
      <c r="C339" s="79"/>
      <c r="D339" s="79"/>
      <c r="E339" s="79"/>
      <c r="F339" s="79"/>
      <c r="G339" s="79"/>
      <c r="H339" s="79"/>
    </row>
    <row r="340">
      <c r="A340" s="79"/>
      <c r="B340" s="79"/>
      <c r="C340" s="79"/>
      <c r="D340" s="79"/>
      <c r="E340" s="79"/>
      <c r="F340" s="79"/>
      <c r="G340" s="79"/>
      <c r="H340" s="79"/>
    </row>
    <row r="341">
      <c r="A341" s="79"/>
      <c r="B341" s="79"/>
      <c r="C341" s="79"/>
      <c r="D341" s="79"/>
      <c r="E341" s="79"/>
      <c r="F341" s="79"/>
      <c r="G341" s="79"/>
      <c r="H341" s="79"/>
    </row>
    <row r="342">
      <c r="A342" s="79"/>
      <c r="B342" s="79"/>
      <c r="C342" s="79"/>
      <c r="D342" s="79"/>
      <c r="E342" s="79"/>
      <c r="F342" s="79"/>
      <c r="G342" s="79"/>
      <c r="H342" s="79"/>
    </row>
    <row r="343">
      <c r="A343" s="79"/>
      <c r="B343" s="79"/>
      <c r="C343" s="79"/>
      <c r="D343" s="79"/>
      <c r="E343" s="79"/>
      <c r="F343" s="79"/>
      <c r="G343" s="79"/>
      <c r="H343" s="79"/>
    </row>
    <row r="344">
      <c r="A344" s="79"/>
      <c r="B344" s="79"/>
      <c r="C344" s="79"/>
      <c r="D344" s="79"/>
      <c r="E344" s="79"/>
      <c r="F344" s="79"/>
      <c r="G344" s="79"/>
      <c r="H344" s="79"/>
    </row>
    <row r="345">
      <c r="A345" s="79"/>
      <c r="B345" s="79"/>
      <c r="C345" s="79"/>
      <c r="D345" s="79"/>
      <c r="E345" s="79"/>
      <c r="F345" s="79"/>
      <c r="G345" s="79"/>
      <c r="H345" s="79"/>
    </row>
    <row r="346">
      <c r="A346" s="79"/>
      <c r="B346" s="79"/>
      <c r="C346" s="79"/>
      <c r="D346" s="79"/>
      <c r="E346" s="79"/>
      <c r="F346" s="79"/>
      <c r="G346" s="79"/>
      <c r="H346" s="79"/>
    </row>
    <row r="347">
      <c r="A347" s="79"/>
      <c r="B347" s="79"/>
      <c r="C347" s="79"/>
      <c r="D347" s="79"/>
      <c r="E347" s="79"/>
      <c r="F347" s="79"/>
      <c r="G347" s="79"/>
      <c r="H347" s="79"/>
    </row>
    <row r="348">
      <c r="A348" s="79"/>
      <c r="B348" s="79"/>
      <c r="C348" s="79"/>
      <c r="D348" s="79"/>
      <c r="E348" s="79"/>
      <c r="F348" s="79"/>
      <c r="G348" s="79"/>
      <c r="H348" s="79"/>
    </row>
    <row r="349">
      <c r="A349" s="79"/>
      <c r="B349" s="79"/>
      <c r="C349" s="79"/>
      <c r="D349" s="79"/>
      <c r="E349" s="79"/>
      <c r="F349" s="79"/>
      <c r="G349" s="79"/>
      <c r="H349" s="79"/>
    </row>
    <row r="350">
      <c r="A350" s="79"/>
      <c r="B350" s="79"/>
      <c r="C350" s="79"/>
      <c r="D350" s="79"/>
      <c r="E350" s="79"/>
      <c r="F350" s="79"/>
      <c r="G350" s="79"/>
      <c r="H350" s="79"/>
    </row>
    <row r="351">
      <c r="A351" s="79"/>
      <c r="B351" s="79"/>
      <c r="C351" s="79"/>
      <c r="D351" s="79"/>
      <c r="E351" s="79"/>
      <c r="F351" s="79"/>
      <c r="G351" s="79"/>
      <c r="H351" s="79"/>
    </row>
    <row r="352">
      <c r="A352" s="79"/>
      <c r="B352" s="79"/>
      <c r="C352" s="79"/>
      <c r="D352" s="79"/>
      <c r="E352" s="79"/>
      <c r="F352" s="79"/>
      <c r="G352" s="79"/>
      <c r="H352" s="79"/>
    </row>
    <row r="353">
      <c r="A353" s="79"/>
      <c r="B353" s="79"/>
      <c r="C353" s="79"/>
      <c r="D353" s="79"/>
      <c r="E353" s="79"/>
      <c r="F353" s="79"/>
      <c r="G353" s="79"/>
      <c r="H353" s="79"/>
    </row>
    <row r="354">
      <c r="A354" s="79"/>
      <c r="B354" s="79"/>
      <c r="C354" s="79"/>
      <c r="D354" s="79"/>
      <c r="E354" s="79"/>
      <c r="F354" s="79"/>
      <c r="G354" s="79"/>
      <c r="H354" s="79"/>
    </row>
    <row r="355">
      <c r="A355" s="79"/>
      <c r="B355" s="79"/>
      <c r="C355" s="79"/>
      <c r="D355" s="79"/>
      <c r="E355" s="79"/>
      <c r="F355" s="79"/>
      <c r="G355" s="79"/>
      <c r="H355" s="79"/>
    </row>
    <row r="356">
      <c r="A356" s="79"/>
      <c r="B356" s="79"/>
      <c r="C356" s="79"/>
      <c r="D356" s="79"/>
      <c r="E356" s="79"/>
      <c r="F356" s="79"/>
      <c r="G356" s="79"/>
      <c r="H356" s="79"/>
    </row>
    <row r="357">
      <c r="A357" s="79"/>
      <c r="B357" s="79"/>
      <c r="C357" s="79"/>
      <c r="D357" s="79"/>
      <c r="E357" s="79"/>
      <c r="F357" s="79"/>
      <c r="G357" s="79"/>
      <c r="H357" s="79"/>
    </row>
    <row r="358">
      <c r="A358" s="79"/>
      <c r="B358" s="79"/>
      <c r="C358" s="79"/>
      <c r="D358" s="79"/>
      <c r="E358" s="79"/>
      <c r="F358" s="79"/>
      <c r="G358" s="79"/>
      <c r="H358" s="79"/>
    </row>
    <row r="359">
      <c r="A359" s="79"/>
      <c r="B359" s="79"/>
      <c r="C359" s="79"/>
      <c r="D359" s="79"/>
      <c r="E359" s="79"/>
      <c r="F359" s="79"/>
      <c r="G359" s="79"/>
      <c r="H359" s="79"/>
    </row>
    <row r="360">
      <c r="A360" s="79"/>
      <c r="B360" s="79"/>
      <c r="C360" s="79"/>
      <c r="D360" s="79"/>
      <c r="E360" s="79"/>
      <c r="F360" s="79"/>
      <c r="G360" s="79"/>
      <c r="H360" s="79"/>
    </row>
    <row r="361">
      <c r="A361" s="79"/>
      <c r="B361" s="79"/>
      <c r="C361" s="79"/>
      <c r="D361" s="79"/>
      <c r="E361" s="79"/>
      <c r="F361" s="79"/>
      <c r="G361" s="79"/>
      <c r="H361" s="79"/>
    </row>
    <row r="362">
      <c r="A362" s="79"/>
      <c r="B362" s="79"/>
      <c r="C362" s="79"/>
      <c r="D362" s="79"/>
      <c r="E362" s="79"/>
      <c r="F362" s="79"/>
      <c r="G362" s="79"/>
      <c r="H362" s="79"/>
    </row>
    <row r="363">
      <c r="A363" s="79"/>
      <c r="B363" s="79"/>
      <c r="C363" s="79"/>
      <c r="D363" s="79"/>
      <c r="E363" s="79"/>
      <c r="F363" s="79"/>
      <c r="G363" s="79"/>
      <c r="H363" s="79"/>
    </row>
    <row r="364">
      <c r="A364" s="79"/>
      <c r="B364" s="79"/>
      <c r="C364" s="79"/>
      <c r="D364" s="79"/>
      <c r="E364" s="79"/>
      <c r="F364" s="79"/>
      <c r="G364" s="79"/>
      <c r="H364" s="79"/>
    </row>
    <row r="365">
      <c r="A365" s="79"/>
      <c r="B365" s="79"/>
      <c r="C365" s="79"/>
      <c r="D365" s="79"/>
      <c r="E365" s="79"/>
      <c r="F365" s="79"/>
      <c r="G365" s="79"/>
      <c r="H365" s="79"/>
    </row>
    <row r="366">
      <c r="A366" s="79"/>
      <c r="B366" s="79"/>
      <c r="C366" s="79"/>
      <c r="D366" s="79"/>
      <c r="E366" s="79"/>
      <c r="F366" s="79"/>
      <c r="G366" s="79"/>
      <c r="H366" s="79"/>
    </row>
    <row r="367">
      <c r="A367" s="79"/>
      <c r="B367" s="79"/>
      <c r="C367" s="79"/>
      <c r="D367" s="79"/>
      <c r="E367" s="79"/>
      <c r="F367" s="79"/>
      <c r="G367" s="79"/>
      <c r="H367" s="79"/>
    </row>
    <row r="368">
      <c r="A368" s="79"/>
      <c r="B368" s="79"/>
      <c r="C368" s="79"/>
      <c r="D368" s="79"/>
      <c r="E368" s="79"/>
      <c r="F368" s="79"/>
      <c r="G368" s="79"/>
      <c r="H368" s="79"/>
    </row>
    <row r="369">
      <c r="A369" s="79"/>
      <c r="B369" s="79"/>
      <c r="C369" s="79"/>
      <c r="D369" s="79"/>
      <c r="E369" s="79"/>
      <c r="F369" s="79"/>
      <c r="G369" s="79"/>
      <c r="H369" s="79"/>
    </row>
    <row r="370">
      <c r="A370" s="79"/>
      <c r="B370" s="79"/>
      <c r="C370" s="79"/>
      <c r="D370" s="79"/>
      <c r="E370" s="79"/>
      <c r="F370" s="79"/>
      <c r="G370" s="79"/>
      <c r="H370" s="79"/>
    </row>
    <row r="371">
      <c r="A371" s="79"/>
      <c r="B371" s="79"/>
      <c r="C371" s="79"/>
      <c r="D371" s="79"/>
      <c r="E371" s="79"/>
      <c r="F371" s="79"/>
      <c r="G371" s="79"/>
      <c r="H371" s="79"/>
    </row>
    <row r="372">
      <c r="A372" s="79"/>
      <c r="B372" s="79"/>
      <c r="C372" s="79"/>
      <c r="D372" s="79"/>
      <c r="E372" s="79"/>
      <c r="F372" s="79"/>
      <c r="G372" s="79"/>
      <c r="H372" s="79"/>
    </row>
    <row r="373">
      <c r="A373" s="79"/>
      <c r="B373" s="79"/>
      <c r="C373" s="79"/>
      <c r="D373" s="79"/>
      <c r="E373" s="79"/>
      <c r="F373" s="79"/>
      <c r="G373" s="79"/>
      <c r="H373" s="79"/>
    </row>
    <row r="374">
      <c r="A374" s="79"/>
      <c r="B374" s="79"/>
      <c r="C374" s="79"/>
      <c r="D374" s="79"/>
      <c r="E374" s="79"/>
      <c r="F374" s="79"/>
      <c r="G374" s="79"/>
      <c r="H374" s="79"/>
    </row>
    <row r="375">
      <c r="A375" s="79"/>
      <c r="B375" s="79"/>
      <c r="C375" s="79"/>
      <c r="D375" s="79"/>
      <c r="E375" s="79"/>
      <c r="F375" s="79"/>
      <c r="G375" s="79"/>
      <c r="H375" s="79"/>
    </row>
    <row r="376">
      <c r="A376" s="79"/>
      <c r="B376" s="79"/>
      <c r="C376" s="79"/>
      <c r="D376" s="79"/>
      <c r="E376" s="79"/>
      <c r="F376" s="79"/>
      <c r="G376" s="79"/>
      <c r="H376" s="79"/>
    </row>
    <row r="377">
      <c r="A377" s="79"/>
      <c r="B377" s="79"/>
      <c r="C377" s="79"/>
      <c r="D377" s="79"/>
      <c r="E377" s="79"/>
      <c r="F377" s="79"/>
      <c r="G377" s="79"/>
      <c r="H377" s="79"/>
    </row>
    <row r="378">
      <c r="A378" s="79"/>
      <c r="B378" s="79"/>
      <c r="C378" s="79"/>
      <c r="D378" s="79"/>
      <c r="E378" s="79"/>
      <c r="F378" s="79"/>
      <c r="G378" s="79"/>
      <c r="H378" s="79"/>
    </row>
    <row r="379">
      <c r="A379" s="79"/>
      <c r="B379" s="79"/>
      <c r="C379" s="79"/>
      <c r="D379" s="79"/>
      <c r="E379" s="79"/>
      <c r="F379" s="79"/>
      <c r="G379" s="79"/>
      <c r="H379" s="79"/>
    </row>
    <row r="380">
      <c r="A380" s="79"/>
      <c r="B380" s="79"/>
      <c r="C380" s="79"/>
      <c r="D380" s="79"/>
      <c r="E380" s="79"/>
      <c r="F380" s="79"/>
      <c r="G380" s="79"/>
      <c r="H380" s="79"/>
    </row>
    <row r="381">
      <c r="A381" s="79"/>
      <c r="B381" s="79"/>
      <c r="C381" s="79"/>
      <c r="D381" s="79"/>
      <c r="E381" s="79"/>
      <c r="F381" s="79"/>
      <c r="G381" s="79"/>
      <c r="H381" s="79"/>
    </row>
    <row r="382">
      <c r="A382" s="79"/>
      <c r="B382" s="79"/>
      <c r="C382" s="79"/>
      <c r="D382" s="79"/>
      <c r="E382" s="79"/>
      <c r="F382" s="79"/>
      <c r="G382" s="79"/>
      <c r="H382" s="79"/>
    </row>
    <row r="383">
      <c r="A383" s="79"/>
      <c r="B383" s="79"/>
      <c r="C383" s="79"/>
      <c r="D383" s="79"/>
      <c r="E383" s="79"/>
      <c r="F383" s="79"/>
      <c r="G383" s="79"/>
      <c r="H383" s="79"/>
    </row>
    <row r="384">
      <c r="A384" s="79"/>
      <c r="B384" s="79"/>
      <c r="C384" s="79"/>
      <c r="D384" s="79"/>
      <c r="E384" s="79"/>
      <c r="F384" s="79"/>
      <c r="G384" s="79"/>
      <c r="H384" s="79"/>
    </row>
    <row r="385">
      <c r="A385" s="79"/>
      <c r="B385" s="79"/>
      <c r="C385" s="79"/>
      <c r="D385" s="79"/>
      <c r="E385" s="79"/>
      <c r="F385" s="79"/>
      <c r="G385" s="79"/>
      <c r="H385" s="79"/>
    </row>
    <row r="386">
      <c r="A386" s="79"/>
      <c r="B386" s="79"/>
      <c r="C386" s="79"/>
      <c r="D386" s="79"/>
      <c r="E386" s="79"/>
      <c r="F386" s="79"/>
      <c r="G386" s="79"/>
      <c r="H386" s="79"/>
    </row>
    <row r="387">
      <c r="A387" s="79"/>
      <c r="B387" s="79"/>
      <c r="C387" s="79"/>
      <c r="D387" s="79"/>
      <c r="E387" s="79"/>
      <c r="F387" s="79"/>
      <c r="G387" s="79"/>
      <c r="H387" s="79"/>
    </row>
    <row r="388">
      <c r="A388" s="79"/>
      <c r="B388" s="79"/>
      <c r="C388" s="79"/>
      <c r="D388" s="79"/>
      <c r="E388" s="79"/>
      <c r="F388" s="79"/>
      <c r="G388" s="79"/>
      <c r="H388" s="79"/>
    </row>
    <row r="389">
      <c r="A389" s="79"/>
      <c r="B389" s="79"/>
      <c r="C389" s="79"/>
      <c r="D389" s="79"/>
      <c r="E389" s="79"/>
      <c r="F389" s="79"/>
      <c r="G389" s="79"/>
      <c r="H389" s="79"/>
    </row>
    <row r="390">
      <c r="A390" s="79"/>
      <c r="B390" s="79"/>
      <c r="C390" s="79"/>
      <c r="D390" s="79"/>
      <c r="E390" s="79"/>
      <c r="F390" s="79"/>
      <c r="G390" s="79"/>
      <c r="H390" s="79"/>
    </row>
    <row r="391">
      <c r="A391" s="79"/>
      <c r="B391" s="79"/>
      <c r="C391" s="79"/>
      <c r="D391" s="79"/>
      <c r="E391" s="79"/>
      <c r="F391" s="79"/>
      <c r="G391" s="79"/>
      <c r="H391" s="79"/>
    </row>
    <row r="392">
      <c r="A392" s="79"/>
      <c r="B392" s="79"/>
      <c r="C392" s="79"/>
      <c r="D392" s="79"/>
      <c r="E392" s="79"/>
      <c r="F392" s="79"/>
      <c r="G392" s="79"/>
      <c r="H392" s="79"/>
    </row>
    <row r="393">
      <c r="A393" s="79"/>
      <c r="B393" s="79"/>
      <c r="C393" s="79"/>
      <c r="D393" s="79"/>
      <c r="E393" s="79"/>
      <c r="F393" s="79"/>
      <c r="G393" s="79"/>
      <c r="H393" s="79"/>
    </row>
    <row r="394">
      <c r="A394" s="79"/>
      <c r="B394" s="79"/>
      <c r="C394" s="79"/>
      <c r="D394" s="79"/>
      <c r="E394" s="79"/>
      <c r="F394" s="79"/>
      <c r="G394" s="79"/>
      <c r="H394" s="79"/>
    </row>
    <row r="395">
      <c r="A395" s="79"/>
      <c r="B395" s="79"/>
      <c r="C395" s="79"/>
      <c r="D395" s="79"/>
      <c r="E395" s="79"/>
      <c r="F395" s="79"/>
      <c r="G395" s="79"/>
      <c r="H395" s="79"/>
    </row>
    <row r="396">
      <c r="A396" s="79"/>
      <c r="B396" s="79"/>
      <c r="C396" s="79"/>
      <c r="D396" s="79"/>
      <c r="E396" s="79"/>
      <c r="F396" s="79"/>
      <c r="G396" s="79"/>
      <c r="H396" s="79"/>
    </row>
    <row r="397">
      <c r="A397" s="79"/>
      <c r="B397" s="79"/>
      <c r="C397" s="79"/>
      <c r="D397" s="79"/>
      <c r="E397" s="79"/>
      <c r="F397" s="79"/>
      <c r="G397" s="79"/>
      <c r="H397" s="79"/>
    </row>
    <row r="398">
      <c r="A398" s="79"/>
      <c r="B398" s="79"/>
      <c r="C398" s="79"/>
      <c r="D398" s="79"/>
      <c r="E398" s="79"/>
      <c r="F398" s="79"/>
      <c r="G398" s="79"/>
      <c r="H398" s="79"/>
    </row>
    <row r="399">
      <c r="A399" s="79"/>
      <c r="B399" s="79"/>
      <c r="C399" s="79"/>
      <c r="D399" s="79"/>
      <c r="E399" s="79"/>
      <c r="F399" s="79"/>
      <c r="G399" s="79"/>
      <c r="H399" s="79"/>
    </row>
    <row r="400">
      <c r="A400" s="79"/>
      <c r="B400" s="79"/>
      <c r="C400" s="79"/>
      <c r="D400" s="79"/>
      <c r="E400" s="79"/>
      <c r="F400" s="79"/>
      <c r="G400" s="79"/>
      <c r="H400" s="79"/>
    </row>
    <row r="401">
      <c r="A401" s="79"/>
      <c r="B401" s="79"/>
      <c r="C401" s="79"/>
      <c r="D401" s="79"/>
      <c r="E401" s="79"/>
      <c r="F401" s="79"/>
      <c r="G401" s="79"/>
      <c r="H401" s="79"/>
    </row>
    <row r="402">
      <c r="A402" s="79"/>
      <c r="B402" s="79"/>
      <c r="C402" s="79"/>
      <c r="D402" s="79"/>
      <c r="E402" s="79"/>
      <c r="F402" s="79"/>
      <c r="G402" s="79"/>
      <c r="H402" s="79"/>
    </row>
    <row r="403">
      <c r="A403" s="79"/>
      <c r="B403" s="79"/>
      <c r="C403" s="79"/>
      <c r="D403" s="79"/>
      <c r="E403" s="79"/>
      <c r="F403" s="79"/>
      <c r="G403" s="79"/>
      <c r="H403" s="79"/>
    </row>
    <row r="404">
      <c r="A404" s="79"/>
      <c r="B404" s="79"/>
      <c r="C404" s="79"/>
      <c r="D404" s="79"/>
      <c r="E404" s="79"/>
      <c r="F404" s="79"/>
      <c r="G404" s="79"/>
      <c r="H404" s="79"/>
    </row>
    <row r="405">
      <c r="A405" s="79"/>
      <c r="B405" s="79"/>
      <c r="C405" s="79"/>
      <c r="D405" s="79"/>
      <c r="E405" s="79"/>
      <c r="F405" s="79"/>
      <c r="G405" s="79"/>
      <c r="H405" s="79"/>
    </row>
    <row r="406">
      <c r="A406" s="79"/>
      <c r="B406" s="79"/>
      <c r="C406" s="79"/>
      <c r="D406" s="79"/>
      <c r="E406" s="79"/>
      <c r="F406" s="79"/>
      <c r="G406" s="79"/>
      <c r="H406" s="79"/>
    </row>
    <row r="407">
      <c r="A407" s="79"/>
      <c r="B407" s="79"/>
      <c r="C407" s="79"/>
      <c r="D407" s="79"/>
      <c r="E407" s="79"/>
      <c r="F407" s="79"/>
      <c r="G407" s="79"/>
      <c r="H407" s="79"/>
    </row>
    <row r="408">
      <c r="A408" s="79"/>
      <c r="B408" s="79"/>
      <c r="C408" s="79"/>
      <c r="D408" s="79"/>
      <c r="E408" s="79"/>
      <c r="F408" s="79"/>
      <c r="G408" s="79"/>
      <c r="H408" s="79"/>
    </row>
    <row r="409">
      <c r="A409" s="79"/>
      <c r="B409" s="79"/>
      <c r="C409" s="79"/>
      <c r="D409" s="79"/>
      <c r="E409" s="79"/>
      <c r="F409" s="79"/>
      <c r="G409" s="79"/>
      <c r="H409" s="79"/>
    </row>
    <row r="410">
      <c r="A410" s="79"/>
      <c r="B410" s="79"/>
      <c r="C410" s="79"/>
      <c r="D410" s="79"/>
      <c r="E410" s="79"/>
      <c r="F410" s="79"/>
      <c r="G410" s="79"/>
      <c r="H410" s="79"/>
    </row>
    <row r="411">
      <c r="A411" s="79"/>
      <c r="B411" s="79"/>
      <c r="C411" s="79"/>
      <c r="D411" s="79"/>
      <c r="E411" s="79"/>
      <c r="F411" s="79"/>
      <c r="G411" s="79"/>
      <c r="H411" s="79"/>
    </row>
    <row r="412">
      <c r="A412" s="79"/>
      <c r="B412" s="79"/>
      <c r="C412" s="79"/>
      <c r="D412" s="79"/>
      <c r="E412" s="79"/>
      <c r="F412" s="79"/>
      <c r="G412" s="79"/>
      <c r="H412" s="79"/>
    </row>
    <row r="413">
      <c r="A413" s="79"/>
      <c r="B413" s="79"/>
      <c r="C413" s="79"/>
      <c r="D413" s="79"/>
      <c r="E413" s="79"/>
      <c r="F413" s="79"/>
      <c r="G413" s="79"/>
      <c r="H413" s="79"/>
    </row>
    <row r="414">
      <c r="A414" s="79"/>
      <c r="B414" s="79"/>
      <c r="C414" s="79"/>
      <c r="D414" s="79"/>
      <c r="E414" s="79"/>
      <c r="F414" s="79"/>
      <c r="G414" s="79"/>
      <c r="H414" s="79"/>
    </row>
    <row r="415">
      <c r="A415" s="79"/>
      <c r="B415" s="79"/>
      <c r="C415" s="79"/>
      <c r="D415" s="79"/>
      <c r="E415" s="79"/>
      <c r="F415" s="79"/>
      <c r="G415" s="79"/>
      <c r="H415" s="79"/>
    </row>
    <row r="416">
      <c r="A416" s="79"/>
      <c r="B416" s="79"/>
      <c r="C416" s="79"/>
      <c r="D416" s="79"/>
      <c r="E416" s="79"/>
      <c r="F416" s="79"/>
      <c r="G416" s="79"/>
      <c r="H416" s="79"/>
    </row>
    <row r="417">
      <c r="A417" s="79"/>
      <c r="B417" s="79"/>
      <c r="C417" s="79"/>
      <c r="D417" s="79"/>
      <c r="E417" s="79"/>
      <c r="F417" s="79"/>
      <c r="G417" s="79"/>
      <c r="H417" s="79"/>
    </row>
    <row r="418">
      <c r="A418" s="79"/>
      <c r="B418" s="79"/>
      <c r="C418" s="79"/>
      <c r="D418" s="79"/>
      <c r="E418" s="79"/>
      <c r="F418" s="79"/>
      <c r="G418" s="79"/>
      <c r="H418" s="79"/>
    </row>
    <row r="419">
      <c r="A419" s="79"/>
      <c r="B419" s="79"/>
      <c r="C419" s="79"/>
      <c r="D419" s="79"/>
      <c r="E419" s="79"/>
      <c r="F419" s="79"/>
      <c r="G419" s="79"/>
      <c r="H419" s="79"/>
    </row>
    <row r="420">
      <c r="A420" s="79"/>
      <c r="B420" s="79"/>
      <c r="C420" s="79"/>
      <c r="D420" s="79"/>
      <c r="E420" s="79"/>
      <c r="F420" s="79"/>
      <c r="G420" s="79"/>
      <c r="H420" s="79"/>
    </row>
    <row r="421">
      <c r="A421" s="79"/>
      <c r="B421" s="79"/>
      <c r="C421" s="79"/>
      <c r="D421" s="79"/>
      <c r="E421" s="79"/>
      <c r="F421" s="79"/>
      <c r="G421" s="79"/>
      <c r="H421" s="79"/>
    </row>
    <row r="422">
      <c r="A422" s="79"/>
      <c r="B422" s="79"/>
      <c r="C422" s="79"/>
      <c r="D422" s="79"/>
      <c r="E422" s="79"/>
      <c r="F422" s="79"/>
      <c r="G422" s="79"/>
      <c r="H422" s="79"/>
    </row>
    <row r="423">
      <c r="A423" s="79"/>
      <c r="B423" s="79"/>
      <c r="C423" s="79"/>
      <c r="D423" s="79"/>
      <c r="E423" s="79"/>
      <c r="F423" s="79"/>
      <c r="G423" s="79"/>
      <c r="H423" s="79"/>
    </row>
    <row r="424">
      <c r="A424" s="79"/>
      <c r="B424" s="79"/>
      <c r="C424" s="79"/>
      <c r="D424" s="79"/>
      <c r="E424" s="79"/>
      <c r="F424" s="79"/>
      <c r="G424" s="79"/>
      <c r="H424" s="79"/>
    </row>
    <row r="425">
      <c r="A425" s="79"/>
      <c r="B425" s="79"/>
      <c r="C425" s="79"/>
      <c r="D425" s="79"/>
      <c r="E425" s="79"/>
      <c r="F425" s="79"/>
      <c r="G425" s="79"/>
      <c r="H425" s="79"/>
    </row>
    <row r="426">
      <c r="A426" s="79"/>
      <c r="B426" s="79"/>
      <c r="C426" s="79"/>
      <c r="D426" s="79"/>
      <c r="E426" s="79"/>
      <c r="F426" s="79"/>
      <c r="G426" s="79"/>
      <c r="H426" s="79"/>
    </row>
    <row r="427">
      <c r="A427" s="79"/>
      <c r="B427" s="79"/>
      <c r="C427" s="79"/>
      <c r="D427" s="79"/>
      <c r="E427" s="79"/>
      <c r="F427" s="79"/>
      <c r="G427" s="79"/>
      <c r="H427" s="79"/>
    </row>
    <row r="428">
      <c r="A428" s="79"/>
      <c r="B428" s="79"/>
      <c r="C428" s="79"/>
      <c r="D428" s="79"/>
      <c r="E428" s="79"/>
      <c r="F428" s="79"/>
      <c r="G428" s="79"/>
      <c r="H428" s="79"/>
    </row>
    <row r="429">
      <c r="A429" s="79"/>
      <c r="B429" s="79"/>
      <c r="C429" s="79"/>
      <c r="D429" s="79"/>
      <c r="E429" s="79"/>
      <c r="F429" s="79"/>
      <c r="G429" s="79"/>
      <c r="H429" s="79"/>
    </row>
    <row r="430">
      <c r="A430" s="79"/>
      <c r="B430" s="79"/>
      <c r="C430" s="79"/>
      <c r="D430" s="79"/>
      <c r="E430" s="79"/>
      <c r="F430" s="79"/>
      <c r="G430" s="79"/>
      <c r="H430" s="79"/>
    </row>
    <row r="431">
      <c r="A431" s="79"/>
      <c r="B431" s="79"/>
      <c r="C431" s="79"/>
      <c r="D431" s="79"/>
      <c r="E431" s="79"/>
      <c r="F431" s="79"/>
      <c r="G431" s="79"/>
      <c r="H431" s="79"/>
    </row>
    <row r="432">
      <c r="A432" s="79"/>
      <c r="B432" s="79"/>
      <c r="C432" s="79"/>
      <c r="D432" s="79"/>
      <c r="E432" s="79"/>
      <c r="F432" s="79"/>
      <c r="G432" s="79"/>
      <c r="H432" s="79"/>
    </row>
    <row r="433">
      <c r="A433" s="79"/>
      <c r="B433" s="79"/>
      <c r="C433" s="79"/>
      <c r="D433" s="79"/>
      <c r="E433" s="79"/>
      <c r="F433" s="79"/>
      <c r="G433" s="79"/>
      <c r="H433" s="79"/>
    </row>
    <row r="434">
      <c r="A434" s="79"/>
      <c r="B434" s="79"/>
      <c r="C434" s="79"/>
      <c r="D434" s="79"/>
      <c r="E434" s="79"/>
      <c r="F434" s="79"/>
      <c r="G434" s="79"/>
      <c r="H434" s="79"/>
    </row>
    <row r="435">
      <c r="A435" s="79"/>
      <c r="B435" s="79"/>
      <c r="C435" s="79"/>
      <c r="D435" s="79"/>
      <c r="E435" s="79"/>
      <c r="F435" s="79"/>
      <c r="G435" s="79"/>
      <c r="H435" s="79"/>
    </row>
    <row r="436">
      <c r="A436" s="79"/>
      <c r="B436" s="79"/>
      <c r="C436" s="79"/>
      <c r="D436" s="79"/>
      <c r="E436" s="79"/>
      <c r="F436" s="79"/>
      <c r="G436" s="79"/>
      <c r="H436" s="79"/>
    </row>
    <row r="437">
      <c r="A437" s="79"/>
      <c r="B437" s="79"/>
      <c r="C437" s="79"/>
      <c r="D437" s="79"/>
      <c r="E437" s="79"/>
      <c r="F437" s="79"/>
      <c r="G437" s="79"/>
      <c r="H437" s="79"/>
    </row>
    <row r="438">
      <c r="A438" s="79"/>
      <c r="B438" s="79"/>
      <c r="C438" s="79"/>
      <c r="D438" s="79"/>
      <c r="E438" s="79"/>
      <c r="F438" s="79"/>
      <c r="G438" s="79"/>
      <c r="H438" s="79"/>
    </row>
    <row r="439">
      <c r="A439" s="79"/>
      <c r="B439" s="79"/>
      <c r="C439" s="79"/>
      <c r="D439" s="79"/>
      <c r="E439" s="79"/>
      <c r="F439" s="79"/>
      <c r="G439" s="79"/>
      <c r="H439" s="79"/>
    </row>
    <row r="440">
      <c r="A440" s="79"/>
      <c r="B440" s="79"/>
      <c r="C440" s="79"/>
      <c r="D440" s="79"/>
      <c r="E440" s="79"/>
      <c r="F440" s="79"/>
      <c r="G440" s="79"/>
      <c r="H440" s="79"/>
    </row>
    <row r="441">
      <c r="A441" s="79"/>
      <c r="B441" s="79"/>
      <c r="C441" s="79"/>
      <c r="D441" s="79"/>
      <c r="E441" s="79"/>
      <c r="F441" s="79"/>
      <c r="G441" s="79"/>
      <c r="H441" s="79"/>
    </row>
    <row r="442">
      <c r="A442" s="79"/>
      <c r="B442" s="79"/>
      <c r="C442" s="79"/>
      <c r="D442" s="79"/>
      <c r="E442" s="79"/>
      <c r="F442" s="79"/>
      <c r="G442" s="79"/>
      <c r="H442" s="79"/>
    </row>
    <row r="443">
      <c r="A443" s="79"/>
      <c r="B443" s="79"/>
      <c r="C443" s="79"/>
      <c r="D443" s="79"/>
      <c r="E443" s="79"/>
      <c r="F443" s="79"/>
      <c r="G443" s="79"/>
      <c r="H443" s="79"/>
    </row>
    <row r="444">
      <c r="A444" s="79"/>
      <c r="B444" s="79"/>
      <c r="C444" s="79"/>
      <c r="D444" s="79"/>
      <c r="E444" s="79"/>
      <c r="F444" s="79"/>
      <c r="G444" s="79"/>
      <c r="H444" s="79"/>
    </row>
    <row r="445">
      <c r="A445" s="79"/>
      <c r="B445" s="79"/>
      <c r="C445" s="79"/>
      <c r="D445" s="79"/>
      <c r="E445" s="79"/>
      <c r="F445" s="79"/>
      <c r="G445" s="79"/>
      <c r="H445" s="79"/>
    </row>
    <row r="446">
      <c r="A446" s="79"/>
      <c r="B446" s="79"/>
      <c r="C446" s="79"/>
      <c r="D446" s="79"/>
      <c r="E446" s="79"/>
      <c r="F446" s="79"/>
      <c r="G446" s="79"/>
      <c r="H446" s="79"/>
    </row>
    <row r="447">
      <c r="A447" s="79"/>
      <c r="B447" s="79"/>
      <c r="C447" s="79"/>
      <c r="D447" s="79"/>
      <c r="E447" s="79"/>
      <c r="F447" s="79"/>
      <c r="G447" s="79"/>
      <c r="H447" s="79"/>
    </row>
    <row r="448">
      <c r="A448" s="79"/>
      <c r="B448" s="79"/>
      <c r="C448" s="79"/>
      <c r="D448" s="79"/>
      <c r="E448" s="79"/>
      <c r="F448" s="79"/>
      <c r="G448" s="79"/>
      <c r="H448" s="79"/>
    </row>
    <row r="449">
      <c r="A449" s="79"/>
      <c r="B449" s="79"/>
      <c r="C449" s="79"/>
      <c r="D449" s="79"/>
      <c r="E449" s="79"/>
      <c r="F449" s="79"/>
      <c r="G449" s="79"/>
      <c r="H449" s="79"/>
    </row>
    <row r="450">
      <c r="A450" s="79"/>
      <c r="B450" s="79"/>
      <c r="C450" s="79"/>
      <c r="D450" s="79"/>
      <c r="E450" s="79"/>
      <c r="F450" s="79"/>
      <c r="G450" s="79"/>
      <c r="H450" s="79"/>
    </row>
    <row r="451">
      <c r="A451" s="79"/>
      <c r="B451" s="79"/>
      <c r="C451" s="79"/>
      <c r="D451" s="79"/>
      <c r="E451" s="79"/>
      <c r="F451" s="79"/>
      <c r="G451" s="79"/>
      <c r="H451" s="79"/>
    </row>
    <row r="452">
      <c r="A452" s="79"/>
      <c r="B452" s="79"/>
      <c r="C452" s="79"/>
      <c r="D452" s="79"/>
      <c r="E452" s="79"/>
      <c r="F452" s="79"/>
      <c r="G452" s="79"/>
      <c r="H452" s="79"/>
    </row>
    <row r="453">
      <c r="A453" s="79"/>
      <c r="B453" s="79"/>
      <c r="C453" s="79"/>
      <c r="D453" s="79"/>
      <c r="E453" s="79"/>
      <c r="F453" s="79"/>
      <c r="G453" s="79"/>
      <c r="H453" s="79"/>
    </row>
    <row r="454">
      <c r="A454" s="79"/>
      <c r="B454" s="79"/>
      <c r="C454" s="79"/>
      <c r="D454" s="79"/>
      <c r="E454" s="79"/>
      <c r="F454" s="79"/>
      <c r="G454" s="79"/>
      <c r="H454" s="79"/>
    </row>
    <row r="455">
      <c r="A455" s="79"/>
      <c r="B455" s="79"/>
      <c r="C455" s="79"/>
      <c r="D455" s="79"/>
      <c r="E455" s="79"/>
      <c r="F455" s="79"/>
      <c r="G455" s="79"/>
      <c r="H455" s="79"/>
    </row>
    <row r="456">
      <c r="A456" s="79"/>
      <c r="B456" s="79"/>
      <c r="C456" s="79"/>
      <c r="D456" s="79"/>
      <c r="E456" s="79"/>
      <c r="F456" s="79"/>
      <c r="G456" s="79"/>
      <c r="H456" s="79"/>
    </row>
    <row r="457">
      <c r="A457" s="79"/>
      <c r="B457" s="79"/>
      <c r="C457" s="79"/>
      <c r="D457" s="79"/>
      <c r="E457" s="79"/>
      <c r="F457" s="79"/>
      <c r="G457" s="79"/>
      <c r="H457" s="79"/>
    </row>
    <row r="458">
      <c r="A458" s="79"/>
      <c r="B458" s="79"/>
      <c r="C458" s="79"/>
      <c r="D458" s="79"/>
      <c r="E458" s="79"/>
      <c r="F458" s="79"/>
      <c r="G458" s="79"/>
      <c r="H458" s="79"/>
    </row>
    <row r="459">
      <c r="A459" s="79"/>
      <c r="B459" s="79"/>
      <c r="C459" s="79"/>
      <c r="D459" s="79"/>
      <c r="E459" s="79"/>
      <c r="F459" s="79"/>
      <c r="G459" s="79"/>
      <c r="H459" s="79"/>
    </row>
    <row r="460">
      <c r="A460" s="79"/>
      <c r="B460" s="79"/>
      <c r="C460" s="79"/>
      <c r="D460" s="79"/>
      <c r="E460" s="79"/>
      <c r="F460" s="79"/>
      <c r="G460" s="79"/>
      <c r="H460" s="79"/>
    </row>
    <row r="461">
      <c r="A461" s="79"/>
      <c r="B461" s="79"/>
      <c r="C461" s="79"/>
      <c r="D461" s="79"/>
      <c r="E461" s="79"/>
      <c r="F461" s="79"/>
      <c r="G461" s="79"/>
      <c r="H461" s="79"/>
    </row>
    <row r="462">
      <c r="A462" s="79"/>
      <c r="B462" s="79"/>
      <c r="C462" s="79"/>
      <c r="D462" s="79"/>
      <c r="E462" s="79"/>
      <c r="F462" s="79"/>
      <c r="G462" s="79"/>
      <c r="H462" s="79"/>
    </row>
    <row r="463">
      <c r="A463" s="79"/>
      <c r="B463" s="79"/>
      <c r="C463" s="79"/>
      <c r="D463" s="79"/>
      <c r="E463" s="79"/>
      <c r="F463" s="79"/>
      <c r="G463" s="79"/>
      <c r="H463" s="79"/>
    </row>
    <row r="464">
      <c r="A464" s="79"/>
      <c r="B464" s="79"/>
      <c r="C464" s="79"/>
      <c r="D464" s="79"/>
      <c r="E464" s="79"/>
      <c r="F464" s="79"/>
      <c r="G464" s="79"/>
      <c r="H464" s="79"/>
    </row>
    <row r="465">
      <c r="A465" s="79"/>
      <c r="B465" s="79"/>
      <c r="C465" s="79"/>
      <c r="D465" s="79"/>
      <c r="E465" s="79"/>
      <c r="F465" s="79"/>
      <c r="G465" s="79"/>
      <c r="H465" s="79"/>
    </row>
    <row r="466">
      <c r="A466" s="79"/>
      <c r="B466" s="79"/>
      <c r="C466" s="79"/>
      <c r="D466" s="79"/>
      <c r="E466" s="79"/>
      <c r="F466" s="79"/>
      <c r="G466" s="79"/>
      <c r="H466" s="79"/>
    </row>
    <row r="467">
      <c r="A467" s="79"/>
      <c r="B467" s="79"/>
      <c r="C467" s="79"/>
      <c r="D467" s="79"/>
      <c r="E467" s="79"/>
      <c r="F467" s="79"/>
      <c r="G467" s="79"/>
      <c r="H467" s="79"/>
    </row>
    <row r="468">
      <c r="A468" s="79"/>
      <c r="B468" s="79"/>
      <c r="C468" s="79"/>
      <c r="D468" s="79"/>
      <c r="E468" s="79"/>
      <c r="F468" s="79"/>
      <c r="G468" s="79"/>
      <c r="H468" s="79"/>
    </row>
    <row r="469">
      <c r="A469" s="79"/>
      <c r="B469" s="79"/>
      <c r="C469" s="79"/>
      <c r="D469" s="79"/>
      <c r="E469" s="79"/>
      <c r="F469" s="79"/>
      <c r="G469" s="79"/>
      <c r="H469" s="79"/>
    </row>
    <row r="470">
      <c r="A470" s="79"/>
      <c r="B470" s="79"/>
      <c r="C470" s="79"/>
      <c r="D470" s="79"/>
      <c r="E470" s="79"/>
      <c r="F470" s="79"/>
      <c r="G470" s="79"/>
      <c r="H470" s="79"/>
    </row>
    <row r="471">
      <c r="A471" s="79"/>
      <c r="B471" s="79"/>
      <c r="C471" s="79"/>
      <c r="D471" s="79"/>
      <c r="E471" s="79"/>
      <c r="F471" s="79"/>
      <c r="G471" s="79"/>
      <c r="H471" s="79"/>
    </row>
    <row r="472">
      <c r="A472" s="79"/>
      <c r="B472" s="79"/>
      <c r="C472" s="79"/>
      <c r="D472" s="79"/>
      <c r="E472" s="79"/>
      <c r="F472" s="79"/>
      <c r="G472" s="79"/>
      <c r="H472" s="79"/>
    </row>
    <row r="473">
      <c r="A473" s="79"/>
      <c r="B473" s="79"/>
      <c r="C473" s="79"/>
      <c r="D473" s="79"/>
      <c r="E473" s="79"/>
      <c r="F473" s="79"/>
      <c r="G473" s="79"/>
      <c r="H473" s="79"/>
    </row>
    <row r="474">
      <c r="A474" s="79"/>
      <c r="B474" s="79"/>
      <c r="C474" s="79"/>
      <c r="D474" s="79"/>
      <c r="E474" s="79"/>
      <c r="F474" s="79"/>
      <c r="G474" s="79"/>
      <c r="H474" s="79"/>
    </row>
    <row r="475">
      <c r="A475" s="79"/>
      <c r="B475" s="79"/>
      <c r="C475" s="79"/>
      <c r="D475" s="79"/>
      <c r="E475" s="79"/>
      <c r="F475" s="79"/>
      <c r="G475" s="79"/>
      <c r="H475" s="79"/>
    </row>
    <row r="476">
      <c r="A476" s="79"/>
      <c r="B476" s="79"/>
      <c r="C476" s="79"/>
      <c r="D476" s="79"/>
      <c r="E476" s="79"/>
      <c r="F476" s="79"/>
      <c r="G476" s="79"/>
      <c r="H476" s="79"/>
    </row>
    <row r="477">
      <c r="A477" s="79"/>
      <c r="B477" s="79"/>
      <c r="C477" s="79"/>
      <c r="D477" s="79"/>
      <c r="E477" s="79"/>
      <c r="F477" s="79"/>
      <c r="G477" s="79"/>
      <c r="H477" s="79"/>
    </row>
    <row r="478">
      <c r="A478" s="79"/>
      <c r="B478" s="79"/>
      <c r="C478" s="79"/>
      <c r="D478" s="79"/>
      <c r="E478" s="79"/>
      <c r="F478" s="79"/>
      <c r="G478" s="79"/>
      <c r="H478" s="79"/>
    </row>
    <row r="479">
      <c r="A479" s="79"/>
      <c r="B479" s="79"/>
      <c r="C479" s="79"/>
      <c r="D479" s="79"/>
      <c r="E479" s="79"/>
      <c r="F479" s="79"/>
      <c r="G479" s="79"/>
      <c r="H479" s="79"/>
    </row>
    <row r="480">
      <c r="A480" s="79"/>
      <c r="B480" s="79"/>
      <c r="C480" s="79"/>
      <c r="D480" s="79"/>
      <c r="E480" s="79"/>
      <c r="F480" s="79"/>
      <c r="G480" s="79"/>
      <c r="H480" s="79"/>
    </row>
    <row r="481">
      <c r="A481" s="79"/>
      <c r="B481" s="79"/>
      <c r="C481" s="79"/>
      <c r="D481" s="79"/>
      <c r="E481" s="79"/>
      <c r="F481" s="79"/>
      <c r="G481" s="79"/>
      <c r="H481" s="79"/>
    </row>
    <row r="482">
      <c r="A482" s="79"/>
      <c r="B482" s="79"/>
      <c r="C482" s="79"/>
      <c r="D482" s="79"/>
      <c r="E482" s="79"/>
      <c r="F482" s="79"/>
      <c r="G482" s="79"/>
      <c r="H482" s="79"/>
    </row>
    <row r="483">
      <c r="A483" s="79"/>
      <c r="B483" s="79"/>
      <c r="C483" s="79"/>
      <c r="D483" s="79"/>
      <c r="E483" s="79"/>
      <c r="F483" s="79"/>
      <c r="G483" s="79"/>
      <c r="H483" s="79"/>
    </row>
    <row r="484">
      <c r="A484" s="79"/>
      <c r="B484" s="79"/>
      <c r="C484" s="79"/>
      <c r="D484" s="79"/>
      <c r="E484" s="79"/>
      <c r="F484" s="79"/>
      <c r="G484" s="79"/>
      <c r="H484" s="79"/>
    </row>
    <row r="485">
      <c r="A485" s="79"/>
      <c r="B485" s="79"/>
      <c r="C485" s="79"/>
      <c r="D485" s="79"/>
      <c r="E485" s="79"/>
      <c r="F485" s="79"/>
      <c r="G485" s="79"/>
      <c r="H485" s="79"/>
    </row>
    <row r="486">
      <c r="A486" s="79"/>
      <c r="B486" s="79"/>
      <c r="C486" s="79"/>
      <c r="D486" s="79"/>
      <c r="E486" s="79"/>
      <c r="F486" s="79"/>
      <c r="G486" s="79"/>
      <c r="H486" s="79"/>
    </row>
    <row r="487">
      <c r="A487" s="79"/>
      <c r="B487" s="79"/>
      <c r="C487" s="79"/>
      <c r="D487" s="79"/>
      <c r="E487" s="79"/>
      <c r="F487" s="79"/>
      <c r="G487" s="79"/>
      <c r="H487" s="79"/>
    </row>
    <row r="488">
      <c r="A488" s="79"/>
      <c r="B488" s="79"/>
      <c r="C488" s="79"/>
      <c r="D488" s="79"/>
      <c r="E488" s="79"/>
      <c r="F488" s="79"/>
      <c r="G488" s="79"/>
      <c r="H488" s="79"/>
    </row>
    <row r="489">
      <c r="A489" s="79"/>
      <c r="B489" s="79"/>
      <c r="C489" s="79"/>
      <c r="D489" s="79"/>
      <c r="E489" s="79"/>
      <c r="F489" s="79"/>
      <c r="G489" s="79"/>
      <c r="H489" s="79"/>
    </row>
    <row r="490">
      <c r="A490" s="79"/>
      <c r="B490" s="79"/>
      <c r="C490" s="79"/>
      <c r="D490" s="79"/>
      <c r="E490" s="79"/>
      <c r="F490" s="79"/>
      <c r="G490" s="79"/>
      <c r="H490" s="79"/>
    </row>
    <row r="491">
      <c r="A491" s="79"/>
      <c r="B491" s="79"/>
      <c r="C491" s="79"/>
      <c r="D491" s="79"/>
      <c r="E491" s="79"/>
      <c r="F491" s="79"/>
      <c r="G491" s="79"/>
      <c r="H491" s="79"/>
    </row>
    <row r="492">
      <c r="A492" s="79"/>
      <c r="B492" s="79"/>
      <c r="C492" s="79"/>
      <c r="D492" s="79"/>
      <c r="E492" s="79"/>
      <c r="F492" s="79"/>
      <c r="G492" s="79"/>
      <c r="H492" s="79"/>
    </row>
    <row r="493">
      <c r="A493" s="79"/>
      <c r="B493" s="79"/>
      <c r="C493" s="79"/>
      <c r="D493" s="79"/>
      <c r="E493" s="79"/>
      <c r="F493" s="79"/>
      <c r="G493" s="79"/>
      <c r="H493" s="79"/>
    </row>
    <row r="494">
      <c r="A494" s="79"/>
      <c r="B494" s="79"/>
      <c r="C494" s="79"/>
      <c r="D494" s="79"/>
      <c r="E494" s="79"/>
      <c r="F494" s="79"/>
      <c r="G494" s="79"/>
      <c r="H494" s="79"/>
    </row>
    <row r="495">
      <c r="A495" s="79"/>
      <c r="B495" s="79"/>
      <c r="C495" s="79"/>
      <c r="D495" s="79"/>
      <c r="E495" s="79"/>
      <c r="F495" s="79"/>
      <c r="G495" s="79"/>
      <c r="H495" s="79"/>
    </row>
    <row r="496">
      <c r="A496" s="79"/>
      <c r="B496" s="79"/>
      <c r="C496" s="79"/>
      <c r="D496" s="79"/>
      <c r="E496" s="79"/>
      <c r="F496" s="79"/>
      <c r="G496" s="79"/>
      <c r="H496" s="79"/>
    </row>
    <row r="497">
      <c r="A497" s="79"/>
      <c r="B497" s="79"/>
      <c r="C497" s="79"/>
      <c r="D497" s="79"/>
      <c r="E497" s="79"/>
      <c r="F497" s="79"/>
      <c r="G497" s="79"/>
      <c r="H497" s="79"/>
    </row>
    <row r="498">
      <c r="A498" s="79"/>
      <c r="B498" s="79"/>
      <c r="C498" s="79"/>
      <c r="D498" s="79"/>
      <c r="E498" s="79"/>
      <c r="F498" s="79"/>
      <c r="G498" s="79"/>
      <c r="H498" s="79"/>
    </row>
    <row r="499">
      <c r="A499" s="79"/>
      <c r="B499" s="79"/>
      <c r="C499" s="79"/>
      <c r="D499" s="79"/>
      <c r="E499" s="79"/>
      <c r="F499" s="79"/>
      <c r="G499" s="79"/>
      <c r="H499" s="79"/>
    </row>
    <row r="500">
      <c r="A500" s="79"/>
      <c r="B500" s="79"/>
      <c r="C500" s="79"/>
      <c r="D500" s="79"/>
      <c r="E500" s="79"/>
      <c r="F500" s="79"/>
      <c r="G500" s="79"/>
      <c r="H500" s="79"/>
    </row>
    <row r="501">
      <c r="A501" s="79"/>
      <c r="B501" s="79"/>
      <c r="C501" s="79"/>
      <c r="D501" s="79"/>
      <c r="E501" s="79"/>
      <c r="F501" s="79"/>
      <c r="G501" s="79"/>
      <c r="H501" s="79"/>
    </row>
    <row r="502">
      <c r="A502" s="79"/>
      <c r="B502" s="79"/>
      <c r="C502" s="79"/>
      <c r="D502" s="79"/>
      <c r="E502" s="79"/>
      <c r="F502" s="79"/>
      <c r="G502" s="79"/>
      <c r="H502" s="79"/>
    </row>
    <row r="503">
      <c r="A503" s="79"/>
      <c r="B503" s="79"/>
      <c r="C503" s="79"/>
      <c r="D503" s="79"/>
      <c r="E503" s="79"/>
      <c r="F503" s="79"/>
      <c r="G503" s="79"/>
      <c r="H503" s="79"/>
    </row>
    <row r="504">
      <c r="A504" s="79"/>
      <c r="B504" s="79"/>
      <c r="C504" s="79"/>
      <c r="D504" s="79"/>
      <c r="E504" s="79"/>
      <c r="F504" s="79"/>
      <c r="G504" s="79"/>
      <c r="H504" s="79"/>
    </row>
    <row r="505">
      <c r="A505" s="79"/>
      <c r="B505" s="79"/>
      <c r="C505" s="79"/>
      <c r="D505" s="79"/>
      <c r="E505" s="79"/>
      <c r="F505" s="79"/>
      <c r="G505" s="79"/>
      <c r="H505" s="79"/>
    </row>
    <row r="506">
      <c r="A506" s="79"/>
      <c r="B506" s="79"/>
      <c r="C506" s="79"/>
      <c r="D506" s="79"/>
      <c r="E506" s="79"/>
      <c r="F506" s="79"/>
      <c r="G506" s="79"/>
      <c r="H506" s="79"/>
    </row>
    <row r="507">
      <c r="A507" s="79"/>
      <c r="B507" s="79"/>
      <c r="C507" s="79"/>
      <c r="D507" s="79"/>
      <c r="E507" s="79"/>
      <c r="F507" s="79"/>
      <c r="G507" s="79"/>
      <c r="H507" s="79"/>
    </row>
    <row r="508">
      <c r="A508" s="79"/>
      <c r="B508" s="79"/>
      <c r="C508" s="79"/>
      <c r="D508" s="79"/>
      <c r="E508" s="79"/>
      <c r="F508" s="79"/>
      <c r="G508" s="79"/>
      <c r="H508" s="79"/>
    </row>
    <row r="509">
      <c r="A509" s="79"/>
      <c r="B509" s="79"/>
      <c r="C509" s="79"/>
      <c r="D509" s="79"/>
      <c r="E509" s="79"/>
      <c r="F509" s="79"/>
      <c r="G509" s="79"/>
      <c r="H509" s="79"/>
    </row>
    <row r="510">
      <c r="A510" s="79"/>
      <c r="B510" s="79"/>
      <c r="C510" s="79"/>
      <c r="D510" s="79"/>
      <c r="E510" s="79"/>
      <c r="F510" s="79"/>
      <c r="G510" s="79"/>
      <c r="H510" s="79"/>
    </row>
    <row r="511">
      <c r="A511" s="79"/>
      <c r="B511" s="79"/>
      <c r="C511" s="79"/>
      <c r="D511" s="79"/>
      <c r="E511" s="79"/>
      <c r="F511" s="79"/>
      <c r="G511" s="79"/>
      <c r="H511" s="79"/>
    </row>
    <row r="512">
      <c r="A512" s="79"/>
      <c r="B512" s="79"/>
      <c r="C512" s="79"/>
      <c r="D512" s="79"/>
      <c r="E512" s="79"/>
      <c r="F512" s="79"/>
      <c r="G512" s="79"/>
      <c r="H512" s="79"/>
    </row>
    <row r="513">
      <c r="A513" s="79"/>
      <c r="B513" s="79"/>
      <c r="C513" s="79"/>
      <c r="D513" s="79"/>
      <c r="E513" s="79"/>
      <c r="F513" s="79"/>
      <c r="G513" s="79"/>
      <c r="H513" s="79"/>
    </row>
    <row r="514">
      <c r="A514" s="79"/>
      <c r="B514" s="79"/>
      <c r="C514" s="79"/>
      <c r="D514" s="79"/>
      <c r="E514" s="79"/>
      <c r="F514" s="79"/>
      <c r="G514" s="79"/>
      <c r="H514" s="79"/>
    </row>
    <row r="515">
      <c r="A515" s="79"/>
      <c r="B515" s="79"/>
      <c r="C515" s="79"/>
      <c r="D515" s="79"/>
      <c r="E515" s="79"/>
      <c r="F515" s="79"/>
      <c r="G515" s="79"/>
      <c r="H515" s="79"/>
    </row>
    <row r="516">
      <c r="A516" s="79"/>
      <c r="B516" s="79"/>
      <c r="C516" s="79"/>
      <c r="D516" s="79"/>
      <c r="E516" s="79"/>
      <c r="F516" s="79"/>
      <c r="G516" s="79"/>
      <c r="H516" s="79"/>
    </row>
    <row r="517">
      <c r="A517" s="79"/>
      <c r="B517" s="79"/>
      <c r="C517" s="79"/>
      <c r="D517" s="79"/>
      <c r="E517" s="79"/>
      <c r="F517" s="79"/>
      <c r="G517" s="79"/>
      <c r="H517" s="79"/>
    </row>
    <row r="518">
      <c r="A518" s="79"/>
      <c r="B518" s="79"/>
      <c r="C518" s="79"/>
      <c r="D518" s="79"/>
      <c r="E518" s="79"/>
      <c r="F518" s="79"/>
      <c r="G518" s="79"/>
      <c r="H518" s="79"/>
    </row>
    <row r="519">
      <c r="A519" s="79"/>
      <c r="B519" s="79"/>
      <c r="C519" s="79"/>
      <c r="D519" s="79"/>
      <c r="E519" s="79"/>
      <c r="F519" s="79"/>
      <c r="G519" s="79"/>
      <c r="H519" s="79"/>
    </row>
    <row r="520">
      <c r="A520" s="79"/>
      <c r="B520" s="79"/>
      <c r="C520" s="79"/>
      <c r="D520" s="79"/>
      <c r="E520" s="79"/>
      <c r="F520" s="79"/>
      <c r="G520" s="79"/>
      <c r="H520" s="79"/>
    </row>
    <row r="521">
      <c r="A521" s="79"/>
      <c r="B521" s="79"/>
      <c r="C521" s="79"/>
      <c r="D521" s="79"/>
      <c r="E521" s="79"/>
      <c r="F521" s="79"/>
      <c r="G521" s="79"/>
      <c r="H521" s="79"/>
    </row>
    <row r="522">
      <c r="A522" s="79"/>
      <c r="B522" s="79"/>
      <c r="C522" s="79"/>
      <c r="D522" s="79"/>
      <c r="E522" s="79"/>
      <c r="F522" s="79"/>
      <c r="G522" s="79"/>
      <c r="H522" s="79"/>
    </row>
    <row r="523">
      <c r="A523" s="79"/>
      <c r="B523" s="79"/>
      <c r="C523" s="79"/>
      <c r="D523" s="79"/>
      <c r="E523" s="79"/>
      <c r="F523" s="79"/>
      <c r="G523" s="79"/>
      <c r="H523" s="79"/>
    </row>
    <row r="524">
      <c r="A524" s="79"/>
      <c r="B524" s="79"/>
      <c r="C524" s="79"/>
      <c r="D524" s="79"/>
      <c r="E524" s="79"/>
      <c r="F524" s="79"/>
      <c r="G524" s="79"/>
      <c r="H524" s="79"/>
    </row>
    <row r="525">
      <c r="A525" s="79"/>
      <c r="B525" s="79"/>
      <c r="C525" s="79"/>
      <c r="D525" s="79"/>
      <c r="E525" s="79"/>
      <c r="F525" s="79"/>
      <c r="G525" s="79"/>
      <c r="H525" s="79"/>
    </row>
    <row r="526">
      <c r="A526" s="79"/>
      <c r="B526" s="79"/>
      <c r="C526" s="79"/>
      <c r="D526" s="79"/>
      <c r="E526" s="79"/>
      <c r="F526" s="79"/>
      <c r="G526" s="79"/>
      <c r="H526" s="79"/>
    </row>
    <row r="527">
      <c r="A527" s="79"/>
      <c r="B527" s="79"/>
      <c r="C527" s="79"/>
      <c r="D527" s="79"/>
      <c r="E527" s="79"/>
      <c r="F527" s="79"/>
      <c r="G527" s="79"/>
      <c r="H527" s="79"/>
    </row>
    <row r="528">
      <c r="A528" s="79"/>
      <c r="B528" s="79"/>
      <c r="C528" s="79"/>
      <c r="D528" s="79"/>
      <c r="E528" s="79"/>
      <c r="F528" s="79"/>
      <c r="G528" s="79"/>
      <c r="H528" s="79"/>
    </row>
    <row r="529">
      <c r="A529" s="79"/>
      <c r="B529" s="79"/>
      <c r="C529" s="79"/>
      <c r="D529" s="79"/>
      <c r="E529" s="79"/>
      <c r="F529" s="79"/>
      <c r="G529" s="79"/>
      <c r="H529" s="79"/>
    </row>
    <row r="530">
      <c r="A530" s="79"/>
      <c r="B530" s="79"/>
      <c r="C530" s="79"/>
      <c r="D530" s="79"/>
      <c r="E530" s="79"/>
      <c r="F530" s="79"/>
      <c r="G530" s="79"/>
      <c r="H530" s="79"/>
    </row>
    <row r="531">
      <c r="A531" s="79"/>
      <c r="B531" s="79"/>
      <c r="C531" s="79"/>
      <c r="D531" s="79"/>
      <c r="E531" s="79"/>
      <c r="F531" s="79"/>
      <c r="G531" s="79"/>
      <c r="H531" s="79"/>
    </row>
    <row r="532">
      <c r="A532" s="79"/>
      <c r="B532" s="79"/>
      <c r="C532" s="79"/>
      <c r="D532" s="79"/>
      <c r="E532" s="79"/>
      <c r="F532" s="79"/>
      <c r="G532" s="79"/>
      <c r="H532" s="79"/>
    </row>
    <row r="533">
      <c r="A533" s="79"/>
      <c r="B533" s="79"/>
      <c r="C533" s="79"/>
      <c r="D533" s="79"/>
      <c r="E533" s="79"/>
      <c r="F533" s="79"/>
      <c r="G533" s="79"/>
      <c r="H533" s="79"/>
    </row>
    <row r="534">
      <c r="A534" s="79"/>
      <c r="B534" s="79"/>
      <c r="C534" s="79"/>
      <c r="D534" s="79"/>
      <c r="E534" s="79"/>
      <c r="F534" s="79"/>
      <c r="G534" s="79"/>
      <c r="H534" s="79"/>
    </row>
    <row r="535">
      <c r="A535" s="79"/>
      <c r="B535" s="79"/>
      <c r="C535" s="79"/>
      <c r="D535" s="79"/>
      <c r="E535" s="79"/>
      <c r="F535" s="79"/>
      <c r="G535" s="79"/>
      <c r="H535" s="79"/>
    </row>
    <row r="536">
      <c r="A536" s="79"/>
      <c r="B536" s="79"/>
      <c r="C536" s="79"/>
      <c r="D536" s="79"/>
      <c r="E536" s="79"/>
      <c r="F536" s="79"/>
      <c r="G536" s="79"/>
      <c r="H536" s="79"/>
    </row>
    <row r="537">
      <c r="A537" s="79"/>
      <c r="B537" s="79"/>
      <c r="C537" s="79"/>
      <c r="D537" s="79"/>
      <c r="E537" s="79"/>
      <c r="F537" s="79"/>
      <c r="G537" s="79"/>
      <c r="H537" s="79"/>
    </row>
    <row r="538">
      <c r="A538" s="79"/>
      <c r="B538" s="79"/>
      <c r="C538" s="79"/>
      <c r="D538" s="79"/>
      <c r="E538" s="79"/>
      <c r="F538" s="79"/>
      <c r="G538" s="79"/>
      <c r="H538" s="79"/>
    </row>
    <row r="539">
      <c r="A539" s="79"/>
      <c r="B539" s="79"/>
      <c r="C539" s="79"/>
      <c r="D539" s="79"/>
      <c r="E539" s="79"/>
      <c r="F539" s="79"/>
      <c r="G539" s="79"/>
      <c r="H539" s="79"/>
    </row>
    <row r="540">
      <c r="A540" s="79"/>
      <c r="B540" s="79"/>
      <c r="C540" s="79"/>
      <c r="D540" s="79"/>
      <c r="E540" s="79"/>
      <c r="F540" s="79"/>
      <c r="G540" s="79"/>
      <c r="H540" s="79"/>
    </row>
    <row r="541">
      <c r="A541" s="79"/>
      <c r="B541" s="79"/>
      <c r="C541" s="79"/>
      <c r="D541" s="79"/>
      <c r="E541" s="79"/>
      <c r="F541" s="79"/>
      <c r="G541" s="79"/>
      <c r="H541" s="79"/>
    </row>
    <row r="542">
      <c r="A542" s="79"/>
      <c r="B542" s="79"/>
      <c r="C542" s="79"/>
      <c r="D542" s="79"/>
      <c r="E542" s="79"/>
      <c r="F542" s="79"/>
      <c r="G542" s="79"/>
      <c r="H542" s="79"/>
    </row>
    <row r="543">
      <c r="A543" s="79"/>
      <c r="B543" s="79"/>
      <c r="C543" s="79"/>
      <c r="D543" s="79"/>
      <c r="E543" s="79"/>
      <c r="F543" s="79"/>
      <c r="G543" s="79"/>
      <c r="H543" s="79"/>
    </row>
    <row r="544">
      <c r="A544" s="79"/>
      <c r="B544" s="79"/>
      <c r="C544" s="79"/>
      <c r="D544" s="79"/>
      <c r="E544" s="79"/>
      <c r="F544" s="79"/>
      <c r="G544" s="79"/>
      <c r="H544" s="79"/>
    </row>
    <row r="545">
      <c r="A545" s="79"/>
      <c r="B545" s="79"/>
      <c r="C545" s="79"/>
      <c r="D545" s="79"/>
      <c r="E545" s="79"/>
      <c r="F545" s="79"/>
      <c r="G545" s="79"/>
      <c r="H545" s="79"/>
    </row>
    <row r="546">
      <c r="A546" s="79"/>
      <c r="B546" s="79"/>
      <c r="C546" s="79"/>
      <c r="D546" s="79"/>
      <c r="E546" s="79"/>
      <c r="F546" s="79"/>
      <c r="G546" s="79"/>
      <c r="H546" s="79"/>
    </row>
    <row r="547">
      <c r="A547" s="79"/>
      <c r="B547" s="79"/>
      <c r="C547" s="79"/>
      <c r="D547" s="79"/>
      <c r="E547" s="79"/>
      <c r="F547" s="79"/>
      <c r="G547" s="79"/>
      <c r="H547" s="79"/>
    </row>
    <row r="548">
      <c r="A548" s="79"/>
      <c r="B548" s="79"/>
      <c r="C548" s="79"/>
      <c r="D548" s="79"/>
      <c r="E548" s="79"/>
      <c r="F548" s="79"/>
      <c r="G548" s="79"/>
      <c r="H548" s="79"/>
    </row>
    <row r="549">
      <c r="A549" s="79"/>
      <c r="B549" s="79"/>
      <c r="C549" s="79"/>
      <c r="D549" s="79"/>
      <c r="E549" s="79"/>
      <c r="F549" s="79"/>
      <c r="G549" s="79"/>
      <c r="H549" s="79"/>
    </row>
    <row r="550">
      <c r="A550" s="79"/>
      <c r="B550" s="79"/>
      <c r="C550" s="79"/>
      <c r="D550" s="79"/>
      <c r="E550" s="79"/>
      <c r="F550" s="79"/>
      <c r="G550" s="79"/>
      <c r="H550" s="79"/>
    </row>
    <row r="551">
      <c r="A551" s="79"/>
      <c r="B551" s="79"/>
      <c r="C551" s="79"/>
      <c r="D551" s="79"/>
      <c r="E551" s="79"/>
      <c r="F551" s="79"/>
      <c r="G551" s="79"/>
      <c r="H551" s="79"/>
    </row>
    <row r="552">
      <c r="A552" s="79"/>
      <c r="B552" s="79"/>
      <c r="C552" s="79"/>
      <c r="D552" s="79"/>
      <c r="E552" s="79"/>
      <c r="F552" s="79"/>
      <c r="G552" s="79"/>
      <c r="H552" s="79"/>
    </row>
    <row r="553">
      <c r="A553" s="79"/>
      <c r="B553" s="79"/>
      <c r="C553" s="79"/>
      <c r="D553" s="79"/>
      <c r="E553" s="79"/>
      <c r="F553" s="79"/>
      <c r="G553" s="79"/>
      <c r="H553" s="79"/>
    </row>
    <row r="554">
      <c r="A554" s="79"/>
      <c r="B554" s="79"/>
      <c r="C554" s="79"/>
      <c r="D554" s="79"/>
      <c r="E554" s="79"/>
      <c r="F554" s="79"/>
      <c r="G554" s="79"/>
      <c r="H554" s="79"/>
    </row>
    <row r="555">
      <c r="A555" s="79"/>
      <c r="B555" s="79"/>
      <c r="C555" s="79"/>
      <c r="D555" s="79"/>
      <c r="E555" s="79"/>
      <c r="F555" s="79"/>
      <c r="G555" s="79"/>
      <c r="H555" s="79"/>
    </row>
    <row r="556">
      <c r="A556" s="79"/>
      <c r="B556" s="79"/>
      <c r="C556" s="79"/>
      <c r="D556" s="79"/>
      <c r="E556" s="79"/>
      <c r="F556" s="79"/>
      <c r="G556" s="79"/>
      <c r="H556" s="79"/>
    </row>
    <row r="557">
      <c r="A557" s="79"/>
      <c r="B557" s="79"/>
      <c r="C557" s="79"/>
      <c r="D557" s="79"/>
      <c r="E557" s="79"/>
      <c r="F557" s="79"/>
      <c r="G557" s="79"/>
      <c r="H557" s="79"/>
    </row>
    <row r="558">
      <c r="A558" s="79"/>
      <c r="B558" s="79"/>
      <c r="C558" s="79"/>
      <c r="D558" s="79"/>
      <c r="E558" s="79"/>
      <c r="F558" s="79"/>
      <c r="G558" s="79"/>
      <c r="H558" s="79"/>
    </row>
    <row r="559">
      <c r="A559" s="79"/>
      <c r="B559" s="79"/>
      <c r="C559" s="79"/>
      <c r="D559" s="79"/>
      <c r="E559" s="79"/>
      <c r="F559" s="79"/>
      <c r="G559" s="79"/>
      <c r="H559" s="79"/>
    </row>
    <row r="560">
      <c r="A560" s="79"/>
      <c r="B560" s="79"/>
      <c r="C560" s="79"/>
      <c r="D560" s="79"/>
      <c r="E560" s="79"/>
      <c r="F560" s="79"/>
      <c r="G560" s="79"/>
      <c r="H560" s="79"/>
    </row>
    <row r="561">
      <c r="A561" s="79"/>
      <c r="B561" s="79"/>
      <c r="C561" s="79"/>
      <c r="D561" s="79"/>
      <c r="E561" s="79"/>
      <c r="F561" s="79"/>
      <c r="G561" s="79"/>
      <c r="H561" s="79"/>
    </row>
    <row r="562">
      <c r="A562" s="79"/>
      <c r="B562" s="79"/>
      <c r="C562" s="79"/>
      <c r="D562" s="79"/>
      <c r="E562" s="79"/>
      <c r="F562" s="79"/>
      <c r="G562" s="79"/>
      <c r="H562" s="79"/>
    </row>
    <row r="563">
      <c r="A563" s="79"/>
      <c r="B563" s="79"/>
      <c r="C563" s="79"/>
      <c r="D563" s="79"/>
      <c r="E563" s="79"/>
      <c r="F563" s="79"/>
      <c r="G563" s="79"/>
      <c r="H563" s="79"/>
    </row>
    <row r="564">
      <c r="A564" s="79"/>
      <c r="B564" s="79"/>
      <c r="C564" s="79"/>
      <c r="D564" s="79"/>
      <c r="E564" s="79"/>
      <c r="F564" s="79"/>
      <c r="G564" s="79"/>
      <c r="H564" s="79"/>
    </row>
    <row r="565">
      <c r="A565" s="79"/>
      <c r="B565" s="79"/>
      <c r="C565" s="79"/>
      <c r="D565" s="79"/>
      <c r="E565" s="79"/>
      <c r="F565" s="79"/>
      <c r="G565" s="79"/>
      <c r="H565" s="79"/>
    </row>
    <row r="566">
      <c r="A566" s="79"/>
      <c r="B566" s="79"/>
      <c r="C566" s="79"/>
      <c r="D566" s="79"/>
      <c r="E566" s="79"/>
      <c r="F566" s="79"/>
      <c r="G566" s="79"/>
      <c r="H566" s="79"/>
    </row>
    <row r="567">
      <c r="A567" s="79"/>
      <c r="B567" s="79"/>
      <c r="C567" s="79"/>
      <c r="D567" s="79"/>
      <c r="E567" s="79"/>
      <c r="F567" s="79"/>
      <c r="G567" s="79"/>
      <c r="H567" s="79"/>
    </row>
    <row r="568">
      <c r="A568" s="79"/>
      <c r="B568" s="79"/>
      <c r="C568" s="79"/>
      <c r="D568" s="79"/>
      <c r="E568" s="79"/>
      <c r="F568" s="79"/>
      <c r="G568" s="79"/>
      <c r="H568" s="79"/>
    </row>
    <row r="569">
      <c r="A569" s="79"/>
      <c r="B569" s="79"/>
      <c r="C569" s="79"/>
      <c r="D569" s="79"/>
      <c r="E569" s="79"/>
      <c r="F569" s="79"/>
      <c r="G569" s="79"/>
      <c r="H569" s="79"/>
    </row>
    <row r="570">
      <c r="A570" s="79"/>
      <c r="B570" s="79"/>
      <c r="C570" s="79"/>
      <c r="D570" s="79"/>
      <c r="E570" s="79"/>
      <c r="F570" s="79"/>
      <c r="G570" s="79"/>
      <c r="H570" s="79"/>
    </row>
    <row r="571">
      <c r="A571" s="79"/>
      <c r="B571" s="79"/>
      <c r="C571" s="79"/>
      <c r="D571" s="79"/>
      <c r="E571" s="79"/>
      <c r="F571" s="79"/>
      <c r="G571" s="79"/>
      <c r="H571" s="79"/>
    </row>
    <row r="572">
      <c r="A572" s="79"/>
      <c r="B572" s="79"/>
      <c r="C572" s="79"/>
      <c r="D572" s="79"/>
      <c r="E572" s="79"/>
      <c r="F572" s="79"/>
      <c r="G572" s="79"/>
      <c r="H572" s="79"/>
    </row>
    <row r="573">
      <c r="A573" s="79"/>
      <c r="B573" s="79"/>
      <c r="C573" s="79"/>
      <c r="D573" s="79"/>
      <c r="E573" s="79"/>
      <c r="F573" s="79"/>
      <c r="G573" s="79"/>
      <c r="H573" s="79"/>
    </row>
    <row r="574">
      <c r="A574" s="79"/>
      <c r="B574" s="79"/>
      <c r="C574" s="79"/>
      <c r="D574" s="79"/>
      <c r="E574" s="79"/>
      <c r="F574" s="79"/>
      <c r="G574" s="79"/>
      <c r="H574" s="79"/>
    </row>
    <row r="575">
      <c r="A575" s="79"/>
      <c r="B575" s="79"/>
      <c r="C575" s="79"/>
      <c r="D575" s="79"/>
      <c r="E575" s="79"/>
      <c r="F575" s="79"/>
      <c r="G575" s="79"/>
      <c r="H575" s="79"/>
    </row>
    <row r="576">
      <c r="A576" s="79"/>
      <c r="B576" s="79"/>
      <c r="C576" s="79"/>
      <c r="D576" s="79"/>
      <c r="E576" s="79"/>
      <c r="F576" s="79"/>
      <c r="G576" s="79"/>
      <c r="H576" s="79"/>
    </row>
    <row r="577">
      <c r="A577" s="79"/>
      <c r="B577" s="79"/>
      <c r="C577" s="79"/>
      <c r="D577" s="79"/>
      <c r="E577" s="79"/>
      <c r="F577" s="79"/>
      <c r="G577" s="79"/>
      <c r="H577" s="79"/>
    </row>
    <row r="578">
      <c r="A578" s="79"/>
      <c r="B578" s="79"/>
      <c r="C578" s="79"/>
      <c r="D578" s="79"/>
      <c r="E578" s="79"/>
      <c r="F578" s="79"/>
      <c r="G578" s="79"/>
      <c r="H578" s="79"/>
    </row>
    <row r="579">
      <c r="A579" s="79"/>
      <c r="B579" s="79"/>
      <c r="C579" s="79"/>
      <c r="D579" s="79"/>
      <c r="E579" s="79"/>
      <c r="F579" s="79"/>
      <c r="G579" s="79"/>
      <c r="H579" s="79"/>
    </row>
    <row r="580">
      <c r="A580" s="79"/>
      <c r="B580" s="79"/>
      <c r="C580" s="79"/>
      <c r="D580" s="79"/>
      <c r="E580" s="79"/>
      <c r="F580" s="79"/>
      <c r="G580" s="79"/>
      <c r="H580" s="79"/>
    </row>
    <row r="581">
      <c r="A581" s="79"/>
      <c r="B581" s="79"/>
      <c r="C581" s="79"/>
      <c r="D581" s="79"/>
      <c r="E581" s="79"/>
      <c r="F581" s="79"/>
      <c r="G581" s="79"/>
      <c r="H581" s="79"/>
    </row>
    <row r="582">
      <c r="A582" s="79"/>
      <c r="B582" s="79"/>
      <c r="C582" s="79"/>
      <c r="D582" s="79"/>
      <c r="E582" s="79"/>
      <c r="F582" s="79"/>
      <c r="G582" s="79"/>
      <c r="H582" s="79"/>
    </row>
    <row r="583">
      <c r="A583" s="79"/>
      <c r="B583" s="79"/>
      <c r="C583" s="79"/>
      <c r="D583" s="79"/>
      <c r="E583" s="79"/>
      <c r="F583" s="79"/>
      <c r="G583" s="79"/>
      <c r="H583" s="79"/>
    </row>
    <row r="584">
      <c r="A584" s="79"/>
      <c r="B584" s="79"/>
      <c r="C584" s="79"/>
      <c r="D584" s="79"/>
      <c r="E584" s="79"/>
      <c r="F584" s="79"/>
      <c r="G584" s="79"/>
      <c r="H584" s="79"/>
    </row>
    <row r="585">
      <c r="A585" s="79"/>
      <c r="B585" s="79"/>
      <c r="C585" s="79"/>
      <c r="D585" s="79"/>
      <c r="E585" s="79"/>
      <c r="F585" s="79"/>
      <c r="G585" s="79"/>
      <c r="H585" s="79"/>
    </row>
    <row r="586">
      <c r="A586" s="79"/>
      <c r="B586" s="79"/>
      <c r="C586" s="79"/>
      <c r="D586" s="79"/>
      <c r="E586" s="79"/>
      <c r="F586" s="79"/>
      <c r="G586" s="79"/>
      <c r="H586" s="79"/>
    </row>
    <row r="587">
      <c r="A587" s="79"/>
      <c r="B587" s="79"/>
      <c r="C587" s="79"/>
      <c r="D587" s="79"/>
      <c r="E587" s="79"/>
      <c r="F587" s="79"/>
      <c r="G587" s="79"/>
      <c r="H587" s="79"/>
    </row>
    <row r="588">
      <c r="A588" s="79"/>
      <c r="B588" s="79"/>
      <c r="C588" s="79"/>
      <c r="D588" s="79"/>
      <c r="E588" s="79"/>
      <c r="F588" s="79"/>
      <c r="G588" s="79"/>
      <c r="H588" s="79"/>
    </row>
    <row r="589">
      <c r="A589" s="79"/>
      <c r="B589" s="79"/>
      <c r="C589" s="79"/>
      <c r="D589" s="79"/>
      <c r="E589" s="79"/>
      <c r="F589" s="79"/>
      <c r="G589" s="79"/>
      <c r="H589" s="79"/>
    </row>
    <row r="590">
      <c r="A590" s="79"/>
      <c r="B590" s="79"/>
      <c r="C590" s="79"/>
      <c r="D590" s="79"/>
      <c r="E590" s="79"/>
      <c r="F590" s="79"/>
      <c r="G590" s="79"/>
      <c r="H590" s="79"/>
    </row>
    <row r="591">
      <c r="A591" s="79"/>
      <c r="B591" s="79"/>
      <c r="C591" s="79"/>
      <c r="D591" s="79"/>
      <c r="E591" s="79"/>
      <c r="F591" s="79"/>
      <c r="G591" s="79"/>
      <c r="H591" s="79"/>
    </row>
    <row r="592">
      <c r="A592" s="79"/>
      <c r="B592" s="79"/>
      <c r="C592" s="79"/>
      <c r="D592" s="79"/>
      <c r="E592" s="79"/>
      <c r="F592" s="79"/>
      <c r="G592" s="79"/>
      <c r="H592" s="79"/>
    </row>
    <row r="593">
      <c r="A593" s="79"/>
      <c r="B593" s="79"/>
      <c r="C593" s="79"/>
      <c r="D593" s="79"/>
      <c r="E593" s="79"/>
      <c r="F593" s="79"/>
      <c r="G593" s="79"/>
      <c r="H593" s="79"/>
    </row>
    <row r="594">
      <c r="A594" s="79"/>
      <c r="B594" s="79"/>
      <c r="C594" s="79"/>
      <c r="D594" s="79"/>
      <c r="E594" s="79"/>
      <c r="F594" s="79"/>
      <c r="G594" s="79"/>
      <c r="H594" s="79"/>
    </row>
    <row r="595">
      <c r="A595" s="79"/>
      <c r="B595" s="79"/>
      <c r="C595" s="79"/>
      <c r="D595" s="79"/>
      <c r="E595" s="79"/>
      <c r="F595" s="79"/>
      <c r="G595" s="79"/>
      <c r="H595" s="79"/>
    </row>
    <row r="596">
      <c r="A596" s="79"/>
      <c r="B596" s="79"/>
      <c r="C596" s="79"/>
      <c r="D596" s="79"/>
      <c r="E596" s="79"/>
      <c r="F596" s="79"/>
      <c r="G596" s="79"/>
      <c r="H596" s="79"/>
    </row>
    <row r="597">
      <c r="A597" s="79"/>
      <c r="B597" s="79"/>
      <c r="C597" s="79"/>
      <c r="D597" s="79"/>
      <c r="E597" s="79"/>
      <c r="F597" s="79"/>
      <c r="G597" s="79"/>
      <c r="H597" s="79"/>
    </row>
    <row r="598">
      <c r="A598" s="79"/>
      <c r="B598" s="79"/>
      <c r="C598" s="79"/>
      <c r="D598" s="79"/>
      <c r="E598" s="79"/>
      <c r="F598" s="79"/>
      <c r="G598" s="79"/>
      <c r="H598" s="79"/>
    </row>
    <row r="599">
      <c r="A599" s="79"/>
      <c r="B599" s="79"/>
      <c r="C599" s="79"/>
      <c r="D599" s="79"/>
      <c r="E599" s="79"/>
      <c r="F599" s="79"/>
      <c r="G599" s="79"/>
      <c r="H599" s="79"/>
    </row>
    <row r="600">
      <c r="A600" s="79"/>
      <c r="B600" s="79"/>
      <c r="C600" s="79"/>
      <c r="D600" s="79"/>
      <c r="E600" s="79"/>
      <c r="F600" s="79"/>
      <c r="G600" s="79"/>
      <c r="H600" s="79"/>
    </row>
    <row r="601">
      <c r="A601" s="79"/>
      <c r="B601" s="79"/>
      <c r="C601" s="79"/>
      <c r="D601" s="79"/>
      <c r="E601" s="79"/>
      <c r="F601" s="79"/>
      <c r="G601" s="79"/>
      <c r="H601" s="79"/>
    </row>
    <row r="602">
      <c r="A602" s="79"/>
      <c r="B602" s="79"/>
      <c r="C602" s="79"/>
      <c r="D602" s="79"/>
      <c r="E602" s="79"/>
      <c r="F602" s="79"/>
      <c r="G602" s="79"/>
      <c r="H602" s="79"/>
    </row>
    <row r="603">
      <c r="A603" s="79"/>
      <c r="B603" s="79"/>
      <c r="C603" s="79"/>
      <c r="D603" s="79"/>
      <c r="E603" s="79"/>
      <c r="F603" s="79"/>
      <c r="G603" s="79"/>
      <c r="H603" s="79"/>
    </row>
    <row r="604">
      <c r="A604" s="79"/>
      <c r="B604" s="79"/>
      <c r="C604" s="79"/>
      <c r="D604" s="79"/>
      <c r="E604" s="79"/>
      <c r="F604" s="79"/>
      <c r="G604" s="79"/>
      <c r="H604" s="79"/>
    </row>
    <row r="605">
      <c r="A605" s="79"/>
      <c r="B605" s="79"/>
      <c r="C605" s="79"/>
      <c r="D605" s="79"/>
      <c r="E605" s="79"/>
      <c r="F605" s="79"/>
      <c r="G605" s="79"/>
      <c r="H605" s="79"/>
    </row>
    <row r="606">
      <c r="A606" s="79"/>
      <c r="B606" s="79"/>
      <c r="C606" s="79"/>
      <c r="D606" s="79"/>
      <c r="E606" s="79"/>
      <c r="F606" s="79"/>
      <c r="G606" s="79"/>
      <c r="H606" s="79"/>
    </row>
    <row r="607">
      <c r="A607" s="79"/>
      <c r="B607" s="79"/>
      <c r="C607" s="79"/>
      <c r="D607" s="79"/>
      <c r="E607" s="79"/>
      <c r="F607" s="79"/>
      <c r="G607" s="79"/>
      <c r="H607" s="79"/>
    </row>
    <row r="608">
      <c r="A608" s="79"/>
      <c r="B608" s="79"/>
      <c r="C608" s="79"/>
      <c r="D608" s="79"/>
      <c r="E608" s="79"/>
      <c r="F608" s="79"/>
      <c r="G608" s="79"/>
      <c r="H608" s="79"/>
    </row>
    <row r="609">
      <c r="A609" s="79"/>
      <c r="B609" s="79"/>
      <c r="C609" s="79"/>
      <c r="D609" s="79"/>
      <c r="E609" s="79"/>
      <c r="F609" s="79"/>
      <c r="G609" s="79"/>
      <c r="H609" s="79"/>
    </row>
    <row r="610">
      <c r="A610" s="79"/>
      <c r="B610" s="79"/>
      <c r="C610" s="79"/>
      <c r="D610" s="79"/>
      <c r="E610" s="79"/>
      <c r="F610" s="79"/>
      <c r="G610" s="79"/>
      <c r="H610" s="79"/>
    </row>
    <row r="611">
      <c r="A611" s="79"/>
      <c r="B611" s="79"/>
      <c r="C611" s="79"/>
      <c r="D611" s="79"/>
      <c r="E611" s="79"/>
      <c r="F611" s="79"/>
      <c r="G611" s="79"/>
      <c r="H611" s="79"/>
    </row>
    <row r="612">
      <c r="A612" s="79"/>
      <c r="B612" s="79"/>
      <c r="C612" s="79"/>
      <c r="D612" s="79"/>
      <c r="E612" s="79"/>
      <c r="F612" s="79"/>
      <c r="G612" s="79"/>
      <c r="H612" s="79"/>
    </row>
    <row r="613">
      <c r="A613" s="79"/>
      <c r="B613" s="79"/>
      <c r="C613" s="79"/>
      <c r="D613" s="79"/>
      <c r="E613" s="79"/>
      <c r="F613" s="79"/>
      <c r="G613" s="79"/>
      <c r="H613" s="79"/>
    </row>
    <row r="614">
      <c r="A614" s="79"/>
      <c r="B614" s="79"/>
      <c r="C614" s="79"/>
      <c r="D614" s="79"/>
      <c r="E614" s="79"/>
      <c r="F614" s="79"/>
      <c r="G614" s="79"/>
      <c r="H614" s="79"/>
    </row>
    <row r="615">
      <c r="A615" s="79"/>
      <c r="B615" s="79"/>
      <c r="C615" s="79"/>
      <c r="D615" s="79"/>
      <c r="E615" s="79"/>
      <c r="F615" s="79"/>
      <c r="G615" s="79"/>
      <c r="H615" s="79"/>
    </row>
    <row r="616">
      <c r="A616" s="79"/>
      <c r="B616" s="79"/>
      <c r="C616" s="79"/>
      <c r="D616" s="79"/>
      <c r="E616" s="79"/>
      <c r="F616" s="79"/>
      <c r="G616" s="79"/>
      <c r="H616" s="79"/>
    </row>
    <row r="617">
      <c r="A617" s="79"/>
      <c r="B617" s="79"/>
      <c r="C617" s="79"/>
      <c r="D617" s="79"/>
      <c r="E617" s="79"/>
      <c r="F617" s="79"/>
      <c r="G617" s="79"/>
      <c r="H617" s="79"/>
    </row>
    <row r="618">
      <c r="A618" s="79"/>
      <c r="B618" s="79"/>
      <c r="C618" s="79"/>
      <c r="D618" s="79"/>
      <c r="E618" s="79"/>
      <c r="F618" s="79"/>
      <c r="G618" s="79"/>
      <c r="H618" s="79"/>
    </row>
    <row r="619">
      <c r="A619" s="79"/>
      <c r="B619" s="79"/>
      <c r="C619" s="79"/>
      <c r="D619" s="79"/>
      <c r="E619" s="79"/>
      <c r="F619" s="79"/>
      <c r="G619" s="79"/>
      <c r="H619" s="79"/>
    </row>
    <row r="620">
      <c r="A620" s="79"/>
      <c r="B620" s="79"/>
      <c r="C620" s="79"/>
      <c r="D620" s="79"/>
      <c r="E620" s="79"/>
      <c r="F620" s="79"/>
      <c r="G620" s="79"/>
      <c r="H620" s="79"/>
    </row>
    <row r="621">
      <c r="A621" s="79"/>
      <c r="B621" s="79"/>
      <c r="C621" s="79"/>
      <c r="D621" s="79"/>
      <c r="E621" s="79"/>
      <c r="F621" s="79"/>
      <c r="G621" s="79"/>
      <c r="H621" s="79"/>
    </row>
    <row r="622">
      <c r="A622" s="79"/>
      <c r="B622" s="79"/>
      <c r="C622" s="79"/>
      <c r="D622" s="79"/>
      <c r="E622" s="79"/>
      <c r="F622" s="79"/>
      <c r="G622" s="79"/>
      <c r="H622" s="79"/>
    </row>
    <row r="623">
      <c r="A623" s="79"/>
      <c r="B623" s="79"/>
      <c r="C623" s="79"/>
      <c r="D623" s="79"/>
      <c r="E623" s="79"/>
      <c r="F623" s="79"/>
      <c r="G623" s="79"/>
      <c r="H623" s="79"/>
    </row>
    <row r="624">
      <c r="A624" s="79"/>
      <c r="B624" s="79"/>
      <c r="C624" s="79"/>
      <c r="D624" s="79"/>
      <c r="E624" s="79"/>
      <c r="F624" s="79"/>
      <c r="G624" s="79"/>
      <c r="H624" s="79"/>
    </row>
    <row r="625">
      <c r="A625" s="79"/>
      <c r="B625" s="79"/>
      <c r="C625" s="79"/>
      <c r="D625" s="79"/>
      <c r="E625" s="79"/>
      <c r="F625" s="79"/>
      <c r="G625" s="79"/>
      <c r="H625" s="79"/>
    </row>
    <row r="626">
      <c r="A626" s="79"/>
      <c r="B626" s="79"/>
      <c r="C626" s="79"/>
      <c r="D626" s="79"/>
      <c r="E626" s="79"/>
      <c r="F626" s="79"/>
      <c r="G626" s="79"/>
      <c r="H626" s="79"/>
    </row>
    <row r="627">
      <c r="A627" s="79"/>
      <c r="B627" s="79"/>
      <c r="C627" s="79"/>
      <c r="D627" s="79"/>
      <c r="E627" s="79"/>
      <c r="F627" s="79"/>
      <c r="G627" s="79"/>
      <c r="H627" s="79"/>
    </row>
    <row r="628">
      <c r="A628" s="79"/>
      <c r="B628" s="79"/>
      <c r="C628" s="79"/>
      <c r="D628" s="79"/>
      <c r="E628" s="79"/>
      <c r="F628" s="79"/>
      <c r="G628" s="79"/>
      <c r="H628" s="79"/>
    </row>
    <row r="629">
      <c r="A629" s="79"/>
      <c r="B629" s="79"/>
      <c r="C629" s="79"/>
      <c r="D629" s="79"/>
      <c r="E629" s="79"/>
      <c r="F629" s="79"/>
      <c r="G629" s="79"/>
      <c r="H629" s="79"/>
    </row>
    <row r="630">
      <c r="A630" s="79"/>
      <c r="B630" s="79"/>
      <c r="C630" s="79"/>
      <c r="D630" s="79"/>
      <c r="E630" s="79"/>
      <c r="F630" s="79"/>
      <c r="G630" s="79"/>
      <c r="H630" s="79"/>
    </row>
    <row r="631">
      <c r="A631" s="79"/>
      <c r="B631" s="79"/>
      <c r="C631" s="79"/>
      <c r="D631" s="79"/>
      <c r="E631" s="79"/>
      <c r="F631" s="79"/>
      <c r="G631" s="79"/>
      <c r="H631" s="79"/>
    </row>
    <row r="632">
      <c r="A632" s="79"/>
      <c r="B632" s="79"/>
      <c r="C632" s="79"/>
      <c r="D632" s="79"/>
      <c r="E632" s="79"/>
      <c r="F632" s="79"/>
      <c r="G632" s="79"/>
      <c r="H632" s="79"/>
    </row>
    <row r="633">
      <c r="A633" s="79"/>
      <c r="B633" s="79"/>
      <c r="C633" s="79"/>
      <c r="D633" s="79"/>
      <c r="E633" s="79"/>
      <c r="F633" s="79"/>
      <c r="G633" s="79"/>
      <c r="H633" s="79"/>
    </row>
    <row r="634">
      <c r="A634" s="79"/>
      <c r="B634" s="79"/>
      <c r="C634" s="79"/>
      <c r="D634" s="79"/>
      <c r="E634" s="79"/>
      <c r="F634" s="79"/>
      <c r="G634" s="79"/>
      <c r="H634" s="79"/>
    </row>
    <row r="635">
      <c r="A635" s="79"/>
      <c r="B635" s="79"/>
      <c r="C635" s="79"/>
      <c r="D635" s="79"/>
      <c r="E635" s="79"/>
      <c r="F635" s="79"/>
      <c r="G635" s="79"/>
      <c r="H635" s="79"/>
    </row>
    <row r="636">
      <c r="A636" s="79"/>
      <c r="B636" s="79"/>
      <c r="C636" s="79"/>
      <c r="D636" s="79"/>
      <c r="E636" s="79"/>
      <c r="F636" s="79"/>
      <c r="G636" s="79"/>
      <c r="H636" s="79"/>
    </row>
    <row r="637">
      <c r="A637" s="79"/>
      <c r="B637" s="79"/>
      <c r="C637" s="79"/>
      <c r="D637" s="79"/>
      <c r="E637" s="79"/>
      <c r="F637" s="79"/>
      <c r="G637" s="79"/>
      <c r="H637" s="79"/>
    </row>
    <row r="638">
      <c r="A638" s="79"/>
      <c r="B638" s="79"/>
      <c r="C638" s="79"/>
      <c r="D638" s="79"/>
      <c r="E638" s="79"/>
      <c r="F638" s="79"/>
      <c r="G638" s="79"/>
      <c r="H638" s="79"/>
    </row>
    <row r="639">
      <c r="A639" s="79"/>
      <c r="B639" s="79"/>
      <c r="C639" s="79"/>
      <c r="D639" s="79"/>
      <c r="E639" s="79"/>
      <c r="F639" s="79"/>
      <c r="G639" s="79"/>
      <c r="H639" s="79"/>
    </row>
    <row r="640">
      <c r="A640" s="79"/>
      <c r="B640" s="79"/>
      <c r="C640" s="79"/>
      <c r="D640" s="79"/>
      <c r="E640" s="79"/>
      <c r="F640" s="79"/>
      <c r="G640" s="79"/>
      <c r="H640" s="79"/>
    </row>
    <row r="641">
      <c r="A641" s="79"/>
      <c r="B641" s="79"/>
      <c r="C641" s="79"/>
      <c r="D641" s="79"/>
      <c r="E641" s="79"/>
      <c r="F641" s="79"/>
      <c r="G641" s="79"/>
      <c r="H641" s="79"/>
    </row>
    <row r="642">
      <c r="A642" s="79"/>
      <c r="B642" s="79"/>
      <c r="C642" s="79"/>
      <c r="D642" s="79"/>
      <c r="E642" s="79"/>
      <c r="F642" s="79"/>
      <c r="G642" s="79"/>
      <c r="H642" s="79"/>
    </row>
    <row r="643">
      <c r="A643" s="79"/>
      <c r="B643" s="79"/>
      <c r="C643" s="79"/>
      <c r="D643" s="79"/>
      <c r="E643" s="79"/>
      <c r="F643" s="79"/>
      <c r="G643" s="79"/>
      <c r="H643" s="79"/>
    </row>
    <row r="644">
      <c r="A644" s="79"/>
      <c r="B644" s="79"/>
      <c r="C644" s="79"/>
      <c r="D644" s="79"/>
      <c r="E644" s="79"/>
      <c r="F644" s="79"/>
      <c r="G644" s="79"/>
      <c r="H644" s="79"/>
    </row>
    <row r="645">
      <c r="A645" s="79"/>
      <c r="B645" s="79"/>
      <c r="C645" s="79"/>
      <c r="D645" s="79"/>
      <c r="E645" s="79"/>
      <c r="F645" s="79"/>
      <c r="G645" s="79"/>
      <c r="H645" s="79"/>
    </row>
    <row r="646">
      <c r="A646" s="79"/>
      <c r="B646" s="79"/>
      <c r="C646" s="79"/>
      <c r="D646" s="79"/>
      <c r="E646" s="79"/>
      <c r="F646" s="79"/>
      <c r="G646" s="79"/>
      <c r="H646" s="79"/>
    </row>
    <row r="647">
      <c r="A647" s="79"/>
      <c r="B647" s="79"/>
      <c r="C647" s="79"/>
      <c r="D647" s="79"/>
      <c r="E647" s="79"/>
      <c r="F647" s="79"/>
      <c r="G647" s="79"/>
      <c r="H647" s="79"/>
    </row>
    <row r="648">
      <c r="A648" s="79"/>
      <c r="B648" s="79"/>
      <c r="C648" s="79"/>
      <c r="D648" s="79"/>
      <c r="E648" s="79"/>
      <c r="F648" s="79"/>
      <c r="G648" s="79"/>
      <c r="H648" s="79"/>
    </row>
    <row r="649">
      <c r="A649" s="79"/>
      <c r="B649" s="79"/>
      <c r="C649" s="79"/>
      <c r="D649" s="79"/>
      <c r="E649" s="79"/>
      <c r="F649" s="79"/>
      <c r="G649" s="79"/>
      <c r="H649" s="79"/>
    </row>
    <row r="650">
      <c r="A650" s="79"/>
      <c r="B650" s="79"/>
      <c r="C650" s="79"/>
      <c r="D650" s="79"/>
      <c r="E650" s="79"/>
      <c r="F650" s="79"/>
      <c r="G650" s="79"/>
      <c r="H650" s="79"/>
    </row>
    <row r="651">
      <c r="A651" s="79"/>
      <c r="B651" s="79"/>
      <c r="C651" s="79"/>
      <c r="D651" s="79"/>
      <c r="E651" s="79"/>
      <c r="F651" s="79"/>
      <c r="G651" s="79"/>
      <c r="H651" s="79"/>
    </row>
    <row r="652">
      <c r="A652" s="79"/>
      <c r="B652" s="79"/>
      <c r="C652" s="79"/>
      <c r="D652" s="79"/>
      <c r="E652" s="79"/>
      <c r="F652" s="79"/>
      <c r="G652" s="79"/>
      <c r="H652" s="79"/>
    </row>
    <row r="653">
      <c r="A653" s="79"/>
      <c r="B653" s="79"/>
      <c r="C653" s="79"/>
      <c r="D653" s="79"/>
      <c r="E653" s="79"/>
      <c r="F653" s="79"/>
      <c r="G653" s="79"/>
      <c r="H653" s="79"/>
    </row>
    <row r="654">
      <c r="A654" s="79"/>
      <c r="B654" s="79"/>
      <c r="C654" s="79"/>
      <c r="D654" s="79"/>
      <c r="E654" s="79"/>
      <c r="F654" s="79"/>
      <c r="G654" s="79"/>
      <c r="H654" s="79"/>
    </row>
    <row r="655">
      <c r="A655" s="79"/>
      <c r="B655" s="79"/>
      <c r="C655" s="79"/>
      <c r="D655" s="79"/>
      <c r="E655" s="79"/>
      <c r="F655" s="79"/>
      <c r="G655" s="79"/>
      <c r="H655" s="79"/>
    </row>
    <row r="656">
      <c r="A656" s="79"/>
      <c r="B656" s="79"/>
      <c r="C656" s="79"/>
      <c r="D656" s="79"/>
      <c r="E656" s="79"/>
      <c r="F656" s="79"/>
      <c r="G656" s="79"/>
      <c r="H656" s="79"/>
    </row>
    <row r="657">
      <c r="A657" s="79"/>
      <c r="B657" s="79"/>
      <c r="C657" s="79"/>
      <c r="D657" s="79"/>
      <c r="E657" s="79"/>
      <c r="F657" s="79"/>
      <c r="G657" s="79"/>
      <c r="H657" s="79"/>
    </row>
    <row r="658">
      <c r="A658" s="79"/>
      <c r="B658" s="79"/>
      <c r="C658" s="79"/>
      <c r="D658" s="79"/>
      <c r="E658" s="79"/>
      <c r="F658" s="79"/>
      <c r="G658" s="79"/>
      <c r="H658" s="79"/>
    </row>
    <row r="659">
      <c r="A659" s="79"/>
      <c r="B659" s="79"/>
      <c r="C659" s="79"/>
      <c r="D659" s="79"/>
      <c r="E659" s="79"/>
      <c r="F659" s="79"/>
      <c r="G659" s="79"/>
      <c r="H659" s="79"/>
    </row>
    <row r="660">
      <c r="A660" s="79"/>
      <c r="B660" s="79"/>
      <c r="C660" s="79"/>
      <c r="D660" s="79"/>
      <c r="E660" s="79"/>
      <c r="F660" s="79"/>
      <c r="G660" s="79"/>
      <c r="H660" s="79"/>
    </row>
    <row r="661">
      <c r="A661" s="79"/>
      <c r="B661" s="79"/>
      <c r="C661" s="79"/>
      <c r="D661" s="79"/>
      <c r="E661" s="79"/>
      <c r="F661" s="79"/>
      <c r="G661" s="79"/>
      <c r="H661" s="79"/>
    </row>
    <row r="662">
      <c r="A662" s="79"/>
      <c r="B662" s="79"/>
      <c r="C662" s="79"/>
      <c r="D662" s="79"/>
      <c r="E662" s="79"/>
      <c r="F662" s="79"/>
      <c r="G662" s="79"/>
      <c r="H662" s="79"/>
    </row>
    <row r="663">
      <c r="A663" s="79"/>
      <c r="B663" s="79"/>
      <c r="C663" s="79"/>
      <c r="D663" s="79"/>
      <c r="E663" s="79"/>
      <c r="F663" s="79"/>
      <c r="G663" s="79"/>
      <c r="H663" s="79"/>
    </row>
    <row r="664">
      <c r="A664" s="79"/>
      <c r="B664" s="79"/>
      <c r="C664" s="79"/>
      <c r="D664" s="79"/>
      <c r="E664" s="79"/>
      <c r="F664" s="79"/>
      <c r="G664" s="79"/>
      <c r="H664" s="79"/>
    </row>
    <row r="665">
      <c r="A665" s="79"/>
      <c r="B665" s="79"/>
      <c r="C665" s="79"/>
      <c r="D665" s="79"/>
      <c r="E665" s="79"/>
      <c r="F665" s="79"/>
      <c r="G665" s="79"/>
      <c r="H665" s="79"/>
    </row>
    <row r="666">
      <c r="A666" s="79"/>
      <c r="B666" s="79"/>
      <c r="C666" s="79"/>
      <c r="D666" s="79"/>
      <c r="E666" s="79"/>
      <c r="F666" s="79"/>
      <c r="G666" s="79"/>
      <c r="H666" s="79"/>
    </row>
    <row r="667">
      <c r="A667" s="79"/>
      <c r="B667" s="79"/>
      <c r="C667" s="79"/>
      <c r="D667" s="79"/>
      <c r="E667" s="79"/>
      <c r="F667" s="79"/>
      <c r="G667" s="79"/>
      <c r="H667" s="79"/>
    </row>
    <row r="668">
      <c r="A668" s="79"/>
      <c r="B668" s="79"/>
      <c r="C668" s="79"/>
      <c r="D668" s="79"/>
      <c r="E668" s="79"/>
      <c r="F668" s="79"/>
      <c r="G668" s="79"/>
      <c r="H668" s="79"/>
    </row>
    <row r="669">
      <c r="A669" s="79"/>
      <c r="B669" s="79"/>
      <c r="C669" s="79"/>
      <c r="D669" s="79"/>
      <c r="E669" s="79"/>
      <c r="F669" s="79"/>
      <c r="G669" s="79"/>
      <c r="H669" s="79"/>
    </row>
    <row r="670">
      <c r="A670" s="79"/>
      <c r="B670" s="79"/>
      <c r="C670" s="79"/>
      <c r="D670" s="79"/>
      <c r="E670" s="79"/>
      <c r="F670" s="79"/>
      <c r="G670" s="79"/>
      <c r="H670" s="79"/>
    </row>
    <row r="671">
      <c r="A671" s="79"/>
      <c r="B671" s="79"/>
      <c r="C671" s="79"/>
      <c r="D671" s="79"/>
      <c r="E671" s="79"/>
      <c r="F671" s="79"/>
      <c r="G671" s="79"/>
      <c r="H671" s="79"/>
    </row>
    <row r="672">
      <c r="A672" s="79"/>
      <c r="B672" s="79"/>
      <c r="C672" s="79"/>
      <c r="D672" s="79"/>
      <c r="E672" s="79"/>
      <c r="F672" s="79"/>
      <c r="G672" s="79"/>
      <c r="H672" s="79"/>
    </row>
    <row r="673">
      <c r="A673" s="79"/>
      <c r="B673" s="79"/>
      <c r="C673" s="79"/>
      <c r="D673" s="79"/>
      <c r="E673" s="79"/>
      <c r="F673" s="79"/>
      <c r="G673" s="79"/>
      <c r="H673" s="79"/>
    </row>
    <row r="674">
      <c r="A674" s="79"/>
      <c r="B674" s="79"/>
      <c r="C674" s="79"/>
      <c r="D674" s="79"/>
      <c r="E674" s="79"/>
      <c r="F674" s="79"/>
      <c r="G674" s="79"/>
      <c r="H674" s="79"/>
    </row>
    <row r="675">
      <c r="A675" s="79"/>
      <c r="B675" s="79"/>
      <c r="C675" s="79"/>
      <c r="D675" s="79"/>
      <c r="E675" s="79"/>
      <c r="F675" s="79"/>
      <c r="G675" s="79"/>
      <c r="H675" s="79"/>
    </row>
    <row r="676">
      <c r="A676" s="79"/>
      <c r="B676" s="79"/>
      <c r="C676" s="79"/>
      <c r="D676" s="79"/>
      <c r="E676" s="79"/>
      <c r="F676" s="79"/>
      <c r="G676" s="79"/>
      <c r="H676" s="79"/>
    </row>
    <row r="677">
      <c r="A677" s="79"/>
      <c r="B677" s="79"/>
      <c r="C677" s="79"/>
      <c r="D677" s="79"/>
      <c r="E677" s="79"/>
      <c r="F677" s="79"/>
      <c r="G677" s="79"/>
      <c r="H677" s="79"/>
    </row>
    <row r="678">
      <c r="A678" s="79"/>
      <c r="B678" s="79"/>
      <c r="C678" s="79"/>
      <c r="D678" s="79"/>
      <c r="E678" s="79"/>
      <c r="F678" s="79"/>
      <c r="G678" s="79"/>
      <c r="H678" s="79"/>
    </row>
    <row r="679">
      <c r="A679" s="79"/>
      <c r="B679" s="79"/>
      <c r="C679" s="79"/>
      <c r="D679" s="79"/>
      <c r="E679" s="79"/>
      <c r="F679" s="79"/>
      <c r="G679" s="79"/>
      <c r="H679" s="79"/>
    </row>
    <row r="680">
      <c r="A680" s="79"/>
      <c r="B680" s="79"/>
      <c r="C680" s="79"/>
      <c r="D680" s="79"/>
      <c r="E680" s="79"/>
      <c r="F680" s="79"/>
      <c r="G680" s="79"/>
      <c r="H680" s="79"/>
    </row>
    <row r="681">
      <c r="A681" s="79"/>
      <c r="B681" s="79"/>
      <c r="C681" s="79"/>
      <c r="D681" s="79"/>
      <c r="E681" s="79"/>
      <c r="F681" s="79"/>
      <c r="G681" s="79"/>
      <c r="H681" s="79"/>
    </row>
    <row r="682">
      <c r="A682" s="79"/>
      <c r="B682" s="79"/>
      <c r="C682" s="79"/>
      <c r="D682" s="79"/>
      <c r="E682" s="79"/>
      <c r="F682" s="79"/>
      <c r="G682" s="79"/>
      <c r="H682" s="79"/>
    </row>
    <row r="683">
      <c r="A683" s="79"/>
      <c r="B683" s="79"/>
      <c r="C683" s="79"/>
      <c r="D683" s="79"/>
      <c r="E683" s="79"/>
      <c r="F683" s="79"/>
      <c r="G683" s="79"/>
      <c r="H683" s="79"/>
    </row>
    <row r="684">
      <c r="A684" s="79"/>
      <c r="B684" s="79"/>
      <c r="C684" s="79"/>
      <c r="D684" s="79"/>
      <c r="E684" s="79"/>
      <c r="F684" s="79"/>
      <c r="G684" s="79"/>
      <c r="H684" s="79"/>
    </row>
    <row r="685">
      <c r="A685" s="79"/>
      <c r="B685" s="79"/>
      <c r="C685" s="79"/>
      <c r="D685" s="79"/>
      <c r="E685" s="79"/>
      <c r="F685" s="79"/>
      <c r="G685" s="79"/>
      <c r="H685" s="79"/>
    </row>
    <row r="686">
      <c r="A686" s="79"/>
      <c r="B686" s="79"/>
      <c r="C686" s="79"/>
      <c r="D686" s="79"/>
      <c r="E686" s="79"/>
      <c r="F686" s="79"/>
      <c r="G686" s="79"/>
      <c r="H686" s="79"/>
    </row>
    <row r="687">
      <c r="A687" s="79"/>
      <c r="B687" s="79"/>
      <c r="C687" s="79"/>
      <c r="D687" s="79"/>
      <c r="E687" s="79"/>
      <c r="F687" s="79"/>
      <c r="G687" s="79"/>
      <c r="H687" s="79"/>
    </row>
    <row r="688">
      <c r="A688" s="79"/>
      <c r="B688" s="79"/>
      <c r="C688" s="79"/>
      <c r="D688" s="79"/>
      <c r="E688" s="79"/>
      <c r="F688" s="79"/>
      <c r="G688" s="79"/>
      <c r="H688" s="79"/>
    </row>
    <row r="689">
      <c r="A689" s="79"/>
      <c r="B689" s="79"/>
      <c r="C689" s="79"/>
      <c r="D689" s="79"/>
      <c r="E689" s="79"/>
      <c r="F689" s="79"/>
      <c r="G689" s="79"/>
      <c r="H689" s="79"/>
    </row>
    <row r="690">
      <c r="A690" s="79"/>
      <c r="B690" s="79"/>
      <c r="C690" s="79"/>
      <c r="D690" s="79"/>
      <c r="E690" s="79"/>
      <c r="F690" s="79"/>
      <c r="G690" s="79"/>
      <c r="H690" s="79"/>
    </row>
    <row r="691">
      <c r="A691" s="79"/>
      <c r="B691" s="79"/>
      <c r="C691" s="79"/>
      <c r="D691" s="79"/>
      <c r="E691" s="79"/>
      <c r="F691" s="79"/>
      <c r="G691" s="79"/>
      <c r="H691" s="79"/>
    </row>
    <row r="692">
      <c r="A692" s="79"/>
      <c r="B692" s="79"/>
      <c r="C692" s="79"/>
      <c r="D692" s="79"/>
      <c r="E692" s="79"/>
      <c r="F692" s="79"/>
      <c r="G692" s="79"/>
      <c r="H692" s="79"/>
    </row>
    <row r="693">
      <c r="A693" s="79"/>
      <c r="B693" s="79"/>
      <c r="C693" s="79"/>
      <c r="D693" s="79"/>
      <c r="E693" s="79"/>
      <c r="F693" s="79"/>
      <c r="G693" s="79"/>
      <c r="H693" s="79"/>
    </row>
    <row r="694">
      <c r="A694" s="79"/>
      <c r="B694" s="79"/>
      <c r="C694" s="79"/>
      <c r="D694" s="79"/>
      <c r="E694" s="79"/>
      <c r="F694" s="79"/>
      <c r="G694" s="79"/>
      <c r="H694" s="79"/>
    </row>
    <row r="695">
      <c r="A695" s="79"/>
      <c r="B695" s="79"/>
      <c r="C695" s="79"/>
      <c r="D695" s="79"/>
      <c r="E695" s="79"/>
      <c r="F695" s="79"/>
      <c r="G695" s="79"/>
      <c r="H695" s="79"/>
    </row>
    <row r="696">
      <c r="A696" s="79"/>
      <c r="B696" s="79"/>
      <c r="C696" s="79"/>
      <c r="D696" s="79"/>
      <c r="E696" s="79"/>
      <c r="F696" s="79"/>
      <c r="G696" s="79"/>
      <c r="H696" s="79"/>
    </row>
    <row r="697">
      <c r="A697" s="79"/>
      <c r="B697" s="79"/>
      <c r="C697" s="79"/>
      <c r="D697" s="79"/>
      <c r="E697" s="79"/>
      <c r="F697" s="79"/>
      <c r="G697" s="79"/>
      <c r="H697" s="79"/>
    </row>
    <row r="698">
      <c r="A698" s="79"/>
      <c r="B698" s="79"/>
      <c r="C698" s="79"/>
      <c r="D698" s="79"/>
      <c r="E698" s="79"/>
      <c r="F698" s="79"/>
      <c r="G698" s="79"/>
      <c r="H698" s="79"/>
    </row>
    <row r="699">
      <c r="A699" s="79"/>
      <c r="B699" s="79"/>
      <c r="C699" s="79"/>
      <c r="D699" s="79"/>
      <c r="E699" s="79"/>
      <c r="F699" s="79"/>
      <c r="G699" s="79"/>
      <c r="H699" s="79"/>
    </row>
    <row r="700">
      <c r="A700" s="79"/>
      <c r="B700" s="79"/>
      <c r="C700" s="79"/>
      <c r="D700" s="79"/>
      <c r="E700" s="79"/>
      <c r="F700" s="79"/>
      <c r="G700" s="79"/>
      <c r="H700" s="79"/>
    </row>
    <row r="701">
      <c r="A701" s="79"/>
      <c r="B701" s="79"/>
      <c r="C701" s="79"/>
      <c r="D701" s="79"/>
      <c r="E701" s="79"/>
      <c r="F701" s="79"/>
      <c r="G701" s="79"/>
      <c r="H701" s="79"/>
    </row>
    <row r="702">
      <c r="A702" s="79"/>
      <c r="B702" s="79"/>
      <c r="C702" s="79"/>
      <c r="D702" s="79"/>
      <c r="E702" s="79"/>
      <c r="F702" s="79"/>
      <c r="G702" s="79"/>
      <c r="H702" s="79"/>
    </row>
    <row r="703">
      <c r="A703" s="79"/>
      <c r="B703" s="79"/>
      <c r="C703" s="79"/>
      <c r="D703" s="79"/>
      <c r="E703" s="79"/>
      <c r="F703" s="79"/>
      <c r="G703" s="79"/>
      <c r="H703" s="79"/>
    </row>
    <row r="704">
      <c r="A704" s="79"/>
      <c r="B704" s="79"/>
      <c r="C704" s="79"/>
      <c r="D704" s="79"/>
      <c r="E704" s="79"/>
      <c r="F704" s="79"/>
      <c r="G704" s="79"/>
      <c r="H704" s="79"/>
    </row>
    <row r="705">
      <c r="A705" s="79"/>
      <c r="B705" s="79"/>
      <c r="C705" s="79"/>
      <c r="D705" s="79"/>
      <c r="E705" s="79"/>
      <c r="F705" s="79"/>
      <c r="G705" s="79"/>
      <c r="H705" s="79"/>
    </row>
    <row r="706">
      <c r="A706" s="79"/>
      <c r="B706" s="79"/>
      <c r="C706" s="79"/>
      <c r="D706" s="79"/>
      <c r="E706" s="79"/>
      <c r="F706" s="79"/>
      <c r="G706" s="79"/>
      <c r="H706" s="79"/>
    </row>
    <row r="707">
      <c r="A707" s="79"/>
      <c r="B707" s="79"/>
      <c r="C707" s="79"/>
      <c r="D707" s="79"/>
      <c r="E707" s="79"/>
      <c r="F707" s="79"/>
      <c r="G707" s="79"/>
      <c r="H707" s="79"/>
    </row>
    <row r="708">
      <c r="A708" s="79"/>
      <c r="B708" s="79"/>
      <c r="C708" s="79"/>
      <c r="D708" s="79"/>
      <c r="E708" s="79"/>
      <c r="F708" s="79"/>
      <c r="G708" s="79"/>
      <c r="H708" s="79"/>
    </row>
    <row r="709">
      <c r="A709" s="79"/>
      <c r="B709" s="79"/>
      <c r="C709" s="79"/>
      <c r="D709" s="79"/>
      <c r="E709" s="79"/>
      <c r="F709" s="79"/>
      <c r="G709" s="79"/>
      <c r="H709" s="79"/>
    </row>
    <row r="710">
      <c r="A710" s="79"/>
      <c r="B710" s="79"/>
      <c r="C710" s="79"/>
      <c r="D710" s="79"/>
      <c r="E710" s="79"/>
      <c r="F710" s="79"/>
      <c r="G710" s="79"/>
      <c r="H710" s="79"/>
    </row>
    <row r="711">
      <c r="A711" s="79"/>
      <c r="B711" s="79"/>
      <c r="C711" s="79"/>
      <c r="D711" s="79"/>
      <c r="E711" s="79"/>
      <c r="F711" s="79"/>
      <c r="G711" s="79"/>
      <c r="H711" s="79"/>
    </row>
    <row r="712">
      <c r="A712" s="79"/>
      <c r="B712" s="79"/>
      <c r="C712" s="79"/>
      <c r="D712" s="79"/>
      <c r="E712" s="79"/>
      <c r="F712" s="79"/>
      <c r="G712" s="79"/>
      <c r="H712" s="79"/>
    </row>
    <row r="713">
      <c r="A713" s="79"/>
      <c r="B713" s="79"/>
      <c r="C713" s="79"/>
      <c r="D713" s="79"/>
      <c r="E713" s="79"/>
      <c r="F713" s="79"/>
      <c r="G713" s="79"/>
      <c r="H713" s="79"/>
    </row>
    <row r="714">
      <c r="A714" s="79"/>
      <c r="B714" s="79"/>
      <c r="C714" s="79"/>
      <c r="D714" s="79"/>
      <c r="E714" s="79"/>
      <c r="F714" s="79"/>
      <c r="G714" s="79"/>
      <c r="H714" s="79"/>
    </row>
    <row r="715">
      <c r="A715" s="79"/>
      <c r="B715" s="79"/>
      <c r="C715" s="79"/>
      <c r="D715" s="79"/>
      <c r="E715" s="79"/>
      <c r="F715" s="79"/>
      <c r="G715" s="79"/>
      <c r="H715" s="79"/>
    </row>
    <row r="716">
      <c r="A716" s="79"/>
      <c r="B716" s="79"/>
      <c r="C716" s="79"/>
      <c r="D716" s="79"/>
      <c r="E716" s="79"/>
      <c r="F716" s="79"/>
      <c r="G716" s="79"/>
      <c r="H716" s="79"/>
    </row>
    <row r="717">
      <c r="A717" s="79"/>
      <c r="B717" s="79"/>
      <c r="C717" s="79"/>
      <c r="D717" s="79"/>
      <c r="E717" s="79"/>
      <c r="F717" s="79"/>
      <c r="G717" s="79"/>
      <c r="H717" s="79"/>
    </row>
    <row r="718">
      <c r="A718" s="79"/>
      <c r="B718" s="79"/>
      <c r="C718" s="79"/>
      <c r="D718" s="79"/>
      <c r="E718" s="79"/>
      <c r="F718" s="79"/>
      <c r="G718" s="79"/>
      <c r="H718" s="79"/>
    </row>
    <row r="719">
      <c r="A719" s="79"/>
      <c r="B719" s="79"/>
      <c r="C719" s="79"/>
      <c r="D719" s="79"/>
      <c r="E719" s="79"/>
      <c r="F719" s="79"/>
      <c r="G719" s="79"/>
      <c r="H719" s="79"/>
    </row>
    <row r="720">
      <c r="A720" s="79"/>
      <c r="B720" s="79"/>
      <c r="C720" s="79"/>
      <c r="D720" s="79"/>
      <c r="E720" s="79"/>
      <c r="F720" s="79"/>
      <c r="G720" s="79"/>
      <c r="H720" s="79"/>
    </row>
    <row r="721">
      <c r="A721" s="79"/>
      <c r="B721" s="79"/>
      <c r="C721" s="79"/>
      <c r="D721" s="79"/>
      <c r="E721" s="79"/>
      <c r="F721" s="79"/>
      <c r="G721" s="79"/>
      <c r="H721" s="79"/>
    </row>
    <row r="722">
      <c r="A722" s="79"/>
      <c r="B722" s="79"/>
      <c r="C722" s="79"/>
      <c r="D722" s="79"/>
      <c r="E722" s="79"/>
      <c r="F722" s="79"/>
      <c r="G722" s="79"/>
      <c r="H722" s="79"/>
    </row>
    <row r="723">
      <c r="A723" s="79"/>
      <c r="B723" s="79"/>
      <c r="C723" s="79"/>
      <c r="D723" s="79"/>
      <c r="E723" s="79"/>
      <c r="F723" s="79"/>
      <c r="G723" s="79"/>
      <c r="H723" s="79"/>
    </row>
    <row r="724">
      <c r="A724" s="79"/>
      <c r="B724" s="79"/>
      <c r="C724" s="79"/>
      <c r="D724" s="79"/>
      <c r="E724" s="79"/>
      <c r="F724" s="79"/>
      <c r="G724" s="79"/>
      <c r="H724" s="79"/>
    </row>
    <row r="725">
      <c r="A725" s="79"/>
      <c r="B725" s="79"/>
      <c r="C725" s="79"/>
      <c r="D725" s="79"/>
      <c r="E725" s="79"/>
      <c r="F725" s="79"/>
      <c r="G725" s="79"/>
      <c r="H725" s="79"/>
    </row>
    <row r="726">
      <c r="A726" s="79"/>
      <c r="B726" s="79"/>
      <c r="C726" s="79"/>
      <c r="D726" s="79"/>
      <c r="E726" s="79"/>
      <c r="F726" s="79"/>
      <c r="G726" s="79"/>
      <c r="H726" s="79"/>
    </row>
    <row r="727">
      <c r="A727" s="79"/>
      <c r="B727" s="79"/>
      <c r="C727" s="79"/>
      <c r="D727" s="79"/>
      <c r="E727" s="79"/>
      <c r="F727" s="79"/>
      <c r="G727" s="79"/>
      <c r="H727" s="79"/>
    </row>
    <row r="728">
      <c r="A728" s="79"/>
      <c r="B728" s="79"/>
      <c r="C728" s="79"/>
      <c r="D728" s="79"/>
      <c r="E728" s="79"/>
      <c r="F728" s="79"/>
      <c r="G728" s="79"/>
      <c r="H728" s="79"/>
    </row>
    <row r="729">
      <c r="A729" s="79"/>
      <c r="B729" s="79"/>
      <c r="C729" s="79"/>
      <c r="D729" s="79"/>
      <c r="E729" s="79"/>
      <c r="F729" s="79"/>
      <c r="G729" s="79"/>
      <c r="H729" s="79"/>
    </row>
    <row r="730">
      <c r="A730" s="79"/>
      <c r="B730" s="79"/>
      <c r="C730" s="79"/>
      <c r="D730" s="79"/>
      <c r="E730" s="79"/>
      <c r="F730" s="79"/>
      <c r="G730" s="79"/>
      <c r="H730" s="79"/>
    </row>
    <row r="731">
      <c r="A731" s="79"/>
      <c r="B731" s="79"/>
      <c r="C731" s="79"/>
      <c r="D731" s="79"/>
      <c r="E731" s="79"/>
      <c r="F731" s="79"/>
      <c r="G731" s="79"/>
      <c r="H731" s="79"/>
    </row>
    <row r="732">
      <c r="A732" s="79"/>
      <c r="B732" s="79"/>
      <c r="C732" s="79"/>
      <c r="D732" s="79"/>
      <c r="E732" s="79"/>
      <c r="F732" s="79"/>
      <c r="G732" s="79"/>
      <c r="H732" s="79"/>
    </row>
    <row r="733">
      <c r="A733" s="79"/>
      <c r="B733" s="79"/>
      <c r="C733" s="79"/>
      <c r="D733" s="79"/>
      <c r="E733" s="79"/>
      <c r="F733" s="79"/>
      <c r="G733" s="79"/>
      <c r="H733" s="79"/>
    </row>
    <row r="734">
      <c r="A734" s="79"/>
      <c r="B734" s="79"/>
      <c r="C734" s="79"/>
      <c r="D734" s="79"/>
      <c r="E734" s="79"/>
      <c r="F734" s="79"/>
      <c r="G734" s="79"/>
      <c r="H734" s="79"/>
    </row>
    <row r="735">
      <c r="A735" s="79"/>
      <c r="B735" s="79"/>
      <c r="C735" s="79"/>
      <c r="D735" s="79"/>
      <c r="E735" s="79"/>
      <c r="F735" s="79"/>
      <c r="G735" s="79"/>
      <c r="H735" s="79"/>
    </row>
    <row r="736">
      <c r="A736" s="79"/>
      <c r="B736" s="79"/>
      <c r="C736" s="79"/>
      <c r="D736" s="79"/>
      <c r="E736" s="79"/>
      <c r="F736" s="79"/>
      <c r="G736" s="79"/>
      <c r="H736" s="79"/>
    </row>
    <row r="737">
      <c r="A737" s="79"/>
      <c r="B737" s="79"/>
      <c r="C737" s="79"/>
      <c r="D737" s="79"/>
      <c r="E737" s="79"/>
      <c r="F737" s="79"/>
      <c r="G737" s="79"/>
      <c r="H737" s="79"/>
    </row>
    <row r="738">
      <c r="A738" s="79"/>
      <c r="B738" s="79"/>
      <c r="C738" s="79"/>
      <c r="D738" s="79"/>
      <c r="E738" s="79"/>
      <c r="F738" s="79"/>
      <c r="G738" s="79"/>
      <c r="H738" s="79"/>
    </row>
    <row r="739">
      <c r="A739" s="79"/>
      <c r="B739" s="79"/>
      <c r="C739" s="79"/>
      <c r="D739" s="79"/>
      <c r="E739" s="79"/>
      <c r="F739" s="79"/>
      <c r="G739" s="79"/>
      <c r="H739" s="79"/>
    </row>
    <row r="740">
      <c r="A740" s="79"/>
      <c r="B740" s="79"/>
      <c r="C740" s="79"/>
      <c r="D740" s="79"/>
      <c r="E740" s="79"/>
      <c r="F740" s="79"/>
      <c r="G740" s="79"/>
      <c r="H740" s="79"/>
    </row>
    <row r="741">
      <c r="A741" s="79"/>
      <c r="B741" s="79"/>
      <c r="C741" s="79"/>
      <c r="D741" s="79"/>
      <c r="E741" s="79"/>
      <c r="F741" s="79"/>
      <c r="G741" s="79"/>
      <c r="H741" s="79"/>
    </row>
    <row r="742">
      <c r="A742" s="79"/>
      <c r="B742" s="79"/>
      <c r="C742" s="79"/>
      <c r="D742" s="79"/>
      <c r="E742" s="79"/>
      <c r="F742" s="79"/>
      <c r="G742" s="79"/>
      <c r="H742" s="79"/>
    </row>
    <row r="743">
      <c r="A743" s="79"/>
      <c r="B743" s="79"/>
      <c r="C743" s="79"/>
      <c r="D743" s="79"/>
      <c r="E743" s="79"/>
      <c r="F743" s="79"/>
      <c r="G743" s="79"/>
      <c r="H743" s="79"/>
    </row>
    <row r="744">
      <c r="A744" s="79"/>
      <c r="B744" s="79"/>
      <c r="C744" s="79"/>
      <c r="D744" s="79"/>
      <c r="E744" s="79"/>
      <c r="F744" s="79"/>
      <c r="G744" s="79"/>
      <c r="H744" s="79"/>
    </row>
    <row r="745">
      <c r="A745" s="79"/>
      <c r="B745" s="79"/>
      <c r="C745" s="79"/>
      <c r="D745" s="79"/>
      <c r="E745" s="79"/>
      <c r="F745" s="79"/>
      <c r="G745" s="79"/>
      <c r="H745" s="79"/>
    </row>
    <row r="746">
      <c r="A746" s="79"/>
      <c r="B746" s="79"/>
      <c r="C746" s="79"/>
      <c r="D746" s="79"/>
      <c r="E746" s="79"/>
      <c r="F746" s="79"/>
      <c r="G746" s="79"/>
      <c r="H746" s="79"/>
    </row>
    <row r="747">
      <c r="A747" s="79"/>
      <c r="B747" s="79"/>
      <c r="C747" s="79"/>
      <c r="D747" s="79"/>
      <c r="E747" s="79"/>
      <c r="F747" s="79"/>
      <c r="G747" s="79"/>
      <c r="H747" s="79"/>
    </row>
    <row r="748">
      <c r="A748" s="79"/>
      <c r="B748" s="79"/>
      <c r="C748" s="79"/>
      <c r="D748" s="79"/>
      <c r="E748" s="79"/>
      <c r="F748" s="79"/>
      <c r="G748" s="79"/>
      <c r="H748" s="79"/>
    </row>
    <row r="749">
      <c r="A749" s="79"/>
      <c r="B749" s="79"/>
      <c r="C749" s="79"/>
      <c r="D749" s="79"/>
      <c r="E749" s="79"/>
      <c r="F749" s="79"/>
      <c r="G749" s="79"/>
      <c r="H749" s="79"/>
    </row>
    <row r="750">
      <c r="A750" s="79"/>
      <c r="B750" s="79"/>
      <c r="C750" s="79"/>
      <c r="D750" s="79"/>
      <c r="E750" s="79"/>
      <c r="F750" s="79"/>
      <c r="G750" s="79"/>
      <c r="H750" s="79"/>
    </row>
    <row r="751">
      <c r="A751" s="79"/>
      <c r="B751" s="79"/>
      <c r="C751" s="79"/>
      <c r="D751" s="79"/>
      <c r="E751" s="79"/>
      <c r="F751" s="79"/>
      <c r="G751" s="79"/>
      <c r="H751" s="79"/>
    </row>
    <row r="752">
      <c r="A752" s="79"/>
      <c r="B752" s="79"/>
      <c r="C752" s="79"/>
      <c r="D752" s="79"/>
      <c r="E752" s="79"/>
      <c r="F752" s="79"/>
      <c r="G752" s="79"/>
      <c r="H752" s="79"/>
    </row>
    <row r="753">
      <c r="A753" s="79"/>
      <c r="B753" s="79"/>
      <c r="C753" s="79"/>
      <c r="D753" s="79"/>
      <c r="E753" s="79"/>
      <c r="F753" s="79"/>
      <c r="G753" s="79"/>
      <c r="H753" s="79"/>
    </row>
    <row r="754">
      <c r="A754" s="79"/>
      <c r="B754" s="79"/>
      <c r="C754" s="79"/>
      <c r="D754" s="79"/>
      <c r="E754" s="79"/>
      <c r="F754" s="79"/>
      <c r="G754" s="79"/>
      <c r="H754" s="79"/>
    </row>
    <row r="755">
      <c r="A755" s="79"/>
      <c r="B755" s="79"/>
      <c r="C755" s="79"/>
      <c r="D755" s="79"/>
      <c r="E755" s="79"/>
      <c r="F755" s="79"/>
      <c r="G755" s="79"/>
      <c r="H755" s="79"/>
    </row>
    <row r="756">
      <c r="A756" s="79"/>
      <c r="B756" s="79"/>
      <c r="C756" s="79"/>
      <c r="D756" s="79"/>
      <c r="E756" s="79"/>
      <c r="F756" s="79"/>
      <c r="G756" s="79"/>
      <c r="H756" s="79"/>
    </row>
    <row r="757">
      <c r="A757" s="79"/>
      <c r="B757" s="79"/>
      <c r="C757" s="79"/>
      <c r="D757" s="79"/>
      <c r="E757" s="79"/>
      <c r="F757" s="79"/>
      <c r="G757" s="79"/>
      <c r="H757" s="79"/>
    </row>
    <row r="758">
      <c r="A758" s="79"/>
      <c r="B758" s="79"/>
      <c r="C758" s="79"/>
      <c r="D758" s="79"/>
      <c r="E758" s="79"/>
      <c r="F758" s="79"/>
      <c r="G758" s="79"/>
      <c r="H758" s="79"/>
    </row>
    <row r="759">
      <c r="A759" s="79"/>
      <c r="B759" s="79"/>
      <c r="C759" s="79"/>
      <c r="D759" s="79"/>
      <c r="E759" s="79"/>
      <c r="F759" s="79"/>
      <c r="G759" s="79"/>
      <c r="H759" s="79"/>
    </row>
    <row r="760">
      <c r="A760" s="79"/>
      <c r="B760" s="79"/>
      <c r="C760" s="79"/>
      <c r="D760" s="79"/>
      <c r="E760" s="79"/>
      <c r="F760" s="79"/>
      <c r="G760" s="79"/>
      <c r="H760" s="79"/>
    </row>
    <row r="761">
      <c r="A761" s="79"/>
      <c r="B761" s="79"/>
      <c r="C761" s="79"/>
      <c r="D761" s="79"/>
      <c r="E761" s="79"/>
      <c r="F761" s="79"/>
      <c r="G761" s="79"/>
      <c r="H761" s="79"/>
    </row>
    <row r="762">
      <c r="A762" s="79"/>
      <c r="B762" s="79"/>
      <c r="C762" s="79"/>
      <c r="D762" s="79"/>
      <c r="E762" s="79"/>
      <c r="F762" s="79"/>
      <c r="G762" s="79"/>
      <c r="H762" s="79"/>
    </row>
    <row r="763">
      <c r="A763" s="79"/>
      <c r="B763" s="79"/>
      <c r="C763" s="79"/>
      <c r="D763" s="79"/>
      <c r="E763" s="79"/>
      <c r="F763" s="79"/>
      <c r="G763" s="79"/>
      <c r="H763" s="79"/>
    </row>
    <row r="764">
      <c r="A764" s="79"/>
      <c r="B764" s="79"/>
      <c r="C764" s="79"/>
      <c r="D764" s="79"/>
      <c r="E764" s="79"/>
      <c r="F764" s="79"/>
      <c r="G764" s="79"/>
      <c r="H764" s="79"/>
    </row>
    <row r="765">
      <c r="A765" s="79"/>
      <c r="B765" s="79"/>
      <c r="C765" s="79"/>
      <c r="D765" s="79"/>
      <c r="E765" s="79"/>
      <c r="F765" s="79"/>
      <c r="G765" s="79"/>
      <c r="H765" s="79"/>
    </row>
    <row r="766">
      <c r="A766" s="79"/>
      <c r="B766" s="79"/>
      <c r="C766" s="79"/>
      <c r="D766" s="79"/>
      <c r="E766" s="79"/>
      <c r="F766" s="79"/>
      <c r="G766" s="79"/>
      <c r="H766" s="79"/>
    </row>
    <row r="767">
      <c r="A767" s="79"/>
      <c r="B767" s="79"/>
      <c r="C767" s="79"/>
      <c r="D767" s="79"/>
      <c r="E767" s="79"/>
      <c r="F767" s="79"/>
      <c r="G767" s="79"/>
      <c r="H767" s="79"/>
    </row>
    <row r="768">
      <c r="A768" s="79"/>
      <c r="B768" s="79"/>
      <c r="C768" s="79"/>
      <c r="D768" s="79"/>
      <c r="E768" s="79"/>
      <c r="F768" s="79"/>
      <c r="G768" s="79"/>
      <c r="H768" s="79"/>
    </row>
    <row r="769">
      <c r="A769" s="79"/>
      <c r="B769" s="79"/>
      <c r="C769" s="79"/>
      <c r="D769" s="79"/>
      <c r="E769" s="79"/>
      <c r="F769" s="79"/>
      <c r="G769" s="79"/>
      <c r="H769" s="79"/>
    </row>
    <row r="770">
      <c r="A770" s="79"/>
      <c r="B770" s="79"/>
      <c r="C770" s="79"/>
      <c r="D770" s="79"/>
      <c r="E770" s="79"/>
      <c r="F770" s="79"/>
      <c r="G770" s="79"/>
      <c r="H770" s="79"/>
    </row>
    <row r="771">
      <c r="A771" s="79"/>
      <c r="B771" s="79"/>
      <c r="C771" s="79"/>
      <c r="D771" s="79"/>
      <c r="E771" s="79"/>
      <c r="F771" s="79"/>
      <c r="G771" s="79"/>
      <c r="H771" s="79"/>
    </row>
    <row r="772">
      <c r="A772" s="79"/>
      <c r="B772" s="79"/>
      <c r="C772" s="79"/>
      <c r="D772" s="79"/>
      <c r="E772" s="79"/>
      <c r="F772" s="79"/>
      <c r="G772" s="79"/>
      <c r="H772" s="79"/>
    </row>
    <row r="773">
      <c r="A773" s="79"/>
      <c r="B773" s="79"/>
      <c r="C773" s="79"/>
      <c r="D773" s="79"/>
      <c r="E773" s="79"/>
      <c r="F773" s="79"/>
      <c r="G773" s="79"/>
      <c r="H773" s="79"/>
    </row>
    <row r="774">
      <c r="A774" s="79"/>
      <c r="B774" s="79"/>
      <c r="C774" s="79"/>
      <c r="D774" s="79"/>
      <c r="E774" s="79"/>
      <c r="F774" s="79"/>
      <c r="G774" s="79"/>
      <c r="H774" s="79"/>
    </row>
    <row r="775">
      <c r="A775" s="79"/>
      <c r="B775" s="79"/>
      <c r="C775" s="79"/>
      <c r="D775" s="79"/>
      <c r="E775" s="79"/>
      <c r="F775" s="79"/>
      <c r="G775" s="79"/>
      <c r="H775" s="79"/>
    </row>
    <row r="776">
      <c r="A776" s="79"/>
      <c r="B776" s="79"/>
      <c r="C776" s="79"/>
      <c r="D776" s="79"/>
      <c r="E776" s="79"/>
      <c r="F776" s="79"/>
      <c r="G776" s="79"/>
      <c r="H776" s="79"/>
    </row>
    <row r="777">
      <c r="A777" s="79"/>
      <c r="B777" s="79"/>
      <c r="C777" s="79"/>
      <c r="D777" s="79"/>
      <c r="E777" s="79"/>
      <c r="F777" s="79"/>
      <c r="G777" s="79"/>
      <c r="H777" s="79"/>
    </row>
    <row r="778">
      <c r="A778" s="79"/>
      <c r="B778" s="79"/>
      <c r="C778" s="79"/>
      <c r="D778" s="79"/>
      <c r="E778" s="79"/>
      <c r="F778" s="79"/>
      <c r="G778" s="79"/>
      <c r="H778" s="79"/>
    </row>
    <row r="779">
      <c r="A779" s="79"/>
      <c r="B779" s="79"/>
      <c r="C779" s="79"/>
      <c r="D779" s="79"/>
      <c r="E779" s="79"/>
      <c r="F779" s="79"/>
      <c r="G779" s="79"/>
      <c r="H779" s="79"/>
    </row>
    <row r="780">
      <c r="A780" s="79"/>
      <c r="B780" s="79"/>
      <c r="C780" s="79"/>
      <c r="D780" s="79"/>
      <c r="E780" s="79"/>
      <c r="F780" s="79"/>
      <c r="G780" s="79"/>
      <c r="H780" s="79"/>
    </row>
    <row r="781">
      <c r="A781" s="79"/>
      <c r="B781" s="79"/>
      <c r="C781" s="79"/>
      <c r="D781" s="79"/>
      <c r="E781" s="79"/>
      <c r="F781" s="79"/>
      <c r="G781" s="79"/>
      <c r="H781" s="79"/>
    </row>
    <row r="782">
      <c r="A782" s="79"/>
      <c r="B782" s="79"/>
      <c r="C782" s="79"/>
      <c r="D782" s="79"/>
      <c r="E782" s="79"/>
      <c r="F782" s="79"/>
      <c r="G782" s="79"/>
      <c r="H782" s="79"/>
    </row>
    <row r="783">
      <c r="A783" s="79"/>
      <c r="B783" s="79"/>
      <c r="C783" s="79"/>
      <c r="D783" s="79"/>
      <c r="E783" s="79"/>
      <c r="F783" s="79"/>
      <c r="G783" s="79"/>
      <c r="H783" s="79"/>
    </row>
    <row r="784">
      <c r="A784" s="79"/>
      <c r="B784" s="79"/>
      <c r="C784" s="79"/>
      <c r="D784" s="79"/>
      <c r="E784" s="79"/>
      <c r="F784" s="79"/>
      <c r="G784" s="79"/>
      <c r="H784" s="79"/>
    </row>
    <row r="785">
      <c r="A785" s="79"/>
      <c r="B785" s="79"/>
      <c r="C785" s="79"/>
      <c r="D785" s="79"/>
      <c r="E785" s="79"/>
      <c r="F785" s="79"/>
      <c r="G785" s="79"/>
      <c r="H785" s="79"/>
    </row>
    <row r="786">
      <c r="A786" s="79"/>
      <c r="B786" s="79"/>
      <c r="C786" s="79"/>
      <c r="D786" s="79"/>
      <c r="E786" s="79"/>
      <c r="F786" s="79"/>
      <c r="G786" s="79"/>
      <c r="H786" s="79"/>
    </row>
    <row r="787">
      <c r="A787" s="79"/>
      <c r="B787" s="79"/>
      <c r="C787" s="79"/>
      <c r="D787" s="79"/>
      <c r="E787" s="79"/>
      <c r="F787" s="79"/>
      <c r="G787" s="79"/>
      <c r="H787" s="79"/>
    </row>
    <row r="788">
      <c r="A788" s="79"/>
      <c r="B788" s="79"/>
      <c r="C788" s="79"/>
      <c r="D788" s="79"/>
      <c r="E788" s="79"/>
      <c r="F788" s="79"/>
      <c r="G788" s="79"/>
      <c r="H788" s="79"/>
    </row>
    <row r="789">
      <c r="A789" s="79"/>
      <c r="B789" s="79"/>
      <c r="C789" s="79"/>
      <c r="D789" s="79"/>
      <c r="E789" s="79"/>
      <c r="F789" s="79"/>
      <c r="G789" s="79"/>
      <c r="H789" s="79"/>
    </row>
    <row r="790">
      <c r="A790" s="79"/>
      <c r="B790" s="79"/>
      <c r="C790" s="79"/>
      <c r="D790" s="79"/>
      <c r="E790" s="79"/>
      <c r="F790" s="79"/>
      <c r="G790" s="79"/>
      <c r="H790" s="79"/>
    </row>
    <row r="791">
      <c r="A791" s="79"/>
      <c r="B791" s="79"/>
      <c r="C791" s="79"/>
      <c r="D791" s="79"/>
      <c r="E791" s="79"/>
      <c r="F791" s="79"/>
      <c r="G791" s="79"/>
      <c r="H791" s="79"/>
    </row>
    <row r="792">
      <c r="A792" s="79"/>
      <c r="B792" s="79"/>
      <c r="C792" s="79"/>
      <c r="D792" s="79"/>
      <c r="E792" s="79"/>
      <c r="F792" s="79"/>
      <c r="G792" s="79"/>
      <c r="H792" s="79"/>
    </row>
    <row r="793">
      <c r="A793" s="79"/>
      <c r="B793" s="79"/>
      <c r="C793" s="79"/>
      <c r="D793" s="79"/>
      <c r="E793" s="79"/>
      <c r="F793" s="79"/>
      <c r="G793" s="79"/>
      <c r="H793" s="79"/>
    </row>
    <row r="794">
      <c r="A794" s="79"/>
      <c r="B794" s="79"/>
      <c r="C794" s="79"/>
      <c r="D794" s="79"/>
      <c r="E794" s="79"/>
      <c r="F794" s="79"/>
      <c r="G794" s="79"/>
      <c r="H794" s="79"/>
    </row>
    <row r="795">
      <c r="A795" s="79"/>
      <c r="B795" s="79"/>
      <c r="C795" s="79"/>
      <c r="D795" s="79"/>
      <c r="E795" s="79"/>
      <c r="F795" s="79"/>
      <c r="G795" s="79"/>
      <c r="H795" s="79"/>
    </row>
    <row r="796">
      <c r="A796" s="79"/>
      <c r="B796" s="79"/>
      <c r="C796" s="79"/>
      <c r="D796" s="79"/>
      <c r="E796" s="79"/>
      <c r="F796" s="79"/>
      <c r="G796" s="79"/>
      <c r="H796" s="79"/>
    </row>
    <row r="797">
      <c r="A797" s="79"/>
      <c r="B797" s="79"/>
      <c r="C797" s="79"/>
      <c r="D797" s="79"/>
      <c r="E797" s="79"/>
      <c r="F797" s="79"/>
      <c r="G797" s="79"/>
      <c r="H797" s="79"/>
    </row>
    <row r="798">
      <c r="A798" s="79"/>
      <c r="B798" s="79"/>
      <c r="C798" s="79"/>
      <c r="D798" s="79"/>
      <c r="E798" s="79"/>
      <c r="F798" s="79"/>
      <c r="G798" s="79"/>
      <c r="H798" s="79"/>
    </row>
    <row r="799">
      <c r="A799" s="79"/>
      <c r="B799" s="79"/>
      <c r="C799" s="79"/>
      <c r="D799" s="79"/>
      <c r="E799" s="79"/>
      <c r="F799" s="79"/>
      <c r="G799" s="79"/>
      <c r="H799" s="79"/>
    </row>
    <row r="800">
      <c r="A800" s="79"/>
      <c r="B800" s="79"/>
      <c r="C800" s="79"/>
      <c r="D800" s="79"/>
      <c r="E800" s="79"/>
      <c r="F800" s="79"/>
      <c r="G800" s="79"/>
      <c r="H800" s="79"/>
    </row>
    <row r="801">
      <c r="A801" s="79"/>
      <c r="B801" s="79"/>
      <c r="C801" s="79"/>
      <c r="D801" s="79"/>
      <c r="E801" s="79"/>
      <c r="F801" s="79"/>
      <c r="G801" s="79"/>
      <c r="H801" s="79"/>
    </row>
    <row r="802">
      <c r="A802" s="79"/>
      <c r="B802" s="79"/>
      <c r="C802" s="79"/>
      <c r="D802" s="79"/>
      <c r="E802" s="79"/>
      <c r="F802" s="79"/>
      <c r="G802" s="79"/>
      <c r="H802" s="79"/>
    </row>
    <row r="803">
      <c r="A803" s="79"/>
      <c r="B803" s="79"/>
      <c r="C803" s="79"/>
      <c r="D803" s="79"/>
      <c r="E803" s="79"/>
      <c r="F803" s="79"/>
      <c r="G803" s="79"/>
      <c r="H803" s="79"/>
    </row>
    <row r="804">
      <c r="A804" s="79"/>
      <c r="B804" s="79"/>
      <c r="C804" s="79"/>
      <c r="D804" s="79"/>
      <c r="E804" s="79"/>
      <c r="F804" s="79"/>
      <c r="G804" s="79"/>
      <c r="H804" s="79"/>
    </row>
    <row r="805">
      <c r="A805" s="79"/>
      <c r="B805" s="79"/>
      <c r="C805" s="79"/>
      <c r="D805" s="79"/>
      <c r="E805" s="79"/>
      <c r="F805" s="79"/>
      <c r="G805" s="79"/>
      <c r="H805" s="79"/>
    </row>
    <row r="806">
      <c r="A806" s="79"/>
      <c r="B806" s="79"/>
      <c r="C806" s="79"/>
      <c r="D806" s="79"/>
      <c r="E806" s="79"/>
      <c r="F806" s="79"/>
      <c r="G806" s="79"/>
      <c r="H806" s="79"/>
    </row>
    <row r="807">
      <c r="A807" s="79"/>
      <c r="B807" s="79"/>
      <c r="C807" s="79"/>
      <c r="D807" s="79"/>
      <c r="E807" s="79"/>
      <c r="F807" s="79"/>
      <c r="G807" s="79"/>
      <c r="H807" s="79"/>
    </row>
    <row r="808">
      <c r="A808" s="79"/>
      <c r="B808" s="79"/>
      <c r="C808" s="79"/>
      <c r="D808" s="79"/>
      <c r="E808" s="79"/>
      <c r="F808" s="79"/>
      <c r="G808" s="79"/>
      <c r="H808" s="79"/>
    </row>
    <row r="809">
      <c r="A809" s="79"/>
      <c r="B809" s="79"/>
      <c r="C809" s="79"/>
      <c r="D809" s="79"/>
      <c r="E809" s="79"/>
      <c r="F809" s="79"/>
      <c r="G809" s="79"/>
      <c r="H809" s="79"/>
    </row>
    <row r="810">
      <c r="A810" s="79"/>
      <c r="B810" s="79"/>
      <c r="C810" s="79"/>
      <c r="D810" s="79"/>
      <c r="E810" s="79"/>
      <c r="F810" s="79"/>
      <c r="G810" s="79"/>
      <c r="H810" s="79"/>
    </row>
    <row r="811">
      <c r="A811" s="79"/>
      <c r="B811" s="79"/>
      <c r="C811" s="79"/>
      <c r="D811" s="79"/>
      <c r="E811" s="79"/>
      <c r="F811" s="79"/>
      <c r="G811" s="79"/>
      <c r="H811" s="79"/>
    </row>
    <row r="812">
      <c r="A812" s="79"/>
      <c r="B812" s="79"/>
      <c r="C812" s="79"/>
      <c r="D812" s="79"/>
      <c r="E812" s="79"/>
      <c r="F812" s="79"/>
      <c r="G812" s="79"/>
      <c r="H812" s="79"/>
    </row>
    <row r="813">
      <c r="A813" s="79"/>
      <c r="B813" s="79"/>
      <c r="C813" s="79"/>
      <c r="D813" s="79"/>
      <c r="E813" s="79"/>
      <c r="F813" s="79"/>
      <c r="G813" s="79"/>
      <c r="H813" s="79"/>
    </row>
    <row r="814">
      <c r="A814" s="79"/>
      <c r="B814" s="79"/>
      <c r="C814" s="79"/>
      <c r="D814" s="79"/>
      <c r="E814" s="79"/>
      <c r="F814" s="79"/>
      <c r="G814" s="79"/>
      <c r="H814" s="79"/>
    </row>
    <row r="815">
      <c r="A815" s="79"/>
      <c r="B815" s="79"/>
      <c r="C815" s="79"/>
      <c r="D815" s="79"/>
      <c r="E815" s="79"/>
      <c r="F815" s="79"/>
      <c r="G815" s="79"/>
      <c r="H815" s="79"/>
    </row>
    <row r="816">
      <c r="A816" s="79"/>
      <c r="B816" s="79"/>
      <c r="C816" s="79"/>
      <c r="D816" s="79"/>
      <c r="E816" s="79"/>
      <c r="F816" s="79"/>
      <c r="G816" s="79"/>
      <c r="H816" s="79"/>
    </row>
    <row r="817">
      <c r="A817" s="79"/>
      <c r="B817" s="79"/>
      <c r="C817" s="79"/>
      <c r="D817" s="79"/>
      <c r="E817" s="79"/>
      <c r="F817" s="79"/>
      <c r="G817" s="79"/>
      <c r="H817" s="79"/>
    </row>
    <row r="818">
      <c r="A818" s="79"/>
      <c r="B818" s="79"/>
      <c r="C818" s="79"/>
      <c r="D818" s="79"/>
      <c r="E818" s="79"/>
      <c r="F818" s="79"/>
      <c r="G818" s="79"/>
      <c r="H818" s="79"/>
    </row>
    <row r="819">
      <c r="A819" s="79"/>
      <c r="B819" s="79"/>
      <c r="C819" s="79"/>
      <c r="D819" s="79"/>
      <c r="E819" s="79"/>
      <c r="F819" s="79"/>
      <c r="G819" s="79"/>
      <c r="H819" s="79"/>
    </row>
    <row r="820">
      <c r="A820" s="79"/>
      <c r="B820" s="79"/>
      <c r="C820" s="79"/>
      <c r="D820" s="79"/>
      <c r="E820" s="79"/>
      <c r="F820" s="79"/>
      <c r="G820" s="79"/>
      <c r="H820" s="79"/>
    </row>
    <row r="821">
      <c r="A821" s="79"/>
      <c r="B821" s="79"/>
      <c r="C821" s="79"/>
      <c r="D821" s="79"/>
      <c r="E821" s="79"/>
      <c r="F821" s="79"/>
      <c r="G821" s="79"/>
      <c r="H821" s="79"/>
    </row>
    <row r="822">
      <c r="A822" s="79"/>
      <c r="B822" s="79"/>
      <c r="C822" s="79"/>
      <c r="D822" s="79"/>
      <c r="E822" s="79"/>
      <c r="F822" s="79"/>
      <c r="G822" s="79"/>
      <c r="H822" s="79"/>
    </row>
    <row r="823">
      <c r="A823" s="79"/>
      <c r="B823" s="79"/>
      <c r="C823" s="79"/>
      <c r="D823" s="79"/>
      <c r="E823" s="79"/>
      <c r="F823" s="79"/>
      <c r="G823" s="79"/>
      <c r="H823" s="79"/>
    </row>
    <row r="824">
      <c r="A824" s="79"/>
      <c r="B824" s="79"/>
      <c r="C824" s="79"/>
      <c r="D824" s="79"/>
      <c r="E824" s="79"/>
      <c r="F824" s="79"/>
      <c r="G824" s="79"/>
      <c r="H824" s="79"/>
    </row>
    <row r="825">
      <c r="A825" s="79"/>
      <c r="B825" s="79"/>
      <c r="C825" s="79"/>
      <c r="D825" s="79"/>
      <c r="E825" s="79"/>
      <c r="F825" s="79"/>
      <c r="G825" s="79"/>
      <c r="H825" s="79"/>
    </row>
    <row r="826">
      <c r="A826" s="79"/>
      <c r="B826" s="79"/>
      <c r="C826" s="79"/>
      <c r="D826" s="79"/>
      <c r="E826" s="79"/>
      <c r="F826" s="79"/>
      <c r="G826" s="79"/>
      <c r="H826" s="79"/>
    </row>
    <row r="827">
      <c r="A827" s="79"/>
      <c r="B827" s="79"/>
      <c r="C827" s="79"/>
      <c r="D827" s="79"/>
      <c r="E827" s="79"/>
      <c r="F827" s="79"/>
      <c r="G827" s="79"/>
      <c r="H827" s="79"/>
    </row>
    <row r="828">
      <c r="A828" s="79"/>
      <c r="B828" s="79"/>
      <c r="C828" s="79"/>
      <c r="D828" s="79"/>
      <c r="E828" s="79"/>
      <c r="F828" s="79"/>
      <c r="G828" s="79"/>
      <c r="H828" s="79"/>
    </row>
    <row r="829">
      <c r="A829" s="79"/>
      <c r="B829" s="79"/>
      <c r="C829" s="79"/>
      <c r="D829" s="79"/>
      <c r="E829" s="79"/>
      <c r="F829" s="79"/>
      <c r="G829" s="79"/>
      <c r="H829" s="79"/>
    </row>
    <row r="830">
      <c r="A830" s="79"/>
      <c r="B830" s="79"/>
      <c r="C830" s="79"/>
      <c r="D830" s="79"/>
      <c r="E830" s="79"/>
      <c r="F830" s="79"/>
      <c r="G830" s="79"/>
      <c r="H830" s="79"/>
    </row>
    <row r="831">
      <c r="A831" s="79"/>
      <c r="B831" s="79"/>
      <c r="C831" s="79"/>
      <c r="D831" s="79"/>
      <c r="E831" s="79"/>
      <c r="F831" s="79"/>
      <c r="G831" s="79"/>
      <c r="H831" s="79"/>
    </row>
    <row r="832">
      <c r="A832" s="79"/>
      <c r="B832" s="79"/>
      <c r="C832" s="79"/>
      <c r="D832" s="79"/>
      <c r="E832" s="79"/>
      <c r="F832" s="79"/>
      <c r="G832" s="79"/>
      <c r="H832" s="79"/>
    </row>
    <row r="833">
      <c r="A833" s="79"/>
      <c r="B833" s="79"/>
      <c r="C833" s="79"/>
      <c r="D833" s="79"/>
      <c r="E833" s="79"/>
      <c r="F833" s="79"/>
      <c r="G833" s="79"/>
      <c r="H833" s="79"/>
    </row>
    <row r="834">
      <c r="A834" s="79"/>
      <c r="B834" s="79"/>
      <c r="C834" s="79"/>
      <c r="D834" s="79"/>
      <c r="E834" s="79"/>
      <c r="F834" s="79"/>
      <c r="G834" s="79"/>
      <c r="H834" s="79"/>
    </row>
    <row r="835">
      <c r="A835" s="79"/>
      <c r="B835" s="79"/>
      <c r="C835" s="79"/>
      <c r="D835" s="79"/>
      <c r="E835" s="79"/>
      <c r="F835" s="79"/>
      <c r="G835" s="79"/>
      <c r="H835" s="79"/>
    </row>
    <row r="836">
      <c r="A836" s="79"/>
      <c r="B836" s="79"/>
      <c r="C836" s="79"/>
      <c r="D836" s="79"/>
      <c r="E836" s="79"/>
      <c r="F836" s="79"/>
      <c r="G836" s="79"/>
      <c r="H836" s="79"/>
    </row>
    <row r="837">
      <c r="A837" s="79"/>
      <c r="B837" s="79"/>
      <c r="C837" s="79"/>
      <c r="D837" s="79"/>
      <c r="E837" s="79"/>
      <c r="F837" s="79"/>
      <c r="G837" s="79"/>
      <c r="H837" s="79"/>
    </row>
    <row r="838">
      <c r="A838" s="79"/>
      <c r="B838" s="79"/>
      <c r="C838" s="79"/>
      <c r="D838" s="79"/>
      <c r="E838" s="79"/>
      <c r="F838" s="79"/>
      <c r="G838" s="79"/>
      <c r="H838" s="79"/>
    </row>
    <row r="839">
      <c r="A839" s="79"/>
      <c r="B839" s="79"/>
      <c r="C839" s="79"/>
      <c r="D839" s="79"/>
      <c r="E839" s="79"/>
      <c r="F839" s="79"/>
      <c r="G839" s="79"/>
      <c r="H839" s="79"/>
    </row>
    <row r="840">
      <c r="A840" s="79"/>
      <c r="B840" s="79"/>
      <c r="C840" s="79"/>
      <c r="D840" s="79"/>
      <c r="E840" s="79"/>
      <c r="F840" s="79"/>
      <c r="G840" s="79"/>
      <c r="H840" s="79"/>
    </row>
    <row r="841">
      <c r="A841" s="79"/>
      <c r="B841" s="79"/>
      <c r="C841" s="79"/>
      <c r="D841" s="79"/>
      <c r="E841" s="79"/>
      <c r="F841" s="79"/>
      <c r="G841" s="79"/>
      <c r="H841" s="79"/>
    </row>
    <row r="842">
      <c r="A842" s="79"/>
      <c r="B842" s="79"/>
      <c r="C842" s="79"/>
      <c r="D842" s="79"/>
      <c r="E842" s="79"/>
      <c r="F842" s="79"/>
      <c r="G842" s="79"/>
      <c r="H842" s="79"/>
    </row>
    <row r="843">
      <c r="A843" s="79"/>
      <c r="B843" s="79"/>
      <c r="C843" s="79"/>
      <c r="D843" s="79"/>
      <c r="E843" s="79"/>
      <c r="F843" s="79"/>
      <c r="G843" s="79"/>
      <c r="H843" s="79"/>
    </row>
    <row r="844">
      <c r="A844" s="79"/>
      <c r="B844" s="79"/>
      <c r="C844" s="79"/>
      <c r="D844" s="79"/>
      <c r="E844" s="79"/>
      <c r="F844" s="79"/>
      <c r="G844" s="79"/>
      <c r="H844" s="79"/>
    </row>
    <row r="845">
      <c r="A845" s="79"/>
      <c r="B845" s="79"/>
      <c r="C845" s="79"/>
      <c r="D845" s="79"/>
      <c r="E845" s="79"/>
      <c r="F845" s="79"/>
      <c r="G845" s="79"/>
      <c r="H845" s="79"/>
    </row>
    <row r="846">
      <c r="A846" s="79"/>
      <c r="B846" s="79"/>
      <c r="C846" s="79"/>
      <c r="D846" s="79"/>
      <c r="E846" s="79"/>
      <c r="F846" s="79"/>
      <c r="G846" s="79"/>
      <c r="H846" s="79"/>
    </row>
    <row r="847">
      <c r="A847" s="79"/>
      <c r="B847" s="79"/>
      <c r="C847" s="79"/>
      <c r="D847" s="79"/>
      <c r="E847" s="79"/>
      <c r="F847" s="79"/>
      <c r="G847" s="79"/>
      <c r="H847" s="79"/>
    </row>
    <row r="848">
      <c r="A848" s="79"/>
      <c r="B848" s="79"/>
      <c r="C848" s="79"/>
      <c r="D848" s="79"/>
      <c r="E848" s="79"/>
      <c r="F848" s="79"/>
      <c r="G848" s="79"/>
      <c r="H848" s="79"/>
    </row>
    <row r="849">
      <c r="A849" s="79"/>
      <c r="B849" s="79"/>
      <c r="C849" s="79"/>
      <c r="D849" s="79"/>
      <c r="E849" s="79"/>
      <c r="F849" s="79"/>
      <c r="G849" s="79"/>
      <c r="H849" s="79"/>
    </row>
    <row r="850">
      <c r="A850" s="79"/>
      <c r="B850" s="79"/>
      <c r="C850" s="79"/>
      <c r="D850" s="79"/>
      <c r="E850" s="79"/>
      <c r="F850" s="79"/>
      <c r="G850" s="79"/>
      <c r="H850" s="79"/>
    </row>
    <row r="851">
      <c r="A851" s="79"/>
      <c r="B851" s="79"/>
      <c r="C851" s="79"/>
      <c r="D851" s="79"/>
      <c r="E851" s="79"/>
      <c r="F851" s="79"/>
      <c r="G851" s="79"/>
      <c r="H851" s="79"/>
    </row>
    <row r="852">
      <c r="A852" s="79"/>
      <c r="B852" s="79"/>
      <c r="C852" s="79"/>
      <c r="D852" s="79"/>
      <c r="E852" s="79"/>
      <c r="F852" s="79"/>
      <c r="G852" s="79"/>
      <c r="H852" s="79"/>
    </row>
    <row r="853">
      <c r="A853" s="79"/>
      <c r="B853" s="79"/>
      <c r="C853" s="79"/>
      <c r="D853" s="79"/>
      <c r="E853" s="79"/>
      <c r="F853" s="79"/>
      <c r="G853" s="79"/>
      <c r="H853" s="79"/>
    </row>
    <row r="854">
      <c r="A854" s="79"/>
      <c r="B854" s="79"/>
      <c r="C854" s="79"/>
      <c r="D854" s="79"/>
      <c r="E854" s="79"/>
      <c r="F854" s="79"/>
      <c r="G854" s="79"/>
      <c r="H854" s="79"/>
    </row>
    <row r="855">
      <c r="A855" s="79"/>
      <c r="B855" s="79"/>
      <c r="C855" s="79"/>
      <c r="D855" s="79"/>
      <c r="E855" s="79"/>
      <c r="F855" s="79"/>
      <c r="G855" s="79"/>
      <c r="H855" s="79"/>
    </row>
    <row r="856">
      <c r="A856" s="79"/>
      <c r="B856" s="79"/>
      <c r="C856" s="79"/>
      <c r="D856" s="79"/>
      <c r="E856" s="79"/>
      <c r="F856" s="79"/>
      <c r="G856" s="79"/>
      <c r="H856" s="79"/>
    </row>
    <row r="857">
      <c r="A857" s="79"/>
      <c r="B857" s="79"/>
      <c r="C857" s="79"/>
      <c r="D857" s="79"/>
      <c r="E857" s="79"/>
      <c r="F857" s="79"/>
      <c r="G857" s="79"/>
      <c r="H857" s="79"/>
    </row>
    <row r="858">
      <c r="A858" s="79"/>
      <c r="B858" s="79"/>
      <c r="C858" s="79"/>
      <c r="D858" s="79"/>
      <c r="E858" s="79"/>
      <c r="F858" s="79"/>
      <c r="G858" s="79"/>
      <c r="H858" s="79"/>
    </row>
    <row r="859">
      <c r="A859" s="79"/>
      <c r="B859" s="79"/>
      <c r="C859" s="79"/>
      <c r="D859" s="79"/>
      <c r="E859" s="79"/>
      <c r="F859" s="79"/>
      <c r="G859" s="79"/>
      <c r="H859" s="79"/>
    </row>
    <row r="860">
      <c r="A860" s="79"/>
      <c r="B860" s="79"/>
      <c r="C860" s="79"/>
      <c r="D860" s="79"/>
      <c r="E860" s="79"/>
      <c r="F860" s="79"/>
      <c r="G860" s="79"/>
      <c r="H860" s="79"/>
    </row>
    <row r="861">
      <c r="A861" s="79"/>
      <c r="B861" s="79"/>
      <c r="C861" s="79"/>
      <c r="D861" s="79"/>
      <c r="E861" s="79"/>
      <c r="F861" s="79"/>
      <c r="G861" s="79"/>
      <c r="H861" s="79"/>
    </row>
    <row r="862">
      <c r="A862" s="79"/>
      <c r="B862" s="79"/>
      <c r="C862" s="79"/>
      <c r="D862" s="79"/>
      <c r="E862" s="79"/>
      <c r="F862" s="79"/>
      <c r="G862" s="79"/>
      <c r="H862" s="79"/>
    </row>
    <row r="863">
      <c r="A863" s="79"/>
      <c r="B863" s="79"/>
      <c r="C863" s="79"/>
      <c r="D863" s="79"/>
      <c r="E863" s="79"/>
      <c r="F863" s="79"/>
      <c r="G863" s="79"/>
      <c r="H863" s="79"/>
    </row>
    <row r="864">
      <c r="A864" s="79"/>
      <c r="B864" s="79"/>
      <c r="C864" s="79"/>
      <c r="D864" s="79"/>
      <c r="E864" s="79"/>
      <c r="F864" s="79"/>
      <c r="G864" s="79"/>
      <c r="H864" s="79"/>
    </row>
    <row r="865">
      <c r="A865" s="79"/>
      <c r="B865" s="79"/>
      <c r="C865" s="79"/>
      <c r="D865" s="79"/>
      <c r="E865" s="79"/>
      <c r="F865" s="79"/>
      <c r="G865" s="79"/>
      <c r="H865" s="79"/>
    </row>
    <row r="866">
      <c r="A866" s="79"/>
      <c r="B866" s="79"/>
      <c r="C866" s="79"/>
      <c r="D866" s="79"/>
      <c r="E866" s="79"/>
      <c r="F866" s="79"/>
      <c r="G866" s="79"/>
      <c r="H866" s="79"/>
    </row>
    <row r="867">
      <c r="A867" s="79"/>
      <c r="B867" s="79"/>
      <c r="C867" s="79"/>
      <c r="D867" s="79"/>
      <c r="E867" s="79"/>
      <c r="F867" s="79"/>
      <c r="G867" s="79"/>
      <c r="H867" s="79"/>
    </row>
    <row r="868">
      <c r="A868" s="79"/>
      <c r="B868" s="79"/>
      <c r="C868" s="79"/>
      <c r="D868" s="79"/>
      <c r="E868" s="79"/>
      <c r="F868" s="79"/>
      <c r="G868" s="79"/>
      <c r="H868" s="79"/>
    </row>
    <row r="869">
      <c r="A869" s="79"/>
      <c r="B869" s="79"/>
      <c r="C869" s="79"/>
      <c r="D869" s="79"/>
      <c r="E869" s="79"/>
      <c r="F869" s="79"/>
      <c r="G869" s="79"/>
      <c r="H869" s="79"/>
    </row>
    <row r="870">
      <c r="A870" s="79"/>
      <c r="B870" s="79"/>
      <c r="C870" s="79"/>
      <c r="D870" s="79"/>
      <c r="E870" s="79"/>
      <c r="F870" s="79"/>
      <c r="G870" s="79"/>
      <c r="H870" s="79"/>
    </row>
    <row r="871">
      <c r="A871" s="79"/>
      <c r="B871" s="79"/>
      <c r="C871" s="79"/>
      <c r="D871" s="79"/>
      <c r="E871" s="79"/>
      <c r="F871" s="79"/>
      <c r="G871" s="79"/>
      <c r="H871" s="79"/>
    </row>
    <row r="872">
      <c r="A872" s="79"/>
      <c r="B872" s="79"/>
      <c r="C872" s="79"/>
      <c r="D872" s="79"/>
      <c r="E872" s="79"/>
      <c r="F872" s="79"/>
      <c r="G872" s="79"/>
      <c r="H872" s="79"/>
    </row>
    <row r="873">
      <c r="A873" s="79"/>
      <c r="B873" s="79"/>
      <c r="C873" s="79"/>
      <c r="D873" s="79"/>
      <c r="E873" s="79"/>
      <c r="F873" s="79"/>
      <c r="G873" s="79"/>
      <c r="H873" s="79"/>
    </row>
    <row r="874">
      <c r="A874" s="79"/>
      <c r="B874" s="79"/>
      <c r="C874" s="79"/>
      <c r="D874" s="79"/>
      <c r="E874" s="79"/>
      <c r="F874" s="79"/>
      <c r="G874" s="79"/>
      <c r="H874" s="79"/>
    </row>
    <row r="875">
      <c r="A875" s="79"/>
      <c r="B875" s="79"/>
      <c r="C875" s="79"/>
      <c r="D875" s="79"/>
      <c r="E875" s="79"/>
      <c r="F875" s="79"/>
      <c r="G875" s="79"/>
      <c r="H875" s="79"/>
    </row>
    <row r="876">
      <c r="A876" s="79"/>
      <c r="B876" s="79"/>
      <c r="C876" s="79"/>
      <c r="D876" s="79"/>
      <c r="E876" s="79"/>
      <c r="F876" s="79"/>
      <c r="G876" s="79"/>
      <c r="H876" s="79"/>
    </row>
    <row r="877">
      <c r="A877" s="79"/>
      <c r="B877" s="79"/>
      <c r="C877" s="79"/>
      <c r="D877" s="79"/>
      <c r="E877" s="79"/>
      <c r="F877" s="79"/>
      <c r="G877" s="79"/>
      <c r="H877" s="79"/>
    </row>
    <row r="878">
      <c r="A878" s="79"/>
      <c r="B878" s="79"/>
      <c r="C878" s="79"/>
      <c r="D878" s="79"/>
      <c r="E878" s="79"/>
      <c r="F878" s="79"/>
      <c r="G878" s="79"/>
      <c r="H878" s="79"/>
    </row>
    <row r="879">
      <c r="A879" s="79"/>
      <c r="B879" s="79"/>
      <c r="C879" s="79"/>
      <c r="D879" s="79"/>
      <c r="E879" s="79"/>
      <c r="F879" s="79"/>
      <c r="G879" s="79"/>
      <c r="H879" s="79"/>
    </row>
    <row r="880">
      <c r="A880" s="79"/>
      <c r="B880" s="79"/>
      <c r="C880" s="79"/>
      <c r="D880" s="79"/>
      <c r="E880" s="79"/>
      <c r="F880" s="79"/>
      <c r="G880" s="79"/>
      <c r="H880" s="79"/>
    </row>
    <row r="881">
      <c r="A881" s="79"/>
      <c r="B881" s="79"/>
      <c r="C881" s="79"/>
      <c r="D881" s="79"/>
      <c r="E881" s="79"/>
      <c r="F881" s="79"/>
      <c r="G881" s="79"/>
      <c r="H881" s="79"/>
    </row>
    <row r="882">
      <c r="A882" s="79"/>
      <c r="B882" s="79"/>
      <c r="C882" s="79"/>
      <c r="D882" s="79"/>
      <c r="E882" s="79"/>
      <c r="F882" s="79"/>
      <c r="G882" s="79"/>
      <c r="H882" s="79"/>
    </row>
    <row r="883">
      <c r="A883" s="79"/>
      <c r="B883" s="79"/>
      <c r="C883" s="79"/>
      <c r="D883" s="79"/>
      <c r="E883" s="79"/>
      <c r="F883" s="79"/>
      <c r="G883" s="79"/>
      <c r="H883" s="79"/>
    </row>
    <row r="884">
      <c r="A884" s="79"/>
      <c r="B884" s="79"/>
      <c r="C884" s="79"/>
      <c r="D884" s="79"/>
      <c r="E884" s="79"/>
      <c r="F884" s="79"/>
      <c r="G884" s="79"/>
      <c r="H884" s="79"/>
    </row>
    <row r="885">
      <c r="A885" s="79"/>
      <c r="B885" s="79"/>
      <c r="C885" s="79"/>
      <c r="D885" s="79"/>
      <c r="E885" s="79"/>
      <c r="F885" s="79"/>
      <c r="G885" s="79"/>
      <c r="H885" s="79"/>
    </row>
    <row r="886">
      <c r="A886" s="79"/>
      <c r="B886" s="79"/>
      <c r="C886" s="79"/>
      <c r="D886" s="79"/>
      <c r="E886" s="79"/>
      <c r="F886" s="79"/>
      <c r="G886" s="79"/>
      <c r="H886" s="79"/>
    </row>
    <row r="887">
      <c r="A887" s="79"/>
      <c r="B887" s="79"/>
      <c r="C887" s="79"/>
      <c r="D887" s="79"/>
      <c r="E887" s="79"/>
      <c r="F887" s="79"/>
      <c r="G887" s="79"/>
      <c r="H887" s="79"/>
    </row>
    <row r="888">
      <c r="A888" s="79"/>
      <c r="B888" s="79"/>
      <c r="C888" s="79"/>
      <c r="D888" s="79"/>
      <c r="E888" s="79"/>
      <c r="F888" s="79"/>
      <c r="G888" s="79"/>
      <c r="H888" s="79"/>
    </row>
    <row r="889">
      <c r="A889" s="79"/>
      <c r="B889" s="79"/>
      <c r="C889" s="79"/>
      <c r="D889" s="79"/>
      <c r="E889" s="79"/>
      <c r="F889" s="79"/>
      <c r="G889" s="79"/>
      <c r="H889" s="79"/>
    </row>
    <row r="890">
      <c r="A890" s="79"/>
      <c r="B890" s="79"/>
      <c r="C890" s="79"/>
      <c r="D890" s="79"/>
      <c r="E890" s="79"/>
      <c r="F890" s="79"/>
      <c r="G890" s="79"/>
      <c r="H890" s="79"/>
    </row>
    <row r="891">
      <c r="A891" s="79"/>
      <c r="B891" s="79"/>
      <c r="C891" s="79"/>
      <c r="D891" s="79"/>
      <c r="E891" s="79"/>
      <c r="F891" s="79"/>
      <c r="G891" s="79"/>
      <c r="H891" s="79"/>
    </row>
    <row r="892">
      <c r="A892" s="79"/>
      <c r="B892" s="79"/>
      <c r="C892" s="79"/>
      <c r="D892" s="79"/>
      <c r="E892" s="79"/>
      <c r="F892" s="79"/>
      <c r="G892" s="79"/>
      <c r="H892" s="79"/>
    </row>
    <row r="893">
      <c r="A893" s="79"/>
      <c r="B893" s="79"/>
      <c r="C893" s="79"/>
      <c r="D893" s="79"/>
      <c r="E893" s="79"/>
      <c r="F893" s="79"/>
      <c r="G893" s="79"/>
      <c r="H893" s="79"/>
    </row>
    <row r="894">
      <c r="A894" s="79"/>
      <c r="B894" s="79"/>
      <c r="C894" s="79"/>
      <c r="D894" s="79"/>
      <c r="E894" s="79"/>
      <c r="F894" s="79"/>
      <c r="G894" s="79"/>
      <c r="H894" s="79"/>
    </row>
    <row r="895">
      <c r="A895" s="79"/>
      <c r="B895" s="79"/>
      <c r="C895" s="79"/>
      <c r="D895" s="79"/>
      <c r="E895" s="79"/>
      <c r="F895" s="79"/>
      <c r="G895" s="79"/>
      <c r="H895" s="79"/>
    </row>
    <row r="896">
      <c r="A896" s="79"/>
      <c r="B896" s="79"/>
      <c r="C896" s="79"/>
      <c r="D896" s="79"/>
      <c r="E896" s="79"/>
      <c r="F896" s="79"/>
      <c r="G896" s="79"/>
      <c r="H896" s="79"/>
    </row>
    <row r="897">
      <c r="A897" s="79"/>
      <c r="B897" s="79"/>
      <c r="C897" s="79"/>
      <c r="D897" s="79"/>
      <c r="E897" s="79"/>
      <c r="F897" s="79"/>
      <c r="G897" s="79"/>
      <c r="H897" s="79"/>
    </row>
    <row r="898">
      <c r="A898" s="79"/>
      <c r="B898" s="79"/>
      <c r="C898" s="79"/>
      <c r="D898" s="79"/>
      <c r="E898" s="79"/>
      <c r="F898" s="79"/>
      <c r="G898" s="79"/>
      <c r="H898" s="79"/>
    </row>
    <row r="899">
      <c r="A899" s="79"/>
      <c r="B899" s="79"/>
      <c r="C899" s="79"/>
      <c r="D899" s="79"/>
      <c r="E899" s="79"/>
      <c r="F899" s="79"/>
      <c r="G899" s="79"/>
      <c r="H899" s="79"/>
    </row>
    <row r="900">
      <c r="A900" s="79"/>
      <c r="B900" s="79"/>
      <c r="C900" s="79"/>
      <c r="D900" s="79"/>
      <c r="E900" s="79"/>
      <c r="F900" s="79"/>
      <c r="G900" s="79"/>
      <c r="H900" s="79"/>
    </row>
    <row r="901">
      <c r="A901" s="79"/>
      <c r="B901" s="79"/>
      <c r="C901" s="79"/>
      <c r="D901" s="79"/>
      <c r="E901" s="79"/>
      <c r="F901" s="79"/>
      <c r="G901" s="79"/>
      <c r="H901" s="79"/>
    </row>
    <row r="902">
      <c r="A902" s="79"/>
      <c r="B902" s="79"/>
      <c r="C902" s="79"/>
      <c r="D902" s="79"/>
      <c r="E902" s="79"/>
      <c r="F902" s="79"/>
      <c r="G902" s="79"/>
      <c r="H902" s="79"/>
    </row>
    <row r="903">
      <c r="A903" s="79"/>
      <c r="B903" s="79"/>
      <c r="C903" s="79"/>
      <c r="D903" s="79"/>
      <c r="E903" s="79"/>
      <c r="F903" s="79"/>
      <c r="G903" s="79"/>
      <c r="H903" s="79"/>
    </row>
    <row r="904">
      <c r="A904" s="79"/>
      <c r="B904" s="79"/>
      <c r="C904" s="79"/>
      <c r="D904" s="79"/>
      <c r="E904" s="79"/>
      <c r="F904" s="79"/>
      <c r="G904" s="79"/>
      <c r="H904" s="79"/>
    </row>
    <row r="905">
      <c r="A905" s="79"/>
      <c r="B905" s="79"/>
      <c r="C905" s="79"/>
      <c r="D905" s="79"/>
      <c r="E905" s="79"/>
      <c r="F905" s="79"/>
      <c r="G905" s="79"/>
      <c r="H905" s="79"/>
    </row>
    <row r="906">
      <c r="A906" s="79"/>
      <c r="B906" s="79"/>
      <c r="C906" s="79"/>
      <c r="D906" s="79"/>
      <c r="E906" s="79"/>
      <c r="F906" s="79"/>
      <c r="G906" s="79"/>
      <c r="H906" s="79"/>
    </row>
    <row r="907">
      <c r="A907" s="79"/>
      <c r="B907" s="79"/>
      <c r="C907" s="79"/>
      <c r="D907" s="79"/>
      <c r="E907" s="79"/>
      <c r="F907" s="79"/>
      <c r="G907" s="79"/>
      <c r="H907" s="79"/>
    </row>
    <row r="908">
      <c r="A908" s="79"/>
      <c r="B908" s="79"/>
      <c r="C908" s="79"/>
      <c r="D908" s="79"/>
      <c r="E908" s="79"/>
      <c r="F908" s="79"/>
      <c r="G908" s="79"/>
      <c r="H908" s="79"/>
    </row>
    <row r="909">
      <c r="A909" s="79"/>
      <c r="B909" s="79"/>
      <c r="C909" s="79"/>
      <c r="D909" s="79"/>
      <c r="E909" s="79"/>
      <c r="F909" s="79"/>
      <c r="G909" s="79"/>
      <c r="H909" s="79"/>
    </row>
    <row r="910">
      <c r="A910" s="79"/>
      <c r="B910" s="79"/>
      <c r="C910" s="79"/>
      <c r="D910" s="79"/>
      <c r="E910" s="79"/>
      <c r="F910" s="79"/>
      <c r="G910" s="79"/>
      <c r="H910" s="79"/>
    </row>
    <row r="911">
      <c r="A911" s="79"/>
      <c r="B911" s="79"/>
      <c r="C911" s="79"/>
      <c r="D911" s="79"/>
      <c r="E911" s="79"/>
      <c r="F911" s="79"/>
      <c r="G911" s="79"/>
      <c r="H911" s="79"/>
    </row>
    <row r="912">
      <c r="A912" s="79"/>
      <c r="B912" s="79"/>
      <c r="C912" s="79"/>
      <c r="D912" s="79"/>
      <c r="E912" s="79"/>
      <c r="F912" s="79"/>
      <c r="G912" s="79"/>
      <c r="H912" s="79"/>
    </row>
    <row r="913">
      <c r="A913" s="79"/>
      <c r="B913" s="79"/>
      <c r="C913" s="79"/>
      <c r="D913" s="79"/>
      <c r="E913" s="79"/>
      <c r="F913" s="79"/>
      <c r="G913" s="79"/>
      <c r="H913" s="79"/>
    </row>
    <row r="914">
      <c r="A914" s="79"/>
      <c r="B914" s="79"/>
      <c r="C914" s="79"/>
      <c r="D914" s="79"/>
      <c r="E914" s="79"/>
      <c r="F914" s="79"/>
      <c r="G914" s="79"/>
      <c r="H914" s="79"/>
    </row>
    <row r="915">
      <c r="A915" s="79"/>
      <c r="B915" s="79"/>
      <c r="C915" s="79"/>
      <c r="D915" s="79"/>
      <c r="E915" s="79"/>
      <c r="F915" s="79"/>
      <c r="G915" s="79"/>
      <c r="H915" s="79"/>
    </row>
    <row r="916">
      <c r="A916" s="79"/>
      <c r="B916" s="79"/>
      <c r="C916" s="79"/>
      <c r="D916" s="79"/>
      <c r="E916" s="79"/>
      <c r="F916" s="79"/>
      <c r="G916" s="79"/>
      <c r="H916" s="79"/>
    </row>
    <row r="917">
      <c r="A917" s="79"/>
      <c r="B917" s="79"/>
      <c r="C917" s="79"/>
      <c r="D917" s="79"/>
      <c r="E917" s="79"/>
      <c r="F917" s="79"/>
      <c r="G917" s="79"/>
      <c r="H917" s="79"/>
    </row>
    <row r="918">
      <c r="A918" s="79"/>
      <c r="B918" s="79"/>
      <c r="C918" s="79"/>
      <c r="D918" s="79"/>
      <c r="E918" s="79"/>
      <c r="F918" s="79"/>
      <c r="G918" s="79"/>
      <c r="H918" s="79"/>
    </row>
    <row r="919">
      <c r="A919" s="79"/>
      <c r="B919" s="79"/>
      <c r="C919" s="79"/>
      <c r="D919" s="79"/>
      <c r="E919" s="79"/>
      <c r="F919" s="79"/>
      <c r="G919" s="79"/>
      <c r="H919" s="79"/>
    </row>
    <row r="920">
      <c r="A920" s="79"/>
      <c r="B920" s="79"/>
      <c r="C920" s="79"/>
      <c r="D920" s="79"/>
      <c r="E920" s="79"/>
      <c r="F920" s="79"/>
      <c r="G920" s="79"/>
      <c r="H920" s="79"/>
    </row>
    <row r="921">
      <c r="A921" s="79"/>
      <c r="B921" s="79"/>
      <c r="C921" s="79"/>
      <c r="D921" s="79"/>
      <c r="E921" s="79"/>
      <c r="F921" s="79"/>
      <c r="G921" s="79"/>
      <c r="H921" s="79"/>
    </row>
    <row r="922">
      <c r="A922" s="79"/>
      <c r="B922" s="79"/>
      <c r="C922" s="79"/>
      <c r="D922" s="79"/>
      <c r="E922" s="79"/>
      <c r="F922" s="79"/>
      <c r="G922" s="79"/>
      <c r="H922" s="79"/>
    </row>
    <row r="923">
      <c r="A923" s="79"/>
      <c r="B923" s="79"/>
      <c r="C923" s="79"/>
      <c r="D923" s="79"/>
      <c r="E923" s="79"/>
      <c r="F923" s="79"/>
      <c r="G923" s="79"/>
      <c r="H923" s="79"/>
    </row>
    <row r="924">
      <c r="A924" s="79"/>
      <c r="B924" s="79"/>
      <c r="C924" s="79"/>
      <c r="D924" s="79"/>
      <c r="E924" s="79"/>
      <c r="F924" s="79"/>
      <c r="G924" s="79"/>
      <c r="H924" s="79"/>
    </row>
    <row r="925">
      <c r="A925" s="79"/>
      <c r="B925" s="79"/>
      <c r="C925" s="79"/>
      <c r="D925" s="79"/>
      <c r="E925" s="79"/>
      <c r="F925" s="79"/>
      <c r="G925" s="79"/>
      <c r="H925" s="79"/>
    </row>
    <row r="926">
      <c r="A926" s="79"/>
      <c r="B926" s="79"/>
      <c r="C926" s="79"/>
      <c r="D926" s="79"/>
      <c r="E926" s="79"/>
      <c r="F926" s="79"/>
      <c r="G926" s="79"/>
      <c r="H926" s="79"/>
    </row>
    <row r="927">
      <c r="A927" s="79"/>
      <c r="B927" s="79"/>
      <c r="C927" s="79"/>
      <c r="D927" s="79"/>
      <c r="E927" s="79"/>
      <c r="F927" s="79"/>
      <c r="G927" s="79"/>
      <c r="H927" s="79"/>
    </row>
    <row r="928">
      <c r="A928" s="79"/>
      <c r="B928" s="79"/>
      <c r="C928" s="79"/>
      <c r="D928" s="79"/>
      <c r="E928" s="79"/>
      <c r="F928" s="79"/>
      <c r="G928" s="79"/>
      <c r="H928" s="79"/>
    </row>
    <row r="929">
      <c r="A929" s="79"/>
      <c r="B929" s="79"/>
      <c r="C929" s="79"/>
      <c r="D929" s="79"/>
      <c r="E929" s="79"/>
      <c r="F929" s="79"/>
      <c r="G929" s="79"/>
      <c r="H929" s="79"/>
    </row>
    <row r="930">
      <c r="A930" s="79"/>
      <c r="B930" s="79"/>
      <c r="C930" s="79"/>
      <c r="D930" s="79"/>
      <c r="E930" s="79"/>
      <c r="F930" s="79"/>
      <c r="G930" s="79"/>
      <c r="H930" s="79"/>
    </row>
    <row r="931">
      <c r="A931" s="79"/>
      <c r="B931" s="79"/>
      <c r="C931" s="79"/>
      <c r="D931" s="79"/>
      <c r="E931" s="79"/>
      <c r="F931" s="79"/>
      <c r="G931" s="79"/>
      <c r="H931" s="79"/>
    </row>
    <row r="932">
      <c r="A932" s="79"/>
      <c r="B932" s="79"/>
      <c r="C932" s="79"/>
      <c r="D932" s="79"/>
      <c r="E932" s="79"/>
      <c r="F932" s="79"/>
      <c r="G932" s="79"/>
      <c r="H932" s="79"/>
    </row>
    <row r="933">
      <c r="A933" s="79"/>
      <c r="B933" s="79"/>
      <c r="C933" s="79"/>
      <c r="D933" s="79"/>
      <c r="E933" s="79"/>
      <c r="F933" s="79"/>
      <c r="G933" s="79"/>
      <c r="H933" s="79"/>
    </row>
    <row r="934">
      <c r="A934" s="79"/>
      <c r="B934" s="79"/>
      <c r="C934" s="79"/>
      <c r="D934" s="79"/>
      <c r="E934" s="79"/>
      <c r="F934" s="79"/>
      <c r="G934" s="79"/>
      <c r="H934" s="79"/>
    </row>
    <row r="935">
      <c r="A935" s="79"/>
      <c r="B935" s="79"/>
      <c r="C935" s="79"/>
      <c r="D935" s="79"/>
      <c r="E935" s="79"/>
      <c r="F935" s="79"/>
      <c r="G935" s="79"/>
      <c r="H935" s="79"/>
    </row>
    <row r="936">
      <c r="A936" s="79"/>
      <c r="B936" s="79"/>
      <c r="C936" s="79"/>
      <c r="D936" s="79"/>
      <c r="E936" s="79"/>
      <c r="F936" s="79"/>
      <c r="G936" s="79"/>
      <c r="H936" s="79"/>
    </row>
    <row r="937">
      <c r="A937" s="79"/>
      <c r="B937" s="79"/>
      <c r="C937" s="79"/>
      <c r="D937" s="79"/>
      <c r="E937" s="79"/>
      <c r="F937" s="79"/>
      <c r="G937" s="79"/>
      <c r="H937" s="79"/>
    </row>
    <row r="938">
      <c r="A938" s="79"/>
      <c r="B938" s="79"/>
      <c r="C938" s="79"/>
      <c r="D938" s="79"/>
      <c r="E938" s="79"/>
      <c r="F938" s="79"/>
      <c r="G938" s="79"/>
      <c r="H938" s="79"/>
    </row>
    <row r="939">
      <c r="A939" s="79"/>
      <c r="B939" s="79"/>
      <c r="C939" s="79"/>
      <c r="D939" s="79"/>
      <c r="E939" s="79"/>
      <c r="F939" s="79"/>
      <c r="G939" s="79"/>
      <c r="H939" s="79"/>
    </row>
    <row r="940">
      <c r="A940" s="79"/>
      <c r="B940" s="79"/>
      <c r="C940" s="79"/>
      <c r="D940" s="79"/>
      <c r="E940" s="79"/>
      <c r="F940" s="79"/>
      <c r="G940" s="79"/>
      <c r="H940" s="79"/>
    </row>
    <row r="941">
      <c r="A941" s="79"/>
      <c r="B941" s="79"/>
      <c r="C941" s="79"/>
      <c r="D941" s="79"/>
      <c r="E941" s="79"/>
      <c r="F941" s="79"/>
      <c r="G941" s="79"/>
      <c r="H941" s="79"/>
    </row>
    <row r="942">
      <c r="A942" s="79"/>
      <c r="B942" s="79"/>
      <c r="C942" s="79"/>
      <c r="D942" s="79"/>
      <c r="E942" s="79"/>
      <c r="F942" s="79"/>
      <c r="G942" s="79"/>
      <c r="H942" s="79"/>
    </row>
    <row r="943">
      <c r="A943" s="79"/>
      <c r="B943" s="79"/>
      <c r="C943" s="79"/>
      <c r="D943" s="79"/>
      <c r="E943" s="79"/>
      <c r="F943" s="79"/>
      <c r="G943" s="79"/>
      <c r="H943" s="79"/>
    </row>
    <row r="944">
      <c r="A944" s="79"/>
      <c r="B944" s="79"/>
      <c r="C944" s="79"/>
      <c r="D944" s="79"/>
      <c r="E944" s="79"/>
      <c r="F944" s="79"/>
      <c r="G944" s="79"/>
      <c r="H944" s="79"/>
    </row>
    <row r="945">
      <c r="A945" s="79"/>
      <c r="B945" s="79"/>
      <c r="C945" s="79"/>
      <c r="D945" s="79"/>
      <c r="E945" s="79"/>
      <c r="F945" s="79"/>
      <c r="G945" s="79"/>
      <c r="H945" s="79"/>
    </row>
    <row r="946">
      <c r="A946" s="79"/>
      <c r="B946" s="79"/>
      <c r="C946" s="79"/>
      <c r="D946" s="79"/>
      <c r="E946" s="79"/>
      <c r="F946" s="79"/>
      <c r="G946" s="79"/>
      <c r="H946" s="79"/>
    </row>
    <row r="947">
      <c r="A947" s="79"/>
      <c r="B947" s="79"/>
      <c r="C947" s="79"/>
      <c r="D947" s="79"/>
      <c r="E947" s="79"/>
      <c r="F947" s="79"/>
      <c r="G947" s="79"/>
      <c r="H947" s="79"/>
    </row>
    <row r="948">
      <c r="A948" s="79"/>
      <c r="B948" s="79"/>
      <c r="C948" s="79"/>
      <c r="D948" s="79"/>
      <c r="E948" s="79"/>
      <c r="F948" s="79"/>
      <c r="G948" s="79"/>
      <c r="H948" s="79"/>
    </row>
    <row r="949">
      <c r="A949" s="79"/>
      <c r="B949" s="79"/>
      <c r="C949" s="79"/>
      <c r="D949" s="79"/>
      <c r="E949" s="79"/>
      <c r="F949" s="79"/>
      <c r="G949" s="79"/>
      <c r="H949" s="79"/>
    </row>
    <row r="950">
      <c r="A950" s="79"/>
      <c r="B950" s="79"/>
      <c r="C950" s="79"/>
      <c r="D950" s="79"/>
      <c r="E950" s="79"/>
      <c r="F950" s="79"/>
      <c r="G950" s="79"/>
      <c r="H950" s="79"/>
    </row>
    <row r="951">
      <c r="A951" s="79"/>
      <c r="B951" s="79"/>
      <c r="C951" s="79"/>
      <c r="D951" s="79"/>
      <c r="E951" s="79"/>
      <c r="F951" s="79"/>
      <c r="G951" s="79"/>
      <c r="H951" s="79"/>
    </row>
    <row r="952">
      <c r="A952" s="79"/>
      <c r="B952" s="79"/>
      <c r="C952" s="79"/>
      <c r="D952" s="79"/>
      <c r="E952" s="79"/>
      <c r="F952" s="79"/>
      <c r="G952" s="79"/>
      <c r="H952" s="79"/>
    </row>
    <row r="953">
      <c r="A953" s="79"/>
      <c r="B953" s="79"/>
      <c r="C953" s="79"/>
      <c r="D953" s="79"/>
      <c r="E953" s="79"/>
      <c r="F953" s="79"/>
      <c r="G953" s="79"/>
      <c r="H953" s="79"/>
    </row>
    <row r="954">
      <c r="A954" s="79"/>
      <c r="B954" s="79"/>
      <c r="C954" s="79"/>
      <c r="D954" s="79"/>
      <c r="E954" s="79"/>
      <c r="F954" s="79"/>
      <c r="G954" s="79"/>
      <c r="H954" s="79"/>
    </row>
    <row r="955">
      <c r="A955" s="79"/>
      <c r="B955" s="79"/>
      <c r="C955" s="79"/>
      <c r="D955" s="79"/>
      <c r="E955" s="79"/>
      <c r="F955" s="79"/>
      <c r="G955" s="79"/>
      <c r="H955" s="79"/>
    </row>
    <row r="956">
      <c r="A956" s="79"/>
      <c r="B956" s="79"/>
      <c r="C956" s="79"/>
      <c r="D956" s="79"/>
      <c r="E956" s="79"/>
      <c r="F956" s="79"/>
      <c r="G956" s="79"/>
      <c r="H956" s="79"/>
    </row>
    <row r="957">
      <c r="A957" s="79"/>
      <c r="B957" s="79"/>
      <c r="C957" s="79"/>
      <c r="D957" s="79"/>
      <c r="E957" s="79"/>
      <c r="F957" s="79"/>
      <c r="G957" s="79"/>
      <c r="H957" s="79"/>
    </row>
    <row r="958">
      <c r="A958" s="79"/>
      <c r="B958" s="79"/>
      <c r="C958" s="79"/>
      <c r="D958" s="79"/>
      <c r="E958" s="79"/>
      <c r="F958" s="79"/>
      <c r="G958" s="79"/>
      <c r="H958" s="79"/>
    </row>
    <row r="959">
      <c r="A959" s="79"/>
      <c r="B959" s="79"/>
      <c r="C959" s="79"/>
      <c r="D959" s="79"/>
      <c r="E959" s="79"/>
      <c r="F959" s="79"/>
      <c r="G959" s="79"/>
      <c r="H959" s="79"/>
    </row>
    <row r="960">
      <c r="A960" s="79"/>
      <c r="B960" s="79"/>
      <c r="C960" s="79"/>
      <c r="D960" s="79"/>
      <c r="E960" s="79"/>
      <c r="F960" s="79"/>
      <c r="G960" s="79"/>
      <c r="H960" s="79"/>
    </row>
    <row r="961">
      <c r="A961" s="79"/>
      <c r="B961" s="79"/>
      <c r="C961" s="79"/>
      <c r="D961" s="79"/>
      <c r="E961" s="79"/>
      <c r="F961" s="79"/>
      <c r="G961" s="79"/>
      <c r="H961" s="79"/>
    </row>
    <row r="962">
      <c r="A962" s="79"/>
      <c r="B962" s="79"/>
      <c r="C962" s="79"/>
      <c r="D962" s="79"/>
      <c r="E962" s="79"/>
      <c r="F962" s="79"/>
      <c r="G962" s="79"/>
      <c r="H962" s="79"/>
    </row>
    <row r="963">
      <c r="A963" s="79"/>
      <c r="B963" s="79"/>
      <c r="C963" s="79"/>
      <c r="D963" s="79"/>
      <c r="E963" s="79"/>
      <c r="F963" s="79"/>
      <c r="G963" s="79"/>
      <c r="H963" s="79"/>
    </row>
    <row r="964">
      <c r="A964" s="79"/>
      <c r="B964" s="79"/>
      <c r="C964" s="79"/>
      <c r="D964" s="79"/>
      <c r="E964" s="79"/>
      <c r="F964" s="79"/>
      <c r="G964" s="79"/>
      <c r="H964" s="79"/>
    </row>
    <row r="965">
      <c r="A965" s="79"/>
      <c r="B965" s="79"/>
      <c r="C965" s="79"/>
      <c r="D965" s="79"/>
      <c r="E965" s="79"/>
      <c r="F965" s="79"/>
      <c r="G965" s="79"/>
      <c r="H965" s="79"/>
    </row>
    <row r="966">
      <c r="A966" s="79"/>
      <c r="B966" s="79"/>
      <c r="C966" s="79"/>
      <c r="D966" s="79"/>
      <c r="E966" s="79"/>
      <c r="F966" s="79"/>
      <c r="G966" s="79"/>
      <c r="H966" s="79"/>
    </row>
    <row r="967">
      <c r="A967" s="79"/>
      <c r="B967" s="79"/>
      <c r="C967" s="79"/>
      <c r="D967" s="79"/>
      <c r="E967" s="79"/>
      <c r="F967" s="79"/>
      <c r="G967" s="79"/>
      <c r="H967" s="79"/>
    </row>
    <row r="968">
      <c r="A968" s="79"/>
      <c r="B968" s="79"/>
      <c r="C968" s="79"/>
      <c r="D968" s="79"/>
      <c r="E968" s="79"/>
      <c r="F968" s="79"/>
      <c r="G968" s="79"/>
      <c r="H968" s="79"/>
    </row>
    <row r="969">
      <c r="A969" s="79"/>
      <c r="B969" s="79"/>
      <c r="C969" s="79"/>
      <c r="D969" s="79"/>
      <c r="E969" s="79"/>
      <c r="F969" s="79"/>
      <c r="G969" s="79"/>
      <c r="H969" s="79"/>
    </row>
    <row r="970">
      <c r="A970" s="79"/>
      <c r="B970" s="79"/>
      <c r="C970" s="79"/>
      <c r="D970" s="79"/>
      <c r="E970" s="79"/>
      <c r="F970" s="79"/>
      <c r="G970" s="79"/>
      <c r="H970" s="79"/>
    </row>
    <row r="971">
      <c r="A971" s="79"/>
      <c r="B971" s="79"/>
      <c r="C971" s="79"/>
      <c r="D971" s="79"/>
      <c r="E971" s="79"/>
      <c r="F971" s="79"/>
      <c r="G971" s="79"/>
      <c r="H971" s="79"/>
    </row>
    <row r="972">
      <c r="A972" s="79"/>
      <c r="B972" s="79"/>
      <c r="C972" s="79"/>
      <c r="D972" s="79"/>
      <c r="E972" s="79"/>
      <c r="F972" s="79"/>
      <c r="G972" s="79"/>
      <c r="H972" s="79"/>
    </row>
    <row r="973">
      <c r="A973" s="79"/>
      <c r="B973" s="79"/>
      <c r="C973" s="79"/>
      <c r="D973" s="79"/>
      <c r="E973" s="79"/>
      <c r="F973" s="79"/>
      <c r="G973" s="79"/>
      <c r="H973" s="79"/>
    </row>
    <row r="974">
      <c r="A974" s="79"/>
      <c r="B974" s="79"/>
      <c r="C974" s="79"/>
      <c r="D974" s="79"/>
      <c r="E974" s="79"/>
      <c r="F974" s="79"/>
      <c r="G974" s="79"/>
      <c r="H974" s="79"/>
    </row>
    <row r="975">
      <c r="A975" s="79"/>
      <c r="B975" s="79"/>
      <c r="C975" s="79"/>
      <c r="D975" s="79"/>
      <c r="E975" s="79"/>
      <c r="F975" s="79"/>
      <c r="G975" s="79"/>
      <c r="H975" s="79"/>
    </row>
    <row r="976">
      <c r="A976" s="79"/>
      <c r="B976" s="79"/>
      <c r="C976" s="79"/>
      <c r="D976" s="79"/>
      <c r="E976" s="79"/>
      <c r="F976" s="79"/>
      <c r="G976" s="79"/>
      <c r="H976" s="79"/>
    </row>
    <row r="977">
      <c r="A977" s="79"/>
      <c r="B977" s="79"/>
      <c r="C977" s="79"/>
      <c r="D977" s="79"/>
      <c r="E977" s="79"/>
      <c r="F977" s="79"/>
      <c r="G977" s="79"/>
      <c r="H977" s="79"/>
    </row>
    <row r="978">
      <c r="A978" s="79"/>
      <c r="B978" s="79"/>
      <c r="C978" s="79"/>
      <c r="D978" s="79"/>
      <c r="E978" s="79"/>
      <c r="F978" s="79"/>
      <c r="G978" s="79"/>
      <c r="H978" s="79"/>
    </row>
    <row r="979">
      <c r="A979" s="79"/>
      <c r="B979" s="79"/>
      <c r="C979" s="79"/>
      <c r="D979" s="79"/>
      <c r="E979" s="79"/>
      <c r="F979" s="79"/>
      <c r="G979" s="79"/>
      <c r="H979" s="79"/>
    </row>
    <row r="980">
      <c r="A980" s="79"/>
      <c r="B980" s="79"/>
      <c r="C980" s="79"/>
      <c r="D980" s="79"/>
      <c r="E980" s="79"/>
      <c r="F980" s="79"/>
      <c r="G980" s="79"/>
      <c r="H980" s="79"/>
    </row>
    <row r="981">
      <c r="A981" s="79"/>
      <c r="B981" s="79"/>
      <c r="C981" s="79"/>
      <c r="D981" s="79"/>
      <c r="E981" s="79"/>
      <c r="F981" s="79"/>
      <c r="G981" s="79"/>
      <c r="H981" s="79"/>
    </row>
    <row r="982">
      <c r="A982" s="79"/>
      <c r="B982" s="79"/>
      <c r="C982" s="79"/>
      <c r="D982" s="79"/>
      <c r="E982" s="79"/>
      <c r="F982" s="79"/>
      <c r="G982" s="79"/>
      <c r="H982" s="79"/>
    </row>
    <row r="983">
      <c r="A983" s="79"/>
      <c r="B983" s="79"/>
      <c r="C983" s="79"/>
      <c r="D983" s="79"/>
      <c r="E983" s="79"/>
      <c r="F983" s="79"/>
      <c r="G983" s="79"/>
      <c r="H983" s="79"/>
    </row>
    <row r="984">
      <c r="A984" s="79"/>
      <c r="B984" s="79"/>
      <c r="C984" s="79"/>
      <c r="D984" s="79"/>
      <c r="E984" s="79"/>
      <c r="F984" s="79"/>
      <c r="G984" s="79"/>
      <c r="H984" s="79"/>
    </row>
    <row r="985">
      <c r="A985" s="79"/>
      <c r="B985" s="79"/>
      <c r="C985" s="79"/>
      <c r="D985" s="79"/>
      <c r="E985" s="79"/>
      <c r="F985" s="79"/>
      <c r="G985" s="79"/>
      <c r="H985" s="79"/>
    </row>
    <row r="986">
      <c r="A986" s="79"/>
      <c r="B986" s="79"/>
      <c r="C986" s="79"/>
      <c r="D986" s="79"/>
      <c r="E986" s="79"/>
      <c r="F986" s="79"/>
      <c r="G986" s="79"/>
      <c r="H986" s="79"/>
    </row>
    <row r="987">
      <c r="A987" s="79"/>
      <c r="B987" s="79"/>
      <c r="C987" s="79"/>
      <c r="D987" s="79"/>
      <c r="E987" s="79"/>
      <c r="F987" s="79"/>
      <c r="G987" s="79"/>
      <c r="H987" s="79"/>
    </row>
    <row r="988">
      <c r="A988" s="79"/>
      <c r="B988" s="79"/>
      <c r="C988" s="79"/>
      <c r="D988" s="79"/>
      <c r="E988" s="79"/>
      <c r="F988" s="79"/>
      <c r="G988" s="79"/>
      <c r="H988" s="79"/>
    </row>
    <row r="989">
      <c r="A989" s="79"/>
      <c r="B989" s="79"/>
      <c r="C989" s="79"/>
      <c r="D989" s="79"/>
      <c r="E989" s="79"/>
      <c r="F989" s="79"/>
      <c r="G989" s="79"/>
      <c r="H989" s="79"/>
    </row>
    <row r="990">
      <c r="A990" s="79"/>
      <c r="B990" s="79"/>
      <c r="C990" s="79"/>
      <c r="D990" s="79"/>
      <c r="E990" s="79"/>
      <c r="F990" s="79"/>
      <c r="G990" s="79"/>
      <c r="H990" s="79"/>
    </row>
    <row r="991">
      <c r="A991" s="79"/>
      <c r="B991" s="79"/>
      <c r="C991" s="79"/>
      <c r="D991" s="79"/>
      <c r="E991" s="79"/>
      <c r="F991" s="79"/>
      <c r="G991" s="79"/>
      <c r="H991" s="79"/>
    </row>
    <row r="992">
      <c r="A992" s="79"/>
      <c r="B992" s="79"/>
      <c r="C992" s="79"/>
      <c r="D992" s="79"/>
      <c r="E992" s="79"/>
      <c r="F992" s="79"/>
      <c r="G992" s="79"/>
      <c r="H992" s="79"/>
    </row>
    <row r="993">
      <c r="A993" s="79"/>
      <c r="B993" s="79"/>
      <c r="C993" s="79"/>
      <c r="D993" s="79"/>
      <c r="E993" s="79"/>
      <c r="F993" s="79"/>
      <c r="G993" s="79"/>
      <c r="H993" s="79"/>
    </row>
    <row r="994">
      <c r="A994" s="79"/>
      <c r="B994" s="79"/>
      <c r="C994" s="79"/>
      <c r="D994" s="79"/>
      <c r="E994" s="79"/>
      <c r="F994" s="79"/>
      <c r="G994" s="79"/>
      <c r="H994" s="79"/>
    </row>
    <row r="995">
      <c r="A995" s="79"/>
      <c r="B995" s="79"/>
      <c r="C995" s="79"/>
      <c r="D995" s="79"/>
      <c r="E995" s="79"/>
      <c r="F995" s="79"/>
      <c r="G995" s="79"/>
      <c r="H995" s="79"/>
    </row>
    <row r="996">
      <c r="A996" s="79"/>
      <c r="B996" s="79"/>
      <c r="C996" s="79"/>
      <c r="D996" s="79"/>
      <c r="E996" s="79"/>
      <c r="F996" s="79"/>
      <c r="G996" s="79"/>
      <c r="H996" s="79"/>
    </row>
    <row r="997">
      <c r="A997" s="79"/>
      <c r="B997" s="79"/>
      <c r="C997" s="79"/>
      <c r="D997" s="79"/>
      <c r="E997" s="79"/>
      <c r="F997" s="79"/>
      <c r="G997" s="79"/>
      <c r="H997" s="79"/>
    </row>
    <row r="998">
      <c r="A998" s="79"/>
      <c r="B998" s="79"/>
      <c r="C998" s="79"/>
      <c r="D998" s="79"/>
      <c r="E998" s="79"/>
      <c r="F998" s="79"/>
      <c r="G998" s="79"/>
      <c r="H998" s="79"/>
    </row>
    <row r="999">
      <c r="A999" s="79"/>
      <c r="B999" s="79"/>
      <c r="C999" s="79"/>
      <c r="D999" s="79"/>
      <c r="E999" s="79"/>
      <c r="F999" s="79"/>
      <c r="G999" s="79"/>
      <c r="H999" s="79"/>
    </row>
    <row r="1000">
      <c r="A1000" s="79"/>
      <c r="B1000" s="79"/>
      <c r="C1000" s="79"/>
      <c r="D1000" s="79"/>
      <c r="E1000" s="79"/>
      <c r="F1000" s="79"/>
      <c r="G1000" s="79"/>
      <c r="H1000" s="79"/>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2026-08-27T07:35:46Z</dcterms:created>
  <dc:creator>openpyxl</dc:creator>
</cp:coreProperties>
</file>