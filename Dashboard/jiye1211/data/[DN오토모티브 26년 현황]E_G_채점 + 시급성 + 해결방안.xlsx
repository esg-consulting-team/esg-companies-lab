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사용안내" sheetId="1" r:id="rId4"/>
    <sheet state="visible" name="01_ESG통합진단마스터" sheetId="2" r:id="rId5"/>
    <sheet state="visible" name="02_점수산정참고표" sheetId="3" r:id="rId6"/>
    <sheet state="visible" name="03_지배구조세부점검(KRX)" sheetId="4" r:id="rId7"/>
    <sheet state="visible" name="04_KSSB갭분석" sheetId="5" r:id="rId8"/>
    <sheet state="visible" name="05_요약대시보드" sheetId="6" r:id="rId9"/>
  </sheets>
  <definedNames>
    <definedName hidden="1" localSheetId="1" name="_xlnm._FilterDatabase">'01_ESG통합진단마스터'!$AB$1:$AB$951</definedName>
  </definedNames>
  <calcPr/>
  <extLst>
    <ext uri="GoogleSheetsCustomDataVersion2">
      <go:sheetsCustomData xmlns:go="http://customooxmlschemas.google.com/" r:id="rId10" roundtripDataChecksum="hClB3mgcjUiM2tg7HAGIj2RLkdqbkaXXCh1H7vro3n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X19">
      <text>
        <t xml:space="preserve">======
ID#AAACCqZZllM
Unknown Author    (2026-09-07 06:05:48)
복합가중형 항목: 점검기준 상세를 참고해 0~100 사이 점수를 직접 입력하세요.</t>
      </text>
    </comment>
    <comment authorId="0" ref="X18">
      <text>
        <t xml:space="preserve">======
ID#AAACCqZZllQ
Unknown Author    (2026-09-07 06:05:48)
복합가중형 항목: 점검기준 상세를 참고해 0~100 사이 점수를 직접 입력하세요.</t>
      </text>
    </comment>
    <comment authorId="0" ref="X30">
      <text>
        <t xml:space="preserve">======
ID#AAACCqZZlk8
Unknown Author    (2026-09-07 06:05:48)
복합가중형 항목: 점검기준 상세를 참고해 0~100 사이 점수를 직접 입력하세요.</t>
      </text>
    </comment>
  </commentList>
  <extLst>
    <ext uri="GoogleSheetsCustomDataVersion2">
      <go:sheetsCustomData xmlns:go="http://customooxmlschemas.google.com/" r:id="rId1" roundtripDataSignature="AMtx7mhg/2A5UPuaWR3hNAiYarv7mKZZww=="/>
    </ext>
  </extLst>
</comments>
</file>

<file path=xl/sharedStrings.xml><?xml version="1.0" encoding="utf-8"?>
<sst xmlns="http://schemas.openxmlformats.org/spreadsheetml/2006/main" count="3356" uniqueCount="1441">
  <si>
    <t>ESG 핵심지표 채점 기준표</t>
  </si>
  <si>
    <t>K-ESG 가이드라인 v2.0 기반 통합 채점 도구</t>
  </si>
  <si>
    <t>1. 목적</t>
  </si>
  <si>
    <t>기업의 ESG 현황을 공식 가이드라인 기준으로 정량 진단·채점하고, KSSB 공시기준 대비 GAP을 분석하는 컨설팅용 도구입니다.</t>
  </si>
  <si>
    <t>2. 적용 기준 (공식 출처)</t>
  </si>
  <si>
    <t>· 기본 69 + 추가 16개(85개) 배점: K-ESG 가이드라인 v2.0 (산업통상자원부·한국생산성본부, 2024.12)</t>
  </si>
  <si>
    <t>· 반도체 특화 6개: 업종별 K-ESG 가이드라인(반도체, 2023.12) — v2.0 기본체계에 보완지표로 적용</t>
  </si>
  <si>
    <t>f</t>
  </si>
  <si>
    <t>분류코드</t>
  </si>
  <si>
    <t>· 지배구조 세부지표(129개, 03번 시트): 한국거래소 기업지배구조보고서 가이드라인(2025.2 개정본)</t>
  </si>
  <si>
    <t>진단항목명</t>
  </si>
  <si>
    <t>단계번호</t>
  </si>
  <si>
    <t>단계라벨</t>
  </si>
  <si>
    <t>배점</t>
  </si>
  <si>
    <t>단계별 판단기준(K-ESG v2.0 원문)</t>
  </si>
  <si>
    <t>P-1-1</t>
  </si>
  <si>
    <t>적용구분</t>
  </si>
  <si>
    <t>영역</t>
  </si>
  <si>
    <t>범주</t>
  </si>
  <si>
    <t>ESG 정보공시 방식</t>
  </si>
  <si>
    <t>항목설명</t>
  </si>
  <si>
    <t>데이터원천(수집처)</t>
  </si>
  <si>
    <t>데이터기간</t>
  </si>
  <si>
    <t>데이터범위</t>
  </si>
  <si>
    <t>순번</t>
  </si>
  <si>
    <t>데이터산식(정량화공식)</t>
  </si>
  <si>
    <t>채점유형</t>
  </si>
  <si>
    <t>· 공시 GAP 분석(04번 시트): KSSB(한국회계기준원 산하) 지속가능성 공시기준서 제1호·제2호(2026.2.26 최종 제정)</t>
  </si>
  <si>
    <t>최대단계수</t>
  </si>
  <si>
    <t>핵심원칙(대분류)</t>
  </si>
  <si>
    <t>배점구조 요약</t>
  </si>
  <si>
    <t>세부원칙</t>
  </si>
  <si>
    <t>1단계</t>
  </si>
  <si>
    <t>점검기준 상세(K-ESG v2.0 원문)</t>
  </si>
  <si>
    <t>지표코드</t>
  </si>
  <si>
    <t>3. 점수 체계</t>
  </si>
  <si>
    <t>조직이 어떠한 방식으로든 ESG 정보를 공시하지 않는 경우</t>
  </si>
  <si>
    <t>지표명</t>
  </si>
  <si>
    <t>KSSB 대응현황</t>
  </si>
  <si>
    <t>데이터유형</t>
  </si>
  <si>
    <t>· 채점 유형 구성: 단계형·선택형 74개 / 복합가중형 11개 / 감점형 6개 (총 91개)</t>
  </si>
  <si>
    <t>크롤링소스(정량 수집처)</t>
  </si>
  <si>
    <t>· 단계형/선택형: 단계 수에 따라 0~100점 균등 배분 (원문 그대로)</t>
  </si>
  <si>
    <t>연계 K-ESG 분류코드</t>
  </si>
  <si>
    <t>비고/근거</t>
  </si>
  <si>
    <t>· 감점형(6개): 기준 100점에서 위반유형별 차감(-50/-30/-10점, 중복 합산), 최저 0점</t>
  </si>
  <si>
    <t>[입력]자사 현황값</t>
  </si>
  <si>
    <t>KSSB 참고근거</t>
  </si>
  <si>
    <t>· 복합가중형(11개): 세부요소 균등가중평균 — X열에 자사취득점수 수동 입력</t>
  </si>
  <si>
    <t>기타 참고기준(GRI/SASB/TCFD/KCGS 등)</t>
  </si>
  <si>
    <t>원본 출처파일</t>
  </si>
  <si>
    <t>· 가중치: 항목당 동일가중(1/N) 적용 — K-ESG v2.0은 별도 기본 가중치를 규정하지 않으며, 동일가중은</t>
  </si>
  <si>
    <t>[입력]충족단계/요건수</t>
  </si>
  <si>
    <t xml:space="preserve">   원문이 허용하는 채택 가능 방식 중 하나입니다.</t>
  </si>
  <si>
    <t>2단계</t>
  </si>
  <si>
    <t>[입력]위반유형1</t>
  </si>
  <si>
    <t>[입력]위반유형2</t>
  </si>
  <si>
    <t>조직의 홈페이지, 지속가능경영보고서, 사업보고서, 기타 간행물 등에 ESG 정보를 분산하여 공시하고 있는 경우</t>
  </si>
  <si>
    <t>[입력]위반유형3</t>
  </si>
  <si>
    <t>자사취득점수(0~100)</t>
  </si>
  <si>
    <t>개선 가이드</t>
  </si>
  <si>
    <t>비고-채점모델-25년</t>
  </si>
  <si>
    <t>지배구조 핵심지표(15개)</t>
  </si>
  <si>
    <t>-</t>
  </si>
  <si>
    <t>비고 - 손채점 + AI채점 - 26년</t>
  </si>
  <si>
    <t>H01</t>
  </si>
  <si>
    <t>4. KSSB 대비 GAP 분석</t>
  </si>
  <si>
    <r>
      <rPr>
        <rFont val="Noto Sans"/>
        <b/>
        <color rgb="FFFFFFFF"/>
        <sz val="9.0"/>
      </rPr>
      <t xml:space="preserve">시급성
</t>
    </r>
    <r>
      <rPr>
        <rFont val="Noto Sans"/>
        <b val="0"/>
        <color rgb="FFFFFFFF"/>
        <sz val="7.0"/>
      </rPr>
      <t>29년 의무공시 대비 개선 착수해야 하는 시점 순
점수가 낮은 순서 X</t>
    </r>
  </si>
  <si>
    <t>K-ESG 항목과 KSSB 제1호·제2호 공시기준서를 대조해 완전대응/부분대응/GAP 여부를 항목별로 표기했습니다.</t>
  </si>
  <si>
    <t>해결방안</t>
  </si>
  <si>
    <t>대응 지표가 없는 9건은 04번 시트에 정리했으며, KSSB 외 GRI·TNFD·한국거래소 기준도 일부 포함됩니다.</t>
  </si>
  <si>
    <t>실사 진단 질문</t>
  </si>
  <si>
    <t>5. 사용 방법</t>
  </si>
  <si>
    <t>주주총회 4주 전 소집공고 실시</t>
  </si>
  <si>
    <t>OX</t>
  </si>
  <si>
    <t>① 01번 시트 파란 글씨(입력 셀)에 자사 현황 입력: T열(단계) · U~W열(위반유형) · X열(복합가중형 수동점수)</t>
  </si>
  <si>
    <t>답변형식</t>
  </si>
  <si>
    <t>기업지배구조보고서</t>
  </si>
  <si>
    <t>G-3-1</t>
  </si>
  <si>
    <t>② X열 점수가 자동 계산되며, AA열의 실사 진단 질문으로 현장 확인·자료요청을 진행하세요.</t>
  </si>
  <si>
    <t>준수율 산정 15개 항목 중 하나</t>
  </si>
  <si>
    <t>③ 05번 시트에서 영역별(E/S/G/P) 평균 점수, KSSB 대응 현황, 입력 완료율을 확인하세요.</t>
  </si>
  <si>
    <t>3단계</t>
  </si>
  <si>
    <t>조직의 홈페이지, 지속가능경영보고서, 사업보고서, 기타 간행물 등에 ESG 정보를 통합하여 공시하고 있는 경우</t>
  </si>
  <si>
    <t>④ 본 워크북은 컨설팅 참고용 자가진단 도구이며, 공식 K-ESG 인증·평가 결과를 대체하지 않습니다.</t>
  </si>
  <si>
    <t>4단계</t>
  </si>
  <si>
    <t>기본진단항목(v2.0)</t>
  </si>
  <si>
    <t>ESG 정보를 통합한 조직의 홈페이지, 지속가능경영보고서, 사업보고서, 기타 간행물 등을 지정된 장소에 비치하거나, 특정 URL에 담고 있는 경우</t>
  </si>
  <si>
    <t>정보공시</t>
  </si>
  <si>
    <t>문서 구성: 00_사용안내 · 01_ESG통합진단마스터 · 02_점수산정참고표 · 03_지배구조세부점검(KRX) · 04_KSSB갭분석 · 05_요약대시보드</t>
  </si>
  <si>
    <t>5단계</t>
  </si>
  <si>
    <t>ESG 정보를 통합한 조직의 홈페이지, 지속가능경영보고서, 사업보고서, 기타 간행물 등의 발행여부를 ‘전자공시시스템-자율공시’ 사항으로 알리는 경우</t>
  </si>
  <si>
    <t>P-1-2</t>
  </si>
  <si>
    <t>ESG 정보공시 주기</t>
  </si>
  <si>
    <t>ESG 정보공시 주기를 특정할 수 없거나, 명시하고 있지 않는 경우</t>
  </si>
  <si>
    <t>2년 단위로 보고서 발간 및 ESG 정보를 공시하는 경우</t>
  </si>
  <si>
    <t>1년 단위로 보고서 발간 및 ESG 정보를 공시하는 경우</t>
  </si>
  <si>
    <t>P-1-3</t>
  </si>
  <si>
    <t>ESG 정보공시 범위</t>
  </si>
  <si>
    <t>ESG 정보공시 범위를 특정할 수 없거나, 명시하고 있지 않는 경우</t>
  </si>
  <si>
    <t>정보공시 형식</t>
  </si>
  <si>
    <t>조직이 ESG 정보공시 동향에 맞추어 정보 수요자의 접근성을 고려한 ESG 정보공시 방식을 정립하고 있는지 점검 | ESG 정보를 종합한 온/오프라인 채널 운영 및 ESG 정보공시 외부 확산/전파 등 정보 접근성 향상 측면의 노력을 확인</t>
  </si>
  <si>
    <t>조직이 법적으로 직접 소유하고 있는 사업장(ex. 별도재무제표 기준)의 일부 또는 모든 ESG 정보를 공시하고 있는 경우</t>
  </si>
  <si>
    <t>홈페이지, 지속가능경영보고서, 사업보고서, 기타간행물, 전자공시시스템 上 ‘자율공시’</t>
  </si>
  <si>
    <t>직전 회계연도</t>
  </si>
  <si>
    <t>N/A</t>
  </si>
  <si>
    <t>조직의 영향력과 통제력 범위에 있는 곳(자회사, 종속법인, 연결실체 등)의 일부 ESG 정보를 공시하고 있는 경우</t>
  </si>
  <si>
    <t>단계형</t>
  </si>
  <si>
    <t>조직의 영향력과 통제력 범위에 있는 곳(자회사, 종속법인, 연결실체 등)의 일부 ESG 정보를 공시하고 있는 경우. 단, 조직의 영향력과 통제력 범위로 ESG 정보공시 범위를 확대한다는 계획을 제시하고 있는 경우</t>
  </si>
  <si>
    <t>단계형: 1단계=0점 / 2단계=25점 / 3단계=50점 / 4단계=75점 / 5단계=100점</t>
  </si>
  <si>
    <t>1단계 |  조직이 어떠한 방식으로든 ESG 정보를 공시하지 않는 경우 |  2단계 |  조직의 홈페이지, 지속가능경영보고서, 사업보고서, 기타 간행물 등에 ESG 정보를 분산하여 공시하고 있는 경우 |  3단계 |  조직의 홈페이지, 지속가능경영보고서, 사업보고서, 기타 간행물 등에 ESG 정보를 통합하여 공시하고 있는 경우 |  4단계 |  ESG 정보를 통합한 조직의 홈페이지, 지속가능경영보고서, 사업보고서, 기타 간행물 등을 지정된 장소에 비치하거나, |  특정 URL에 담고 있는 경우 |  5단계 |  ESG 정보를 통합한 조직의 홈페이지, 지속가능경영보고서, 사업보고서, 기타 간행물 등의 발행여부를 ‘전자공시시스템-자율공시’ |  사항으로 알리는 경우</t>
  </si>
  <si>
    <t>조직의 영향력과 통제력 범위에 있는 곳(자회사, 종속법인, 연결실체 등)의 모든 ESG 정보를 공시하고 있는 경우</t>
  </si>
  <si>
    <t>P-2-1</t>
  </si>
  <si>
    <t>부분대응</t>
  </si>
  <si>
    <t>ESG 핵심이슈 및 KPI</t>
  </si>
  <si>
    <t>중대성 평가 결과 또는 ESG 핵심이슈를 공시하고 있지 않은 경우</t>
  </si>
  <si>
    <t>중대성 평가 결과와 핵심이슈를 명확히 정의하고 있는 경우</t>
  </si>
  <si>
    <t>2단계 + 핵심이슈에 대해 조직이 관리하고 있는 성과지표를 설명하고 있는 경우 (예를 들어, 기후변화가 핵심이슈일 경우, 온실가스 배출량 데이터 제시)</t>
  </si>
  <si>
    <t>3단계 + 핵심이슈가 사업적/사회적 관점에서 중요한 사유를 설명하고 있는 경우 (예를 들어, 사업적/사회적 관점의 기회 요인과 리스크 요인 등)</t>
  </si>
  <si>
    <t>4단계 + 핵심이슈를 관리하기 위한 시스템 및 절차를 설명하고 있는 경우 (조직, 전략 및 계획, 고충처리체계, 활동 및 교육 등)</t>
  </si>
  <si>
    <t>P-3-1</t>
  </si>
  <si>
    <t>ESG 정보공시 검증</t>
  </si>
  <si>
    <t>요건1</t>
  </si>
  <si>
    <t>검증의견서에 검증기관(또는 검증인)이 명시되어 있는 경우 (또는, 검증기관이 License Number를 보유하고 있는 경우)</t>
  </si>
  <si>
    <t>요건2</t>
  </si>
  <si>
    <t>검증의견서에 검증기관과의 독립성 성명이 포함되어 있는 경우 (즉, 검증기관과 검증받는 조직간 이해관계 상충이 없음을 선언한 경우)</t>
  </si>
  <si>
    <t>요건3</t>
  </si>
  <si>
    <t>검증의견서에 검증표준(방법론)이 제시되어 있는 경우 (AA1000AS, ISAE3000, 또는 제3자 검증기관이 개발한 자체 검증표준 등)</t>
  </si>
  <si>
    <t>요건4</t>
  </si>
  <si>
    <t>검증의견서에 ESG 정보 검증수준을 공개하고 있는 경우 (Type1/Type2, Moderate/High, 제한적/합리적 등)</t>
  </si>
  <si>
    <t>요건5</t>
  </si>
  <si>
    <t>검증의견서에 제3자 검증기관이 검증한 정보공시 지표가 적시되어 있는 경우 (즉, 조직의 모든 ESG 정보 중 어떠한 정보를 검증하였는지 명시하는 경우)</t>
  </si>
  <si>
    <t>E-1-1</t>
  </si>
  <si>
    <t>환경경영 목표 수립</t>
  </si>
  <si>
    <t>단기/중장기 성과목표, 또는 조직의 환경경영 방향성을 나타내는 환경경영 미션/비전/지향점이 없는 경우</t>
  </si>
  <si>
    <t>환경경영 미션/비전/지향점만 제시하고 있는 경우</t>
  </si>
  <si>
    <t>2단계 + 조직의 환경 분야 핵심이슈에 대한 단기 목표만 설정하고 있는 경우</t>
  </si>
  <si>
    <t>3단계 + 중장기 목표까지 수립하고 있는 경우</t>
  </si>
  <si>
    <t>4단계 + 중장기 목표 달성을 위한 과제와, 이행점검 지표를 마련한 경우</t>
  </si>
  <si>
    <t>E-1-2</t>
  </si>
  <si>
    <t>환경경영 추진체계</t>
  </si>
  <si>
    <t>환경경영 추진을 위한 전사 거버넌스 체계를 구축하고 있는 경우 (전담조직, 실무협의회, 경영회의 및 내부점검체계 등)</t>
  </si>
  <si>
    <t>환경경영 추진을 위한 전사 전담조직을 운영하고 있는 경우 (전사 환경경영 기획, 점검, 성과관리 등 실행업무 담당)</t>
  </si>
  <si>
    <t>환경경영 과제 실행에 필요한 자원을 투입하고 있는 경우 (환경투자 예산, 역량강화 교육, 내외부 전문인력 등)</t>
  </si>
  <si>
    <t>환경경영 추진 현황을 점검/분석/평가하는 시스템이 있는 경우 (IT기반 모니터링 시스템, 과제점검 회의, 제3자 의견수렴 등)</t>
  </si>
  <si>
    <t>환경경영 과제 이행현황이 경영진 포함 관련 구성원의 성과평가지표(KPIs)에 반영되어 있는 경우 * 선택 항목의 합산값으로 평가</t>
  </si>
  <si>
    <t>E-2-1</t>
  </si>
  <si>
    <t>원부자재 사용량</t>
  </si>
  <si>
    <t>지난 4개년 원단위 원부자재 사용량 증가 추세</t>
  </si>
  <si>
    <t>지난 4개년 원단위 원부자재 사용량 변동 없음</t>
  </si>
  <si>
    <t>지난 4개년 원단위 원부자재 사용량 감소 추세 * 원단위 원부자재 사용량을 관리하지 않는 경우 0점 적용 * 3개년 이하 데이터 보유 시 해당 데이터로 추세 산정 * '유지 추세'로 판단할 경우 2단계로 적용하여 평가</t>
  </si>
  <si>
    <t>E-2-2</t>
  </si>
  <si>
    <t>재생 원부자재 비율</t>
  </si>
  <si>
    <t>지난 4개년 재생 원부자재 사용 비율 감소 추세</t>
  </si>
  <si>
    <t>지난 4개년 재생 원부자재 사용 비율 변동 없음</t>
  </si>
  <si>
    <t>지난 4개년 재생 원부자재 사용 비율 증가 추세 * 재생 원부자재를 사용하지 않는 경우 0점 적용 * 국내 및 해외 모든 사업장에서 재생 원부자재를 100% 사용하는 경우 100점 적용 * 3개년 이하 데이터 보유 시 해당 데이터로 추세 산정 * '유지 추세'로 판단할 경우 2단계로 적용하여 평가</t>
  </si>
  <si>
    <t>H02</t>
  </si>
  <si>
    <t>E-3-1</t>
  </si>
  <si>
    <t>온실가스 배출량 (Scope1 &amp; Scope2)</t>
  </si>
  <si>
    <t>지난 4개년 원단위 온실가스 배출량 증가 추세</t>
  </si>
  <si>
    <t>KSSB 제1호 문단 64~70(보고시기·장소), 21~24(연계된 정보)</t>
  </si>
  <si>
    <t>지난 4개년 원단위 온실가스 배출량 변동 없음</t>
  </si>
  <si>
    <t>GRI 2-3</t>
  </si>
  <si>
    <t>전자투표 실시</t>
  </si>
  <si>
    <t>1_2_0_업종별 K-ESG 가이드라인(v2.0) 진단항목</t>
  </si>
  <si>
    <t>지난 4개년 원단위 온실가스 배출량 감소 추세 * 원단위 온실가스 배출량을 관리하고 있지 않은 경우 0점 적용 * 국내 및 해외 모든 사업장이 ‘탄소중립’ 또는 ‘탄소제로’를 달성한 경우 100점 적용 * 3개년 이하 데이터 보유 시 해당 데이터로 추세 산정 * '유지 추세'로 판단할 경우 2단계로 적용하여 평가</t>
  </si>
  <si>
    <t>E-3-3</t>
  </si>
  <si>
    <t>온실가스 배출량 검증</t>
  </si>
  <si>
    <t>G-3-3</t>
  </si>
  <si>
    <t>검증의견서에 검증기관(또는 검증인)이 명시되어 있는 경우 (또는, 검증기관이 License Number를 갖추고 있는 경우)</t>
  </si>
  <si>
    <t>검증의견서에 검증표준(방법론)이 제시되어 있는 경우 (온실가스 배출권거래제의 배출량 보고 및 인증에 관한 지침, GHG Protocol, ISO14064-1 등)</t>
  </si>
  <si>
    <t>검증의견서에 ESG 정보 검증수준을 공개하고 있는 경우 (전체/일부 데이터 검증, 제한적/합리적 보증 등)</t>
  </si>
  <si>
    <t>H03</t>
  </si>
  <si>
    <t>주주총회 집중일 이외 개최</t>
  </si>
  <si>
    <t>제3자 검증기관이 검증한 온실가스 배출량 검증 범위가 적시되어 있는 경우 (즉, 조직의 사업장 중 온실가스 배출량을 검증받은 사업장 및 지역 등)</t>
  </si>
  <si>
    <t>G-3-2</t>
  </si>
  <si>
    <t>조직의 온실가스 관리에 관한 제3자 검증기관 의견이 명시되어 있는 경우 (온실가스 관리 시스템 개선, 향후 검증값의 변동가능성 등)</t>
  </si>
  <si>
    <t>E-4-1</t>
  </si>
  <si>
    <t>H04</t>
  </si>
  <si>
    <t>에너지 사용량</t>
  </si>
  <si>
    <t>현금배당 관련 예측가능성 제공</t>
  </si>
  <si>
    <t>지난 4개년 원단위 에너지 사용량이 증가 추세</t>
  </si>
  <si>
    <t>G-3-4</t>
  </si>
  <si>
    <t>배당액 확정일이 배당기준일보다 선행</t>
  </si>
  <si>
    <t>지난 4개년 원단위 에너지 사용량이 변동 없음</t>
  </si>
  <si>
    <t>H05</t>
  </si>
  <si>
    <t>배당정책·배당실시계획 연1회 이상 주주 통지</t>
  </si>
  <si>
    <t>지난 4개년 원단위 에너지 사용량이 감소 추세 * 원단위 에너지 사용량을 관리하지 않고 있는 경우 0점 적용 * 3개년 이하 데이터 보유 시 해당 데이터로 추세 산정 * '유지 추세'로 판단할 경우 2단계로 적용하여 평가</t>
  </si>
  <si>
    <t>E-4-2</t>
  </si>
  <si>
    <t>재생에너지 사용 비율</t>
  </si>
  <si>
    <t>지난 4개년 재생에너지 사용비율이 감소 추세</t>
  </si>
  <si>
    <t>H06</t>
  </si>
  <si>
    <t>최고경영자 승계정책 마련 및 운영</t>
  </si>
  <si>
    <t>지난 4개년 재생에너지 사용비율이 변동 없음</t>
  </si>
  <si>
    <t>G-경영진-추가1</t>
  </si>
  <si>
    <t>지난 4개년 재생에너지 사용비율이 증가 추세 * 재생에너지를 사용하고 있지 않은 경우 0점 적용 * 국내 및 해외 모든 사업장에서 재생에너지를 100% 사용하는 경우 100점 적용 * 3개년 이하 데이터 보유 시 해당 데이터로 추세 산정 * '유지 추세'로 판단할 경우 2단계로 적용하여 평가</t>
  </si>
  <si>
    <t>E-5-1</t>
  </si>
  <si>
    <t>용수 사용량</t>
  </si>
  <si>
    <t>H07</t>
  </si>
  <si>
    <t>위험관리 등 내부통제정책 마련 및 운영</t>
  </si>
  <si>
    <t>지난 4개년 원단위 용수 사용량이 증가 추세</t>
  </si>
  <si>
    <t>G-4-1</t>
  </si>
  <si>
    <t>리스크관리·준법경영·내부회계관리·공시정보관리 모두 충족해야 준수</t>
  </si>
  <si>
    <t>지난 4개년 원단위 용수 사용량이 변동 없음</t>
  </si>
  <si>
    <t>H08</t>
  </si>
  <si>
    <t>지난 4개년 원단위 용수 사용량이 감소 추세 * 원단위 용수 사용량을 관리하고 있지 않은 경우 0점 적용 * 3개년 이하 데이터 보유 시 해당 데이터로 추세 산정 * '유지 추세'로 판단할 경우 2단계로 적용하여 평가</t>
  </si>
  <si>
    <t>사외이사가 이사회 의장인지 여부</t>
  </si>
  <si>
    <t>E-5-2</t>
  </si>
  <si>
    <t>재사용 용수 비율</t>
  </si>
  <si>
    <t>G-1-3</t>
  </si>
  <si>
    <t>지난 4개년 재사용 용수 비율이 감소 추세</t>
  </si>
  <si>
    <t>H09</t>
  </si>
  <si>
    <t>지난 4개년 재사용 용수 비율이 변동 없음</t>
  </si>
  <si>
    <t>집중투표제 채택</t>
  </si>
  <si>
    <t>정관상 배제하지 않는 경우 해당</t>
  </si>
  <si>
    <t>지난 4개년 재사용 용수 비율이 증가 추세 * 용수를 재사용하지 않고 있는 경우 0점 적용 * 국내 및 해외 모든 사업장이 폐수 무방류 시스템을 구축한 경우 100점 적용 * 3개년 이하 데이터 보유 시 해당 데이터로 추세 산정 * '유지 추세'로 판단할 경우 2단계로 적용하여 평가</t>
  </si>
  <si>
    <t>E-6-1</t>
  </si>
  <si>
    <t>폐기물 배출량</t>
  </si>
  <si>
    <t>H10</t>
  </si>
  <si>
    <t>지난 4개년 원단위 폐기물 배출량이 증가 추세</t>
  </si>
  <si>
    <t>기업가치 훼손·주주권익 침해 책임자 임원선임 방지 정책 수립</t>
  </si>
  <si>
    <t>지난 4개년 원단위 폐기물 배출량이 변동 없음</t>
  </si>
  <si>
    <t>ESG 정보공시란 투자자를 비롯한 다양한 이해관계자의 의사결정 및 가치판단에 영향을 미칠 수 있는 환경, 사회, 지배구조와 관련된 정보를 공개적으로 널리 알리는 행위를 의미한다. 조직은 정기적으로 특정한 정보공시 창구(홈페이지, 사업보고서, 지속가능경영보고서, 기타 간행물 등)에 ESG 관련 정보를 종합적으로 수록하고 있으며, 해당 정보공시 창구를 통해 이해관계자 누구나 ESG 정보를 접근/열람할 수 있고, 정보공시 여부를 대내외에 알리는 행위를 한 경우 ESG 정보공시를 하였다고 정의한다. ESG 정보란 중대성 평가(Materiality Test) 결과에 따른 핵심이슈, 또는 조직의 사업운영 과정에서 지속적 관리가 필요한 ESG 이슈별로 ‘전략’, ‘조직’,…</t>
  </si>
  <si>
    <t>H11</t>
  </si>
  <si>
    <t>이사회 구성원 모두 단일 성별이 아님</t>
  </si>
  <si>
    <t>지난 4개년 원단위 폐기물 배출량이 감소 추세 * 원단위 폐기물 배출량을 관리하지 않고 있는 경우 0점 적용 * 3개년 이하 데이터 보유 시 해당 데이터로 추세 산정 * '유지 추세'로 판단할 경우 2단계로 적용하여 평가</t>
  </si>
  <si>
    <t>E-6-2</t>
  </si>
  <si>
    <t>G-1-4</t>
  </si>
  <si>
    <t>폐기물 재활용 비율</t>
  </si>
  <si>
    <t>[자동채점] | 근거충분성: 부분적 | 근거: [지배구조보고서] 12p. 당사는 정관 규정에 따라 금전, 주식 및 기타의 재산으로 이익의 배당을 할 수 있습니다. 당사는 주주와 이해관계인의 중장기적 이익 극대화를 전제로 회사의 이익을 주주에게 배당하고 있으며 사업확장을 위한 투자수요, 경기변동에 따른 적정수준의 운영자금확보, 과거 배당 실적, 영업실적을 포함한 요소를 감안하여 배당 규모를 결정하고 있습니다.(17번째 줄) → 기업지배구조보고서 및 사업보고서 등을 통해 ESG 관련 정보를 분산하여 공시하고 있으나, 이를 통합하여 관리하거나 전자공시시스템에 자율공시로 알리는 체계에 대한 구체적인 근거가 부족하여 2단계로 판단함. | 근거페이지: 사업보고서 261p / 지배구조보고서 3~4p, 8p, 10~12p, 17p, 19p, 21p, 27p, 37p, 44p</t>
  </si>
  <si>
    <t>성별 다양성</t>
  </si>
  <si>
    <t>지난 4개년 폐기물 재활용 비율이 감소 추세</t>
  </si>
  <si>
    <t>H12</t>
  </si>
  <si>
    <t>지난 4개년 폐기물 재활용 비율이 변동 없음</t>
  </si>
  <si>
    <t>독립적인 내부감사부서(지원조직) 설치</t>
  </si>
  <si>
    <r>
      <rPr>
        <rFont val="Noto Sans"/>
        <color rgb="FF0000FF"/>
        <sz val="9.0"/>
        <u/>
      </rPr>
      <t xml:space="preserve">지속가능경영
</t>
    </r>
    <r>
      <rPr>
        <rFont val="Noto Sans"/>
        <b/>
        <color rgb="FF1F1F1F"/>
        <sz val="9.0"/>
      </rPr>
      <t xml:space="preserve">충분 / 4단계 / 75점
</t>
    </r>
    <r>
      <rPr>
        <rFont val="Noto Sans"/>
        <color rgb="FF1F1F1F"/>
        <sz val="9.0"/>
      </rPr>
      <t>[판단근거] 기준상 통합 ESG 정보와 지정 장소·특정 URL이 있으면 4단계, 이를 DART 자율공시로 발행 사실까지 알리면 5단계다. DN은 ESG 경영·정책·정량데이터·검증 링크 등을 하나의 지속가능경영 웹페이지에 통합해 제공하고 특정 URL이 확인된다.
[확인근거] DN오토모티브_통합 PDF p.1~3은 원본 ESG 페이지 URL과 ESG 정책·정량데이터를 함께 제시한다. 
[감점사유] 첨부 문서에서 ESG 정보 발행 자체를 DART 자율공시로 별도 알렸다는 직접 증빙은 확인되지 않아 5단계는 인정하지 않는다.
[보완 필요 증빙] DART 자율공시 접수증·공시문, ESG 데이터/보고서 발행 공지.</t>
    </r>
  </si>
  <si>
    <t>G-5-1</t>
  </si>
  <si>
    <t>지난 4개년 폐기물 재활용 비율이 증가 추세 * 폐기물 재활용 비율을 관리하지 않고 있는 경우 0점 적용 * 국내 및 해외 모든 사업장이 재활용 및 재사용 가능한 폐기물 전부를 재활용 및 재사용하고 있는 경우 100점 적용 * 3개년 이하 데이터 보유 시 해당 데이터로 추세 산정 * '유지 추세'로 판단할 경우 2단계로 적용하여 평가</t>
  </si>
  <si>
    <t>E-7-1</t>
  </si>
  <si>
    <t>H13</t>
  </si>
  <si>
    <t>대기오염물질 배출량</t>
  </si>
  <si>
    <t>내부감사기구에 회계·재무 전문가 존재</t>
  </si>
  <si>
    <t>지난 4개년 대기오염물질 평균 배출농도가 증가 추세</t>
  </si>
  <si>
    <t>G-5-2</t>
  </si>
  <si>
    <t>지난 4개년 대기오염물질 평균 배출농도가 변동 없음</t>
  </si>
  <si>
    <t>H14</t>
  </si>
  <si>
    <t>내부감사기구-외부감사인 분기 1회 이상 경영진 없이 회의</t>
  </si>
  <si>
    <t>지난 4개년 대기오염물질 평균 배출농도가 감소 추세 * 대기오염물질 평균 배출농도를 관리하지 않고 있는 경우 0점 적용 * 국내 및 해외 모든 사업장의 대기오염물질 배출농도가 ‘0’인 경우 100점 적용 * 3개년 이하 데이터 보유 시 해당 데이터로 추세 산정 * '유지 추세'로 판단할 경우 2단계로 적용하여 평가</t>
  </si>
  <si>
    <t>E-7-2</t>
  </si>
  <si>
    <t>수질오염물질 배출량</t>
  </si>
  <si>
    <t>지난 4개년 수질오염물질 평균 배출농도가 증가 추세</t>
  </si>
  <si>
    <t>H15</t>
  </si>
  <si>
    <t>경영 중요정보에 내부감사기구 접근 가능한 절차 마련</t>
  </si>
  <si>
    <t>지난 4개년 수질오염물질 평균 배출농도가 변동 없음</t>
  </si>
  <si>
    <t>지난 4개년 수질오염물질 평균 배출농도가 감소 추세 * 수질오염물질 평균 배출농도를 관리하지 않고 있는 경우 0점 적용 * 국내 및 해외 모든 사업장의 수질오염물질 배출농도가 ‘0’인 경우 100점 적용 * 3개년 이하 데이터 보유 시 해당 데이터로 추세 산정 * '유지 추세'로 판단할 경우 2단계로 적용하여 평가</t>
  </si>
  <si>
    <t>핵심원칙1_주주의권리</t>
  </si>
  <si>
    <t>E-9-1</t>
  </si>
  <si>
    <t>1-①_주주총회정보제공</t>
  </si>
  <si>
    <t>친환경 인증 제품 및 서비스 비율</t>
  </si>
  <si>
    <t>101</t>
  </si>
  <si>
    <t>소집공고일~주주총회일 간격(일)</t>
  </si>
  <si>
    <t>숫자</t>
  </si>
  <si>
    <t>친환경 인증을 획득한 제품 및 서비스, 또는 친환경 인증 원부자재 등이 포함된 제품군의 매출비율이 증가 추세</t>
  </si>
  <si>
    <t>G-3-1, G-3-3</t>
  </si>
  <si>
    <t>4주 초과 여부 판단 근거</t>
  </si>
  <si>
    <t>친환경 인증을 획득한 제품 및 서비스, 또는 친환경 인증 원부자재 등이 포함된 제품군의 매출비율이 변동 없음</t>
  </si>
  <si>
    <t>102</t>
  </si>
  <si>
    <t>외국인 주주 이해가능 소집통지 실시여부</t>
  </si>
  <si>
    <t>친환경 인증을 획득한 제품 및 서비스, 또는 친환경 인증 원부자재 등이 포함된 제품군의 매출비율이 감소 추세 * 완성품이 아닌 원부자재 생산 업종의 경우 원부자재에 대한 친환경 인증을 기준으로 점검 * 3개년 이하 데이터 보유 시 해당 데이터로 추세 산정 * '유지 추세'로 판단할 경우 2단계로 적용하여 평가</t>
  </si>
  <si>
    <t>E-10-1</t>
  </si>
  <si>
    <t>기후변화 거버넌스</t>
  </si>
  <si>
    <t>1-②_의결권행사</t>
  </si>
  <si>
    <t>기후변화 문제에 대응할 수 있는 담당자(혹은 기구)가 없음</t>
  </si>
  <si>
    <t>103</t>
  </si>
  <si>
    <t>정기주총 집중일 회피 여부</t>
  </si>
  <si>
    <t>최근 3개년</t>
  </si>
  <si>
    <t>기후변화 문제에 대응하기 위한 관리자(혹은 담당부서)가 있으며, 담당부서의 KPIs에 조직의 기후변화 대응 목표가 반영되어 있음</t>
  </si>
  <si>
    <t>104</t>
  </si>
  <si>
    <t>서면투표 실시여부</t>
  </si>
  <si>
    <t>기후변화 문제에 대응하기 위한 관리직(C-level) 혹은 위원회가 있으며, 관리직의 KPIs에 조직의 기후변화 대응 목표가 반영되어 있음 (예 : 기후/지속가능성/ESG 최고 책임자, 리스크 관리 최고 책임자(CEO 제외) 등)</t>
  </si>
  <si>
    <t>중기</t>
  </si>
  <si>
    <t>3단계 + 기후 관련 문제를 이사회 차원의 위원회에서 관리·감독하고 있으며, 이사회 안건으로 상정하고 있음 (예 : 기후/지속가능성/ESG 위원회, 리스크 관리 위원회 등)</t>
  </si>
  <si>
    <t>105</t>
  </si>
  <si>
    <t>전자투표 실시여부</t>
  </si>
  <si>
    <t>4단계 + 조직 구성원에게 기후변화 대응 목표 KPIs 달성도에 따라 인센티브를 제공하고 있음</t>
  </si>
  <si>
    <t>E-10-3</t>
  </si>
  <si>
    <t>기후변화 물리 리스크 및 대응 방안</t>
  </si>
  <si>
    <t xml:space="preserve">[현재 문제점] 통합 웹공시는 확보됐으나 DART를 이용한 외부 확산 증빙이 부족하다. 
[개선방향] 매년 ESG 데이터 또는 지속가능경영 자료 업데이트 시 DART 자율공시를 표준 절차에 포함한다.
[필요 근거] DART 공시문·접수번호, 홈페이지 게시일 로그. </t>
  </si>
  <si>
    <t>조직이 기후변화로 인한 물리 리스크를 분석하지 않는 경우</t>
  </si>
  <si>
    <t>106</t>
  </si>
  <si>
    <t>의결권 대리행사 권유 여부</t>
  </si>
  <si>
    <t>홈페이지, 지속가능경영보고서, 사업보고서 등을 통해 ESG 정보를 통합하여 공시하고, 전자공시시스템(DART) 자율공시 등을 통해 정보 접근성을 확보하고 있습니까?</t>
  </si>
  <si>
    <t>조직이 기후변화로 인한 조직 전체 차원의 물리 리스크를 식별하고 정의하는 경우</t>
  </si>
  <si>
    <t>2단계 + 물리 리스크로 인한 사업 영향력을 정성적으로 측정하는 경우</t>
  </si>
  <si>
    <t>단계(1~5)</t>
  </si>
  <si>
    <t>107</t>
  </si>
  <si>
    <t>안건별 찬성/반대(기권) 비율(%)</t>
  </si>
  <si>
    <t>3단계 +물리 리스크로 인한 사업 영향력을 정량적으로 측정하여 리스크 해소한 경우</t>
  </si>
  <si>
    <t>4단계 + 물리 리스크로 인해 발생할 수 있는 리스크에 대한 새로운 사업기회를 모색하는 등 기업의 회복탄력성을 수립한 경우 * 4단계에서 리스크에 따른 사업 영향력을 정량적으로 측정할 경우, 재해보험의 위험 전가율(%) 등도 고려할 수 있음</t>
  </si>
  <si>
    <t>1-③_주주제안권</t>
  </si>
  <si>
    <t>E-10-4</t>
  </si>
  <si>
    <t>108</t>
  </si>
  <si>
    <t>기후변화 전환 리스크 및 대응 방안</t>
  </si>
  <si>
    <t>주주제안 절차 홈페이지 등 안내 시행여부</t>
  </si>
  <si>
    <t>조직이 기후변화로 인한 전환 리스크를 분석하지 않는 경우</t>
  </si>
  <si>
    <t>G-3(주주권리 보강)</t>
  </si>
  <si>
    <t>조직이 기후변화로 인한 조직 전체 차원의 전환 리스크를 식별하고 정의하는 경우</t>
  </si>
  <si>
    <t>109</t>
  </si>
  <si>
    <t>투자자, 고객 등 정보 수요자의 의사결정 및 가치판단에 필요한 최신 ESG 정보를 적시에 제공하고 있는지 점검 | 조직의 ESG 데이터 취합/분석/마감 기간을 고려하여 1년 단위로 ESG 정보공시 주기를 설정하고 있는지 확인</t>
  </si>
  <si>
    <t>주주제안 처리절차·기준 규정 시행여부</t>
  </si>
  <si>
    <t>2단계 + 전환 리스크로 인한 사업 영향력을 정량적으로 측정하는 경우</t>
  </si>
  <si>
    <t>ESG 정보공시 일자, 지속가능경영보고서 발간 주기</t>
  </si>
  <si>
    <t>최근 4개년 회계연도 * 3개년 이하 데이터 보유 시 해당 데이터로 추세 산정</t>
  </si>
  <si>
    <t>3단계+ 전환리스크로인한사업영향력을사업장별로측정해리스크해소에드는예상비용, 예상평균소요기간 등을분석하는경우</t>
  </si>
  <si>
    <t>110</t>
  </si>
  <si>
    <t>공시대상기간 내 주주제안 건수 및 이행상황</t>
  </si>
  <si>
    <t>4단계 + 전환 리스크로 인해 발생할 수 있는 새로운 사업 기회를 모색하고 수립한 경우</t>
  </si>
  <si>
    <t>숫자/텍스트</t>
  </si>
  <si>
    <t>E-11-1</t>
  </si>
  <si>
    <t>자연자본 식별</t>
  </si>
  <si>
    <t>조직이 위치한 사업장의 자연자본을 식별하고 있지 않은 경우</t>
  </si>
  <si>
    <t>단계형: 1단계=0점 / 2단계=50점 / 3단계=100점</t>
  </si>
  <si>
    <t>111</t>
  </si>
  <si>
    <t>1단계 |  ESG 정보공시 주기를 특정할 수 없거나, 명시하고 있지 않는 경우 |  2단계 |  2년 단위로 보고서 발간 및 ESG 정보를 공시하는 경우 |  3단계 |  1년 단위로 보고서 발간 및 ESG 정보를 공시하는 경우</t>
  </si>
  <si>
    <t>공개서한 접수 여부 및 처리현황</t>
  </si>
  <si>
    <t>OX/텍스트</t>
  </si>
  <si>
    <t>조직이 위치한 사업장의 자연자본을 식별할 계획을 수립한 경우</t>
  </si>
  <si>
    <t>KSSB 제1호 문단 60~63(보고빈도)</t>
  </si>
  <si>
    <t>조직이 위치한 일부 사업장의 자연자본을 식별하고 있는 경우</t>
  </si>
  <si>
    <t>1-④_주주환원정책</t>
  </si>
  <si>
    <t>112</t>
  </si>
  <si>
    <t>주주환원정책(배당 포함) 수립여부</t>
  </si>
  <si>
    <t>조직이 위치한 전체 사업장의 자연자본을 식별하고 있는 경우</t>
  </si>
  <si>
    <t>대외적으로 식별된 자연자본을 공개하고 있는 경우</t>
  </si>
  <si>
    <t>E-11-2</t>
  </si>
  <si>
    <t>생물다양성 보존 전략</t>
  </si>
  <si>
    <t>113</t>
  </si>
  <si>
    <t>주주환원정책 연1회 통지 여부</t>
  </si>
  <si>
    <t>회피(Avoid)</t>
  </si>
  <si>
    <t>저감(Reduce)</t>
  </si>
  <si>
    <t>114</t>
  </si>
  <si>
    <t>주주환원정책 영문자료 제공 여부</t>
  </si>
  <si>
    <t>복원(Restore)</t>
  </si>
  <si>
    <t>재생(Regenerate)</t>
  </si>
  <si>
    <t>115</t>
  </si>
  <si>
    <t>현금배당 관련 예측가능성 제공(배당기준일 이전 배당결정)</t>
  </si>
  <si>
    <t>변경(Transform)</t>
  </si>
  <si>
    <t>표 1-4-1</t>
  </si>
  <si>
    <t>E-11-3</t>
  </si>
  <si>
    <t>산림보호 활동</t>
  </si>
  <si>
    <t>116</t>
  </si>
  <si>
    <t>산림보호 혹은 산림파괴 예방 정책을 수립한 경우 (사업 운영 전반에서 발생하는 산림파괴 리스크 관리 및 산림파괴 예방 등)</t>
  </si>
  <si>
    <t>상장회사협의회 표준정관 개정 반영 여부</t>
  </si>
  <si>
    <t>사업 활동으로 인해 영향을 받는 지역을 조사하고 주요 보호지역을 정의한 경우 (산림이 제공하는 경관 및 지형학/지질학적 특성, 산림에 서식하는 생물다양성 등)</t>
  </si>
  <si>
    <t>KSSB 대비 GAP 분석</t>
  </si>
  <si>
    <t>1-⑤_배당등주주권리</t>
  </si>
  <si>
    <t>117</t>
  </si>
  <si>
    <t>최근 3개년 주당 배당금</t>
  </si>
  <si>
    <t>ESG 정보 수요자가 조직의 ESG 정보를 효과적으로 활용하기 위해서는, 조직이 ESG 정보를 주기적으로 공시하는 것이 중요하다. ESG 정보가 적시성을 확보하기 위해서는 ESG 정보공시 주기를 재무정보 공시주기와 동일하게 하거나, 재무정보 공시 이후 최대한 빠른 시기에 ESG 정보를 공시할 필요가 있다. 또한, ESG 정보 수요자에 상당한 영향력을 미칠 수 있는 정보는 이를 확인한 즉시 대외공시할 것을 권장한다. 조직은 ESG 정보공시 주기를 자율적으로 정할 수 있다. 일부 조직은 주요한 ESG 성과가 창출되는 시점마다 공시하기도 하며, 어떠한 조직은 ESG 정보공시에 따른 업무/비용 부담을 고려하여 격년 주기로 공시하기도 한다. 반면 ESG 정보공시 규제 및…</t>
  </si>
  <si>
    <t>산림보호를 위해 전사 차원의 목표를 수립한 경우 (산림파괴 없는 사업 운영 구조 완성, 탄소상쇄 활동(REDD+ 등)에 대한 성과개선 목표 설정 등)</t>
  </si>
  <si>
    <t>기업지배구조보고서/지속가능경영보고서</t>
  </si>
  <si>
    <t>KSSB(한국지속가능성기준위원회) 지속가능성 공시기준서 제1호(일반요구사항)·제2호(기후) 대비 K-ESG 가이드라인 v2.0의 대응 현황</t>
  </si>
  <si>
    <t>표 1-5-1-1</t>
  </si>
  <si>
    <t>산림보호를 위한 단기/중장기 목표 수립 및 연도별 이행 현황을 파악하고 있는 경우 (중장기 산림 보호-복원-확대 목표 이행 현황 및 목표 대비 이행률 점검 등)</t>
  </si>
  <si>
    <t>※ 본 GAP 분석의 KSSB 조문번호는 2024.4 공개초안 기준이며, 2026.2.26 최종 제정본 대비 재검증이 필요합니다.</t>
  </si>
  <si>
    <t>118</t>
  </si>
  <si>
    <t>최근 3개년 시가배당률(%)</t>
  </si>
  <si>
    <t>[자동채점] | 근거충분성: 불충분 | 근거: [지배구조보고서] 12p. 당사는 자산 2조원 미만인 코스피 상장사로 영문공시 의무화(2단계 '26~) 대상이 아니며, 이에 모든 공시는 국문으로 공시되고 외국인주주 및 외국인투자자를 위한 영문공시는 현재 제공하지 않고 있습니다.(17번째 줄) → 제공된 근거 자료 내에서 ESG 정보공시 주기를 1년 또는 2년 단위로 설정하여 정기적으로 공시한다는 명시적인 정책이나 보고서 발간 주기에 대한 언급이 확인되지 않아 1단계로 판단함. | 근거페이지: 사업보고서 189p, 261p, 272p / 지배구조보고서 3p, 5p, 8p, 12p, 17p, 19p, 30p, 32p, 43~44p</t>
  </si>
  <si>
    <t>산림보호를 위해 이해관계자로부터 의견을 수렴하고 관련 성과를 공유하는 경우 (산림 보호 활동 및 성과 공유, 외부 전문기관 및 비영리기관 등과 협력체계 구축 등)</t>
  </si>
  <si>
    <t>S-1-1</t>
  </si>
  <si>
    <t>1. K-ESG v2.0(91개 항목 기준) 영역별 KSSB 대응 현황</t>
  </si>
  <si>
    <t>목표 수립 및 공시</t>
  </si>
  <si>
    <r>
      <rPr>
        <rFont val="Noto Sans"/>
        <b/>
        <color rgb="FFFF0000"/>
        <sz val="9.0"/>
      </rPr>
      <t xml:space="preserve">부족 / 1단계 / 0점
</t>
    </r>
    <r>
      <rPr>
        <rFont val="Noto Sans"/>
        <color theme="1"/>
        <sz val="9.0"/>
      </rPr>
      <t>[판단근거] 3단계는 1년 단위 공시, 2단계는 2년 단위이며 주기를 특정할 수 없으면 1단계다.
[확인근거] 통합 ESG 자료에는 2023·2024·2025년 수치가 나란히 제공되지만, 이것만으로 “매년 공시한다”는 발간정책 또는 과거 연도별 실제 게시일을 입증하지는 못한다. 
[감점사유] 연속 3개년 데이터와 연 1회 공시 주기는 서로 다른 증빙이므로 보수적으로 주기 미특정 처리한다.
[보완 필요 증빙] ESG 정보공시 정책, 연간 공시캘린더, 2024·2025·2026 게시일/발간이력</t>
    </r>
  </si>
  <si>
    <t>단기/중장기 성과목표 또는 조직의 사회 분야 추진 방향성을 나타내는 사회분야 경영 미션/비전/지향점이 없는 경우</t>
  </si>
  <si>
    <t>119</t>
  </si>
  <si>
    <t>최근 3개년 현금배당성향(연결/개별, %)</t>
  </si>
  <si>
    <t>표 1-5-1-2</t>
  </si>
  <si>
    <t>단기/중장기 성과목표는 수립되지 않았으나, 조직의 사회 분야 추진 방향성을 나타내는 사회분야 미션/비전/지향점을 제시하고 있는 경우</t>
  </si>
  <si>
    <t>조직의 사회분야 핵심이슈에 대한 단기 목표를 설정하고 있는 경우</t>
  </si>
  <si>
    <t>120</t>
  </si>
  <si>
    <t>차등배당·분기배당·중간배당 실시여부</t>
  </si>
  <si>
    <t>즉시</t>
  </si>
  <si>
    <t>조직의 사회분야 핵심이슈에 대한 중장기 목표를 설정하고 있으나, 모든 중장기 목표가 정성적 형태로 되어 있는 경우</t>
  </si>
  <si>
    <t>121</t>
  </si>
  <si>
    <t>조직의 사회분야 핵심이슈에 대한 중장기 목표를 설정하고 있으며, 중장기 목표에는 정성 外 정량적 목표를 포함하고 있는 경우</t>
  </si>
  <si>
    <t>[현재 문제점] 데이터는 연도별로 있으나 공시 주기가 제도화돼 있음을 보여주는 문서가 없다.
[개선방향] ‘매 회계연도 종료 후 ○개월 내 연 1회 업데이트’ 원칙을 문서화하고 매년 동일 시기에 이행한다.
[필요 근거] ESG 공시규정, 연간 캘린더, 연도별 게시 로그</t>
  </si>
  <si>
    <t>S-2-2</t>
  </si>
  <si>
    <t>정규직 비율</t>
  </si>
  <si>
    <t>최근 4개년 간 정규직 비율 데이터가 관리되지 않는 경우</t>
  </si>
  <si>
    <t>자사주 매입·소각 등 배당외 주주환원 실시내역</t>
  </si>
  <si>
    <t>조직의 정규직 비율이 40%인 이하인 경우</t>
  </si>
  <si>
    <t>지속가능경영보고서 발간 등을 포함한 ESG 정보공시 주기를 1년 단위로 설정하여 정기적으로 공시하고 있습니까?</t>
  </si>
  <si>
    <t>조직의 정규직 비율이 40% 초과 60% 이하인 경우</t>
  </si>
  <si>
    <t>단계(1~3)</t>
  </si>
  <si>
    <t>조직의 정규직 비율이 60% 초과 80% 이하인 경우</t>
  </si>
  <si>
    <t>완전대응</t>
  </si>
  <si>
    <t>텍스트</t>
  </si>
  <si>
    <t>조직의 정규직 비율이 80%를 초과하는 경우 * 3개년 이하 데이터 보유 시 해당 데이터로 추세 산정</t>
  </si>
  <si>
    <t>S-2-3</t>
  </si>
  <si>
    <t>자발적 이직률</t>
  </si>
  <si>
    <t>지난 4개년 자발적 이직률이 증가 추세</t>
  </si>
  <si>
    <t>핵심원칙2_주주의공평한대우</t>
  </si>
  <si>
    <t>GAP(대응지표 없음)</t>
  </si>
  <si>
    <t>2-①_의결권및정보제공</t>
  </si>
  <si>
    <t>ESG 정보공시 제도화 움직임에 따라, 조직의 ESG 활동 및 성과를 충분히 대표하고 나타낼 수 있는 정보가 공시되고 있는지 점검 | 조직의 영향력과 통제력이 미치는 사업장(자회사 포함)의 ESG 정보가 최대한 공시되고 있는지 확인</t>
  </si>
  <si>
    <t>201</t>
  </si>
  <si>
    <t>홈페이지, 지속가능경영보고서, 사업보고서, 전자공시시스템 上 ‘자율공시’</t>
  </si>
  <si>
    <t>발행가능주식총수 대비 발행주식수(%)</t>
  </si>
  <si>
    <t>지난 4개년 자발적 이직률이 변동 없음</t>
  </si>
  <si>
    <t>사업적 영향력 및 통제력을 행사하는 사업장 및 기타 연결실체</t>
  </si>
  <si>
    <t>ESG 정보공시 범위 = ESG 정보공시에 포함된 사업장 등의 (매출액 등) / 전체 조직의 (매출액 등)</t>
  </si>
  <si>
    <t>지난 4개년 자발적 이직률이 감소 추세 * 자발적 이직률 데이터를 관리하지 않고 있는 경우 0점 적용 * ‘유지 추세’로 판단할 경우 2단계로 적용하여 평가 * 3개년 이하 데이터 보유 시 해당 데이터로 추세 산정</t>
  </si>
  <si>
    <t>202</t>
  </si>
  <si>
    <t>항목수 합계</t>
  </si>
  <si>
    <t>종류주식별 의결권 부여 내용</t>
  </si>
  <si>
    <t>S-2-4</t>
  </si>
  <si>
    <t>교육훈련비</t>
  </si>
  <si>
    <t>완전대응율</t>
  </si>
  <si>
    <t>1단계 |  ESG 정보공시 범위를 특정할 수 없거나, 명시하고 있지 않는 경우 |  2단계 |  조직이 법적으로 직접 소유하고 있는 사업장(ex. 별도재무제표 기준)의 일부 또는 모든 ESG 정보를 공시하고 있는 경우 |  3단계 |  조직의 영향력과 통제력 범위에 있는 곳(자회사, 종속법인, 연결실체 등)의 일부 ESG 정보를 공시하고 있는 경우 |  4단계 |  조직의 영향력과 통제력 범위에 있는 곳(자회사, 종속법인, 연결실체 등)의 일부 ESG 정보를 공시하고 있는 경우. |  단, 조직의 영향력과 통제력 범위로 ESG 정보공시 범위를 확대한다는 계획을 제시하고 있는 경우 |  5단계 |  조직의 영향력과 통제력 범위에 있는 곳(자회사, 종속법인, 연결실체 등)의 모든 ESG 정보를 공시하고 있는 경우</t>
  </si>
  <si>
    <t>지난 4개년 1인당 교육훈련비 감소 추세</t>
  </si>
  <si>
    <t>KSSB 제1호 문단 21~24(연계된 정보)</t>
  </si>
  <si>
    <t>GRI 2-2</t>
  </si>
  <si>
    <t>203</t>
  </si>
  <si>
    <t>IR·컨퍼런스콜 등 주주와의 대화 개최 여부</t>
  </si>
  <si>
    <t>지난 4개년 1인당 교육훈련비 변동 없음</t>
  </si>
  <si>
    <t>지난 4개년 1인당 교육훈련비 증가 추세 * 최근 4개년 간 교육훈련비가 없거나, 1인당 교육훈련비 데이터가 관리되지 않는 경우 0점 적용 * ‘유지 추세’로 판단할 경우 2단계로 적용하여 평가 * 3개년 이하 데이터 보유 시 해당 데이터로 추세 산정</t>
  </si>
  <si>
    <t>S-2-5</t>
  </si>
  <si>
    <t>204</t>
  </si>
  <si>
    <t>복리후생비</t>
  </si>
  <si>
    <t>소액주주 별도 소통행사 개최여부</t>
  </si>
  <si>
    <t>지난 4개년 1인당 복리후생비 감소 추세</t>
  </si>
  <si>
    <t>지난 4개년 1인당 복리후생비 변동 없음</t>
  </si>
  <si>
    <t>205</t>
  </si>
  <si>
    <t>해외투자자 별도 소통행사 개최여부</t>
  </si>
  <si>
    <t>지난 4개년 1인당 복리후생비 증가 추세 * 최근 4개년 간 1인당 복리후생비 정보 없는 경우 0점 적용 * ‘유지 추세’로 판단할 경우 2단계로 적용하여 평가 * 3개년 이하 데이터 보유 시 해당 데이터로 추세 산정</t>
  </si>
  <si>
    <t>S-2-6</t>
  </si>
  <si>
    <t>결사의 자유 보장</t>
  </si>
  <si>
    <t>노동조합 가입‧설립, 노사협의회 설치 관련 정보가 모두 없음 (노조 가입‧신설 관련 부당노동행위로 노동위 판정 또는 법원 판결이 유죄로 확정된 경우)</t>
  </si>
  <si>
    <t>노동조합 가입‧설립 또는 상시근로자 30인 이상인 경우 노사협의회 설치(위원 선임, 협의회규정 제정 등)</t>
  </si>
  <si>
    <t>조직은 ESG 정보공시 전 어떠한 범위까지 성과관리를 할 것인지, 또는 성과관리가 가능한지 등 최대 범위를 설정해야 한다. ESG 개념을 조직의 재무적 정보를 기반으로 투자의사결정을 하는 자본시장에서 등장하였기 때문에, 장기적으로 ESG 성과관리 및 정보공시 최대범위는 ‘(연결)재무제표’에 포함되는 ‘재무정보’ 범위와 동일시하려는 논의가 진행될 것으로 예상된다. 따라서 조직은 아래의 ‘영향력’과 ‘통제력’이 행사되는 범위에서 발생하는 환경, 사회, 지배구조 관련 정보를 공시할 필요가 있다. (예를 들어, US GAAP, IFRS 회계지침에는 20% 이상 지분을 보유한 조직을 상당한 영향력이 행사되는 조직으로 간주한다.) 1) ESG 정보를 공시하는 조직이 직접적으로…</t>
  </si>
  <si>
    <t>206</t>
  </si>
  <si>
    <t>IR 담당부서 연락처 상세 안내(문의창구) 시행여부</t>
  </si>
  <si>
    <t>[자동채점] | 근거충분성: 불충분 | 근거: [지배구조보고서] 12p. 당사는 공시대상기간중 자회사의 감사보고서 제출(자회사의 주요경영사항)을 지연공시하여 불성실 공시 법인에 지정되었습니다.(13번째 줄) → 제공된 근거 자료 내에서 ESG 정보공시의 범위(연결실체 전체 포함 여부 등)를 명시하거나 관련 정책을 설명하는 내용이 확인되지 않아 1단계로 판단함. | 근거페이지: 사업보고서 16p, 46~47p, 49p, 54p, 72p, 90p, 146p, 249p, 261p, 286p / 지배구조보고서 12p, 19p</t>
  </si>
  <si>
    <t>2단계 + 과거 또는 현재 적법한 교섭당사자로서의 노동조합과 단체교섭 진행 + 3개월마다 노사협의회 정기회의 개최 (회의록 작성·비치)</t>
  </si>
  <si>
    <t>3단계 + 노동조합과 단체협약(임금협약 포함) 체결 + 노사협의회 정기회의 외 추가 임시회의(노사 실무협의 포함) 개최</t>
  </si>
  <si>
    <t>207</t>
  </si>
  <si>
    <t>영문 IR 사이트 운영 여부</t>
  </si>
  <si>
    <r>
      <rPr>
        <rFont val="Noto Sans"/>
        <b/>
        <color theme="1"/>
        <sz val="9.0"/>
      </rPr>
      <t xml:space="preserve">충분 / 2단계 / 25점
</t>
    </r>
    <r>
      <rPr>
        <rFont val="Noto Sans"/>
        <b val="0"/>
        <color theme="1"/>
        <sz val="9.0"/>
      </rPr>
      <t>[판단근거] 직접 소유 사업장의 일부·전부 ESG 정보는 2단계, 자회사·종속법인 등 통제범위의 일부 정보를 포함해야 3단계 이상이다.
[확인근거] 통합자료 p.3은 공시 데이터가 VMS 양산 1공장·진주공장·BTS 울산 1공장을 기준으로 하며 일부 인원지표만 한국사업장 전체를 별도 각주 처리한다고 명시한다. 반면 사업보고서는 연결대상 종속회사가 24개라고 밝힌다. 
[감점사유] 환경·안전·인권 정책의 적용범위가 자회사까지 넓다는 사실은 확인되지만, 정책 적용범위와 실제 ESG 성과 데이터 공시범위는 동일하지 않으므로 3단계 이상으로 올리지 않는다. 
[보완 필요 증빙] 법인별 ESG Reporting Boundary Matrix, 연결 자회사 ESG 데이터, 범위확대 계획</t>
    </r>
    <r>
      <rPr>
        <rFont val="Noto Sans"/>
        <b/>
        <color theme="1"/>
        <sz val="9.0"/>
      </rPr>
      <t xml:space="preserve">
</t>
    </r>
    <r>
      <rPr>
        <rFont val="Noto Sans"/>
        <b val="0"/>
        <color theme="1"/>
        <sz val="9.0"/>
      </rPr>
      <t xml:space="preserve">- 연결 기준 23개 자회사 포함
- ESG정량데이터 공시 중
</t>
    </r>
    <r>
      <rPr>
        <rFont val="Noto Sans"/>
        <b/>
        <color rgb="FFFF0000"/>
        <sz val="9.0"/>
      </rPr>
      <t>- ESG정보공시 범위 명시적 정의 X
- 자회사 23개 중 몇 개의 ESG데이터가 공시되는지 명시 부재
- 해외 자회사 ESG정보 포함 여부 불명확X</t>
    </r>
  </si>
  <si>
    <t>4단계 + 체결된 단체협약의 성실한 이행(단체협약 위반 시 불이행으로 간주) + 노사협의회 의결(합의) 여부</t>
  </si>
  <si>
    <t>S-3-1</t>
  </si>
  <si>
    <t>여성 구성원 비율</t>
  </si>
  <si>
    <t>조직의 전체 구성원 중 여성이 차지하는 비율과, 미등기임원 중 여성이 차지하는 비율의 차이가 80%를 초과하는 경우</t>
  </si>
  <si>
    <t>208</t>
  </si>
  <si>
    <t>외국인 담당 직원 지정 여부</t>
  </si>
  <si>
    <t>[현재 문제점] 정책범위는 글로벌하지만 정량공시는 일부 국내사업장 중심이다.
[개선방향] 연결재무제표 법인목록과 ESG 데이터 법인목록을 연결하고 우선 주요 종속회사부터 범위를 확대한다.
[필요 근거] 연결법인-ESG 지표 매핑표, 자회사 데이터 제출서, 범위확대 로드맵.</t>
  </si>
  <si>
    <t>조직의 전체 구성원 중 여성이 차지하는 비율과, 미등기임원 중 여성이 차지하는 비율의 차이가 60% 초과 ~ 80% 이하인 경우</t>
  </si>
  <si>
    <t>209</t>
  </si>
  <si>
    <t>영문공시 비율(%)</t>
  </si>
  <si>
    <t>조직의 전체 구성원 중 여성이 차지하는 비율과, 미등기임원 중 여성이 차지하는 비율의 차이가 40% 초과 ~ 60% 이하인 경우</t>
  </si>
  <si>
    <t>환경</t>
  </si>
  <si>
    <t>조직의 전체 구성원 중 여성이 차지하는 비율과, 미등기임원 중 여성이 차지하는 비율의 차이가 20% 초과 ~ 40% 이하인 경우</t>
  </si>
  <si>
    <t>자회사 및 연결실체 등 조직의 영향력과 통제력이 미치는 사업장을 대상으로 ESG 정보공시 범위를 설정하고 이를 반영하여 공시하고 있습니까?</t>
  </si>
  <si>
    <t>210</t>
  </si>
  <si>
    <t>불성실공시법인 지정 여부·건수</t>
  </si>
  <si>
    <t>OX/숫자</t>
  </si>
  <si>
    <t>사업보고서(DART)</t>
  </si>
  <si>
    <t>조직의 전체 구성원 중 여성이 차지하는 비율과, 미등기임원 중 여성이 차지하는 비율의 차이가 20% 이하인 경우 * 단, 결과값이 ‘-’ 일 경우, 본 지표에서 고려한 조직형태와 다른 경우이므로 적용하지 않음</t>
  </si>
  <si>
    <t>S-3-2</t>
  </si>
  <si>
    <t>정보공시 내용</t>
  </si>
  <si>
    <t>여성 급여 비율 (평균 급여액 대비)</t>
  </si>
  <si>
    <t>2-②_내부거래통제</t>
  </si>
  <si>
    <t>조직의 1인 평균 급여액 대비 ‘여성(또는 남성) 1인 평균 급여액’ 비율이 60% 이하인 경우</t>
  </si>
  <si>
    <t>조직의 사업성과 및 환경/사회에 상당한 영향력을 미치는 핵심이슈를 명확히 정의하고, 이를 관리하기 위한 시스템 및 절차를 갖추고 있는지 확인 | 조직이 인식하고 관리하고 있는 핵심 ESG 이슈에 대한 조직의 정보공시 수준을 점검</t>
  </si>
  <si>
    <t>211</t>
  </si>
  <si>
    <t>내부거래·자기거래 통제 정책(포괄적 이사회 의결 등) 시행여부</t>
  </si>
  <si>
    <t>조직의 1인 평균 급여액 대비 ‘여성(또는 남성) 1인 평균 급여액’ 비율이 60% 초과 ~ 70% 이하인 경우</t>
  </si>
  <si>
    <t>2-③_소유구조변동시주주보호</t>
  </si>
  <si>
    <t>212</t>
  </si>
  <si>
    <t>사회</t>
  </si>
  <si>
    <t>조직의 1인 평균 급여액 대비 ‘여성(또는 남성) 1인 평균 급여액’ 비율이 70% 초과 ~ 80% 이하인 경우</t>
  </si>
  <si>
    <t>합병·영업양수도·분할 등 소액주주 보호 정책마련 여부</t>
  </si>
  <si>
    <t>1단계 |  중대성 평가 결과 또는 ESG 핵심이슈를 공시하고 있지 않은 경우 |  2단계 |  중대성 평가 결과와 핵심이슈를 명확히 정의하고 있는 경우 |  3단계 |  2단계 + 핵심이슈에 대해 조직이 관리하고 있는 성과지표를 설명하고 있는 경우 (예를 들어, 기후변화가 핵심이슈일 경우, 온실가스 배출량 데이터 제시) |  4단계 |  3단계 + 핵심이슈가 사업적/사회적 관점에서 중요한 사유를 설명하고 있는 경우 (예를 들어, 사업적/사회적 관점의 기회 요인과 리스크 요인 등) |  5단계 |  4단계 + 핵심이슈를 관리하기 위한 시스템 및 절차를 설명하고 있는 경우 (조직, 전략 및 계획, 고충처리체계, 활동 및 교육 등)</t>
  </si>
  <si>
    <t>KSSB 제1호 문단 17~19(중요성 판단, 이중중대성 개념 미흡)</t>
  </si>
  <si>
    <t>GRI 3(중대성평가)</t>
  </si>
  <si>
    <t>조직의 1인 평균 급여액 대비 ‘여성(또는 남성) 1인 평균 급여액’ 비율이 80% 초과 ~ 90% 이하인 경우</t>
  </si>
  <si>
    <t>213</t>
  </si>
  <si>
    <t>공시대상기간 중 합병 등 계획·시행 여부</t>
  </si>
  <si>
    <t>조직의 1인 평균 급여액 대비 ‘여성(또는 남성) 1인 평균 급여액’ 비율이 90%를 초과하는 경우</t>
  </si>
  <si>
    <t>S-3-3</t>
  </si>
  <si>
    <t>장애인 고용률</t>
  </si>
  <si>
    <t>직전 1개년도 장애인 의무고용률의 60% 미만일 경우</t>
  </si>
  <si>
    <t>214</t>
  </si>
  <si>
    <t>주식전환 가능 자본조달(CB/BW/EB 등) 발행 여부</t>
  </si>
  <si>
    <t>지배구조</t>
  </si>
  <si>
    <t>직전 1개년도 장애인 고용률이 법적 의무고용률의 60% 이상 80% 미만 수준인 경우</t>
  </si>
  <si>
    <t>핵심원칙3_이사회기능</t>
  </si>
  <si>
    <t>3-①_경영의사결정및감독</t>
  </si>
  <si>
    <t>직전 1개년도 장애인 고용률이 법적 의무고용률의 80% 이상 100% 미만 수준인 경우</t>
  </si>
  <si>
    <t>301</t>
  </si>
  <si>
    <t>이사회 심의·의결사항 및 법정 외 강화기준 존재여부</t>
  </si>
  <si>
    <t>G-1-1(이사회 기능 보강)</t>
  </si>
  <si>
    <t>직전 1개년도 장애인 고용률이 법적 의무고용률의 100% 이상 120% 미만 수준인 경우</t>
  </si>
  <si>
    <t>3-②_CEO승계정책</t>
  </si>
  <si>
    <t>302</t>
  </si>
  <si>
    <t>직전 1개년도 장애인 고용률이 법적 의무고용률의 120% 이상 수준인 경우 ※ 장애인 미고용 부담금 납부 시에도 실제 고용한 인원을 기준으로 산정 ※ 중증장애인 중 월 임금지급기초일수 16일 이상, 소정근로시간 60시간 이상인 근로자는 2명으로 계산</t>
  </si>
  <si>
    <t>조직의 중요한 경제적, 환경적, 사회적 영향을 반영하는 측면 또는 이해관계자들의 평가와 의사결정에 실질적으로 영향을 미치는 측면을 모두 고려하여 보고서에서 다룰 가치가 있다고 판단되는 주제를 선정하는 과정을 거쳐야 한다. 이러한 이슈의 중대성을 판별하기 위한 방법으로는 일반적으로 ‘중대성 평가(Materiality Assessment)’ 또는 ‘이중 중대성 평가(Double Materiality Assessment)’가 있으며, 중대 측면을 정의하는 데 있어 조직이 참작해야 할 요인들은 다음과 같다. - 지속가능성에 영향, 위험, 기회 요소가 될 수 있는 항목(ex. 지구 온난화, 에이즈, 빈곤 등) 중 합리적 평가가 가능하고, 전문가나 해당 분야에 자격을 갖춘 전문…</t>
  </si>
  <si>
    <t>최고경영자 승계정책 수립 여부</t>
  </si>
  <si>
    <t>전체</t>
  </si>
  <si>
    <t>S-4-1</t>
  </si>
  <si>
    <t>안전보건 추진체계</t>
  </si>
  <si>
    <t>[자동채점] | 근거충분성: 충분 | 근거: [지배구조보고서] 18p. 당사는 감사규정에 따라 리스크 관리체계를 마련하고 있지만, 모범규준에서 요구하는 수준의 명문화된 리스크 관리 정책 마련되어 있지는 않습니다.(5번째 줄) → 중대성 평가 결과나 ESG 핵심이슈를 정의하고 공시했다는 내용이 확인되지 않으므로 1단계에 해당합니다. | 근거페이지: 사업보고서 135p, 229p, 267~268p / 지배구조보고서 3p, 17~19p, 32p, 43~44p</t>
  </si>
  <si>
    <t>핵심지표 H06과 연계</t>
  </si>
  <si>
    <t>경영자가 확고한 리더십으로 비전을 제시하고 필요한 자원을 배정하는 경우 (안전경영방침 공표, 인력·시설·장비 등 배정, 구성원에게 책임과 권한 부여)</t>
  </si>
  <si>
    <t>303</t>
  </si>
  <si>
    <r>
      <rPr>
        <rFont val="Noto Sans"/>
        <b/>
        <color theme="1"/>
        <sz val="9.0"/>
      </rPr>
      <t xml:space="preserve">부족 / 1단계 / 0점
</t>
    </r>
    <r>
      <rPr>
        <rFont val="Noto Sans"/>
        <b val="0"/>
        <color theme="1"/>
        <sz val="9.0"/>
      </rPr>
      <t xml:space="preserve">[판단근거] 2단계부터 중대성 평가 결과와 핵심이슈의 명확한 정의가 선행돼야 하며, 이후 KPI→중요성/위험·기회→관리 시스템 순으로 상향된다.
[확인근거] DN 자료에는 온실가스, 안전, 인권, 공급망, 윤리 등 다수 정책·정량 KPI가 있으나 이를 중대성 평가를 통해 선별된 핵심 ESG 이슈라고 정의한 결과표는 확인되지 않는다. 
[감점사유] KPI가 많다는 것만으로 핵심이슈 선정 요건을 대체할 수 없고, 2단계 선행요건이 미충족이므로 후속 단계도 인정하지 않는다.
[보완 필요 증빙] 중대성평가 방법론, Issue Universe, 이해관계자 평가결과, 핵심이슈 Matrix, 이슈별 KPI·리스크·기회·관리체계.
- KPI 데이터(온실가스, 대기오염물질, 안전보건, 협력사 평가 등) 보유
- ESG 정책 수립
</t>
    </r>
    <r>
      <rPr>
        <rFont val="Noto Sans"/>
        <b/>
        <color rgb="FFFF0000"/>
        <sz val="9.0"/>
      </rPr>
      <t>- 중대성 평가 실시 미명시
- 위험, 기회 요소 체계적 분석 미흡
- 이슈별 관리 시스템, 절차 설명 미흡</t>
    </r>
  </si>
  <si>
    <t>승계정책 내 후보(집단) 선정 절차 존재여부</t>
  </si>
  <si>
    <t>안전보건관리체계 구축을 위해 근로자의 참여 및 협의를 보장하는 경우 (안전보건 정보공개, 구성원 참여절차 마련, 의견제시 문화 조성 등)</t>
  </si>
  <si>
    <t>[현재 문제점] ESG 활동은 많지만 “무엇이 DN의 핵심 이슈인지”를 선정한 연결논리가 없다.
[개선방향] 연 1회 중대성평가를 시행하고 핵심이슈별 KPI·위험/기회·담당조직·목표를 묶어 공시한다.
[필요 근거] 중대성평가 보고서, 경영진/이사회 승인자료, KPI 관리대장</t>
  </si>
  <si>
    <t>중대성 평가를 통해 ESG 핵심이슈를 정의하고, 해당 이슈에 대한 성과지표(KPI), 중요 사유(위험·기회), 관리 시스템 및 절차를 공시하고 있습니까?</t>
  </si>
  <si>
    <t>조직의 위험요인 파악과 이에 대한 제거·대체·통제 조치를 하는 경우 (유해위험요인 파악, 위험성 평가, 위험요인 제거·대체·통제 방안 마련, 교육훈련 실시)</t>
  </si>
  <si>
    <t>304</t>
  </si>
  <si>
    <t>후보군 교육 실시 여부</t>
  </si>
  <si>
    <t>중대한 위험요인에 대처할 수 있는 비상 조치계획을 수립한 경우 (위험요인별 시나리오 및 조치계획 수립, 주기적 훈련, 사업장 내 도급 근로자 등 모든 구성원에 대한 보호 여부)</t>
  </si>
  <si>
    <t>3-③_내부통제정책</t>
  </si>
  <si>
    <t>305</t>
  </si>
  <si>
    <t>전사 리스크관리 정책 마련 여부</t>
  </si>
  <si>
    <t>안전보건 과제 및 목표의 이행현황을 평가하고 개선하는 경우 (목표 설정, 계획대비 달성 여부 평가, 문제점에 대한 주기적 검토와 개선)</t>
  </si>
  <si>
    <t>G-4-1, G-5-1</t>
  </si>
  <si>
    <t>S-4-2</t>
  </si>
  <si>
    <t>핵심지표 H07 구성요소</t>
  </si>
  <si>
    <t>산업재해율</t>
  </si>
  <si>
    <t>지난 4개년 산업재해율 증가 추세</t>
  </si>
  <si>
    <t>306</t>
  </si>
  <si>
    <t>준법경영(윤리경영/행동강령) 정책 마련 여부</t>
  </si>
  <si>
    <t>지난 4개년 산업재해율 변동 없음</t>
  </si>
  <si>
    <t>지난 4개년 산업재해율 감소 추세 * 최근 4개년 간 산업재해율 정보를 관리하지 않는 경우 0점 적용 * 무재해의 경우에는 100점 적용 * '유지 추세'로 판단할 경우 2단계로 적용하여 평가 * 3개년 이하 데이터 보유 시 해당 데이터로 추세 산정</t>
  </si>
  <si>
    <t>307</t>
  </si>
  <si>
    <t>S-5-1</t>
  </si>
  <si>
    <t>내부회계관리 정책 마련 여부</t>
  </si>
  <si>
    <t>인권정책 수립</t>
  </si>
  <si>
    <t>조직의 대외공식적 인권정책이 수립되지 않은 경우. 또는, 인권정책이 있으나, 상기의 이슈 중 1~2개에 대한 조직의 정책적 접근 방향이 설명되어 있는 경우</t>
  </si>
  <si>
    <t>2. KSSB 및 주요 ESG 공시·평가기준 대비 추가 관리 필요사항 (9건)</t>
  </si>
  <si>
    <t>308</t>
  </si>
  <si>
    <t>상기의 이슈 중 3~4개에 대한 조직의 정책적 접근방향이 설명되어 있는 경우</t>
  </si>
  <si>
    <t>공시정보관리 정책 마련 여부</t>
  </si>
  <si>
    <t>아래 항목은 91개 진단항목 어디에도 대응 지표가 없는 사항입니다. KSSB 요구사항뿐 아니라 GRI·TNFD·한국거래소 등 관련 기준도 포함되어 있어(근거 열 참조), 공시·평가 대응 시 신규 관리체계 구축이 필요합니다.</t>
  </si>
  <si>
    <t>상기의 이슈 중 5~6개에 대한 조직의 정책적 접근방향이 설명되어 있는 경우</t>
  </si>
  <si>
    <t>핵심원칙4_이사회구성</t>
  </si>
  <si>
    <t>No</t>
  </si>
  <si>
    <t>4-①_이사회구성및독립성</t>
  </si>
  <si>
    <t>상기의 이슈 중 7~8개에 대한 조직의 정책적 접근방향이 설명되어 있는 경우</t>
  </si>
  <si>
    <t>KSSB 요구 주제</t>
  </si>
  <si>
    <t>401</t>
  </si>
  <si>
    <t>이사 총원(사내/사외/기타비상무 인원수)</t>
  </si>
  <si>
    <t>KSSB/기타 근거</t>
  </si>
  <si>
    <t>G-1-2, G-1-3</t>
  </si>
  <si>
    <t>상기의 이슈 중 9개 이상에 대한 조직의 정책적 접근방향이 설명되어 있는 경우</t>
  </si>
  <si>
    <t>관련 영역</t>
  </si>
  <si>
    <t>표 4-1-2</t>
  </si>
  <si>
    <t>S-5-2</t>
  </si>
  <si>
    <t>GAP 설명</t>
  </si>
  <si>
    <t>인권 리스크 평가</t>
  </si>
  <si>
    <t>개선 권고</t>
  </si>
  <si>
    <t>정보공시 검증</t>
  </si>
  <si>
    <t>인권 리스크 평가 지표, 평가 기준, 평가 일정 등의 체계가 구축되지 않은 경우</t>
  </si>
  <si>
    <t>402</t>
  </si>
  <si>
    <t>사외이사 비율(%)</t>
  </si>
  <si>
    <t>조직의 ESG 정보를 직접적으로 또는 가공하여 활용하는 이해관계자가 증가함에 따라, 조직이 대외공시하는 ESG 정보가 타당성/신뢰성/투명성을 확보하고 있는지 확인 | 조직이 대외공시하는 정보에 관해 제3자 기관으로부터 검증을 받는 경우, 해당 검증의견이 갖추어야 할 형식적 요건을 점검</t>
  </si>
  <si>
    <t>ESG 정보 검증의견서, 지속가능경영보고서 검증의견서</t>
  </si>
  <si>
    <t>인권 리스크 평가 지표, 평가 기준, 평가 일정 등의 체계가 구축되어 있는 경우 단, 해당 인권 리스크 평가 체계를 운용하지 않은 경우</t>
  </si>
  <si>
    <t>선택형</t>
  </si>
  <si>
    <t>403</t>
  </si>
  <si>
    <t>인권 리스크 평가 체계를 구축하고 있으나, 온라인/서면 등 비대면 방식으로 인권 리스크 진단 행위만 실시한 경우</t>
  </si>
  <si>
    <t>이사회 내 위원회 목록 및 위원 구성</t>
  </si>
  <si>
    <t>표 4-1-3-1/2</t>
  </si>
  <si>
    <t>인권 리스크 평가 체계를 구축하고 있으며, 온라인/서면 등 비대면 방식의 진단과 함께, 고위험 인권 리스크에 대해서는 현장실사까지 실시한 경우</t>
  </si>
  <si>
    <t>내부탄소가격(Internal Carbon Price)</t>
  </si>
  <si>
    <t>KSSB 제2호 문단 29(6)</t>
  </si>
  <si>
    <t>404</t>
  </si>
  <si>
    <t>선택형 (5가지 형식적 요건의 충족 개수에 따른 점수 부여) | 세부 배점 기준: 1개 이하 충족=0점 / 2개 충족 = 25점 / 3개 충족= 50점 / 4개 충족= 75점 / 5개 충족= 100점</t>
  </si>
  <si>
    <t>인권 리스크 평가 체계를 구축하고 있으며, 비대면 진단 및 현장실사 행위를 실시한 경우. 또한, 확인된 인권 리스크에 대한 개선계획/개선활동을 추진한 경우</t>
  </si>
  <si>
    <t>ESG(지속가능경영)위원회 설치 여부</t>
  </si>
  <si>
    <t>S-6-1</t>
  </si>
  <si>
    <t>환경(E)</t>
  </si>
  <si>
    <t>요건1 |  검증의견서에 검증기관(또는 검증인)이 명시되어 있는 경우 (또는, 검증기관이 License Number를 보유하고 있는 경우) |  요건2 |  검증의견서에 검증기관과의 독립성 성명이 포함되어 있는 경우 (즉, 검증기관과 검증받는 조직간 이해관계 상충이 없음을 선언한 경우) |  요건3 |  검증의견서에 검증표준(방법론)이 제시되어 있는 경우  (AA1000AS, ISAE3000, 또는 제3자 검증기관이 개발한 자체 검증표준 등) |  요건4 |  검증의견서에 ESG 정보 검증수준을 공개하고 있는 경우  (Type1/Type2, Moderate/High, 제한적/합리적 등) |  요건5 |  검증의견서에 제3자 검증기관이 검증한 정보공시 지표가 적시되어 있는 경우  (즉, 조직의 모든 ESG 정보 중 어떠한 정보를 검증하였는지 명시하는 경우)</t>
  </si>
  <si>
    <t>협력사 ESG 경영</t>
  </si>
  <si>
    <t>투자의사결정·자본배치·시나리오분석에 적용하는 내부 탄소가격(Shadow Price) 정책 수립 여부를 공시하는 항목이 K-ESG v2.0 69개 기본/16개 추가 진단항목에 존재하지 않음.</t>
  </si>
  <si>
    <t>협력사 ESG 리스크 평가 지표, 평가 기준, 평가 일정 등의 관리 체계가 구축되지 않은 경우</t>
  </si>
  <si>
    <t>내부탄소가격 운영지침을 수립하고 투자의사결정 문서에 반영, 매년 공시</t>
  </si>
  <si>
    <t>405</t>
  </si>
  <si>
    <t>이사회 의장이 사외이사인지 여부</t>
  </si>
  <si>
    <t>협력사 ESG 리스크 평가 지표, 평가 기준, 평가 일정 등의 관리 체계를 구축하고 있으나, 해당 협력사 ESG 리스크 관리 체계를 운용하지 않은 경우</t>
  </si>
  <si>
    <t>이중중대성평가(Double Materiality)</t>
  </si>
  <si>
    <t>KSSB 제1호 문단 50(3)(외부검증)</t>
  </si>
  <si>
    <t>핵심지표 H08</t>
  </si>
  <si>
    <t>GRI 2-5, AA1000AS, ISAE3000</t>
  </si>
  <si>
    <t>KSSB 제1호 문단 17~19</t>
  </si>
  <si>
    <t>협력사 ESG 리스크 관리 체계를 구축하고 있으나, 온라인/서면 등 비대면 방식으로 리스크 진단 행위만 실시한 경우</t>
  </si>
  <si>
    <t>406</t>
  </si>
  <si>
    <t>선임사외이사 제도 시행 여부</t>
  </si>
  <si>
    <t>정보공시(P)</t>
  </si>
  <si>
    <t>재무적 중대성과 이해관계자 관점의 영향 중대성을 모두 평가하는 이중중대성 평가 절차가 P-2-1(핵심이슈 및 KPI)에 명시적으로 요구되지 않음.</t>
  </si>
  <si>
    <t>협력사 ESG 리스크 관리 체계를 구축하고 있으며, 온라인/서면 등 비대면 방식의 진단과 함께, 고위험 ESG 리스크에 대해서는 현장실사 행위까지 실시한 경우</t>
  </si>
  <si>
    <t>이중중대성 평가 프로세스를 문서화하고 중대 이슈 목록·평가방법론을 별도 공시</t>
  </si>
  <si>
    <t>조세 투명성(CbCR)</t>
  </si>
  <si>
    <t>협력사 ESG 리스크 관리 체계를 구축하고 있으며, 비대면 진단 및 현장실사 행위를 실시한 경우. 또한, 확인된 리스크에 대한 개선계획/개선활동 추진한 경우</t>
  </si>
  <si>
    <t>GRI 207-1~4 (KSSB 미규정이나 글로벌 공시관행)</t>
  </si>
  <si>
    <t>S-6-2</t>
  </si>
  <si>
    <t>지배구조(G)</t>
  </si>
  <si>
    <t>협력사 ESG 지원</t>
  </si>
  <si>
    <t>국가별 납세현황(Country-by-Country Reporting) 공시 항목이 K-ESG v2.0에 없음.</t>
  </si>
  <si>
    <t>협력사 ESG 지원에 관한 공식적 선언을 하고 있는 경우</t>
  </si>
  <si>
    <t>조세방침 문서화 및 국가별 세전이익·법인세납부액 요약 공시</t>
  </si>
  <si>
    <t>경영진 ESG-KPI 연계 보상 비율</t>
  </si>
  <si>
    <t>407</t>
  </si>
  <si>
    <t>협력사 ESG 지원 전략방향, 추진영역을 제시하고 있는 경우</t>
  </si>
  <si>
    <t>집행임원 제도 시행 여부</t>
  </si>
  <si>
    <t>KSSB 제2호 문단 29(7)</t>
  </si>
  <si>
    <t>G-경영진-추가1(성과평가 및 보상)이 일반 성과평가는 다루나, ESG/기후 성과지표의 보수 연계 비율을 정량 공시하는 항목은 부분적으로만 대응.</t>
  </si>
  <si>
    <t>협력사 ESG 지원 전략방향 및 추진영역별 세부 실행과제를 제시하고 있는 경우</t>
  </si>
  <si>
    <t>대표이사·경영진 성과급 산정기준 내 ESG/기후 KPI 반영비율을 정량 공시</t>
  </si>
  <si>
    <t>4-②_전문성과다양성</t>
  </si>
  <si>
    <t>408</t>
  </si>
  <si>
    <t>Scope 3 15개 카테고리별 세분화 공시</t>
  </si>
  <si>
    <t>이사회 성별구성 특례 적용대상 기업 여부</t>
  </si>
  <si>
    <t>협력사 ESG 지원에 관한 성과관리 지표(KPIs)를 제시하고 있는 경우</t>
  </si>
  <si>
    <t>KSSB 제2호 문단 29(1)(사)</t>
  </si>
  <si>
    <t>E-3-2는 '범주인식-산정-검증' 3단계로 단순화되어 있어 GHG Protocol 15개 카테고리별 개별 공시 수준까지는 요구하지 않음.</t>
  </si>
  <si>
    <t>자본시장법 §165의20</t>
  </si>
  <si>
    <t>Scope3 15개 카테고리 전체를 스크리닝하고 중요 카테고리는 개별 정량 산정치 공시</t>
  </si>
  <si>
    <t>협력사 ESG 지원에 관한 성과관리 지표(KPIs) 달성을 위해 투자재원(예산), 역량투입(인력) 방안을 마련한 경우</t>
  </si>
  <si>
    <t>S-7-1</t>
  </si>
  <si>
    <t>기후 시나리오 정량 재무영향(1.5℃/4℃ 등)</t>
  </si>
  <si>
    <t>전략적 사회공헌</t>
  </si>
  <si>
    <t>409</t>
  </si>
  <si>
    <t>KSSB 제2호 문단 22, B1~B18</t>
  </si>
  <si>
    <t>이사회 구성원 성별 다양성 확보 여부(동성 아님)</t>
  </si>
  <si>
    <t>조직의 사회공헌을 대표할 수 있으며, 대사회적 메시지로써 활용되는 사회공헌 비전, 미션, 또는 슬로건이 있는 경우</t>
  </si>
  <si>
    <t>E-10-3/E-10-4가 물리·전환 리스크 식별은 요구하나 특정 시나리오(NGFS/IPCC) 기반 정량 재무영향 산정까지는 요구 수준이 낮음.</t>
  </si>
  <si>
    <t>핵심지표 H11</t>
  </si>
  <si>
    <t>NGFS·IPCC 시나리오 기반 정량 재무영향(매출·비용·자산가치 영향)을 산정하여 공시</t>
  </si>
  <si>
    <t>조직은 지속가능경영보고서 발간 등 ESG 정보공시 지표 및 기준을 자율적으로 선택할 수 있으며, ESG 정보가 갖추어야 할 신뢰성을 강제할 수 있는 법적/제도적 장치도 마련되어 있지 않은 상황이다. 따라서 ESG 정보 검증은 이러한 문제점을 개선하기 위한 조직의 의지이자 자율적 활동으로 조직이 공시하는 ESG 정보의 신뢰성을 확보하는 수단으로 인정받고 있다. ESG 정보 검증의 타당성과 신뢰성을 확인하기 위한 기준은 ‘검증기관의 적격성’, ‘검증기관과의 독립성’, ‘검증방법론의 합리성’, ‘검증수준의 명확성’, ‘검증지표의 구체성’으로 구분할 수 있다. 글로벌 시장에서 통용되는 ESG 검증표준에는 1) 지속가능경영 관련 국제표준 제정기관인…</t>
  </si>
  <si>
    <t>조직의 사회공헌 비전, 미션, 또는 슬로건을 달성하기 위한 사회공헌 추진 분야/영역을 제시하고 있는 경우</t>
  </si>
  <si>
    <t>4-③_이사후보추천</t>
  </si>
  <si>
    <t>생물다양성 정량 목표(No Net Loss 등)</t>
  </si>
  <si>
    <t>410</t>
  </si>
  <si>
    <t>TNFD 권고안 (KSSB 별도 기준서 미제정)</t>
  </si>
  <si>
    <t>이사후보추천위원회(등) 설치 여부</t>
  </si>
  <si>
    <t>조직의 사회공헌 추진 분야/영역별 대표 프로그램을 제시하고 있는 경우</t>
  </si>
  <si>
    <t>E-11 시리즈는 자연자본 식별·전략 수립 여부까지만 다루며 TNFD의 정량적 손실제로(No Net Loss) 목표설정까지는 요구하지 않음.</t>
  </si>
  <si>
    <t>G-1-2, G-3-3</t>
  </si>
  <si>
    <t>[자동채점] | 근거충분성: 불충분 | 근거: ⚠️[출처 미확정, 검색 1위 후보로 대체] [지배구조보고서] 41p. 근거부족(줄 위치 특정 실패) → 제공된 근거 자료에는 ESG 정보공시에 대한 제3자 검증의견서나 관련 검증 요건(검증기관, 독립성, 표준, 수준, 지표 등)에 대한 언급이 전혀 없어 근거가 불충분합니다. | 근거페이지: 사업보고서 255p, 266p, 269p, 271p / 지배구조보고서 3p, 16~17p, 19p, 21p, 26p, 37~38p, 41~42p</t>
  </si>
  <si>
    <t>TNFD LEAP 접근법에 따른 자연자본 영향 평가 및 정량 목표(No Net Loss/Net Positive) 수립</t>
  </si>
  <si>
    <t>조직의 사회공헌 대표 프로그램별 중장기 실행계획을 마련하고 있는 경우</t>
  </si>
  <si>
    <t>금융배출량(Financed Emissions, PCAF)</t>
  </si>
  <si>
    <t>411</t>
  </si>
  <si>
    <t>KSSB 제2호 문단 29A, B58~B63A</t>
  </si>
  <si>
    <t>이사후보추천위원회 내 사외이사 비율(%)</t>
  </si>
  <si>
    <t>해당없음</t>
  </si>
  <si>
    <r>
      <rPr>
        <rFont val="Noto Sans"/>
        <b/>
        <color rgb="FFFF0000"/>
        <sz val="9.0"/>
      </rPr>
      <t xml:space="preserve">부족 / 0단계 / 0점
</t>
    </r>
    <r>
      <rPr>
        <rFont val="Noto Sans"/>
        <color theme="1"/>
        <sz val="9.0"/>
      </rPr>
      <t xml:space="preserve">[판단근거] 검증의견서 자체에 ① 검증기관 ② 독립성 ③ 검증표준 ④ 검증수준 ⑤ 검증대상 지표가 있어야 하며 2개부터 25점이다.
[확인근거] 통합자료 p.3은 ESG 데이터가 DN과 이해관계가 없는 제3자 BSI를 통해 검증됐다고 설명하고, p.9에는 ESG Data 3자 검증의견서 다운로드 경로가 존재한다. 다만 첨부 파일 안에는 검증의견서 원문 자체가 포함돼 있지 않다. 
[감점사유] 페이지 바깥 설명만으로 검증의견서 안에 5가지 형식이 실제 들어갔다고 단정하지 않는다. 넓게 보면 기관명·독립성 2개로 25점 해석이 가능하지만, 이번 검수에서는 ‘의견서 내 기재’라는 기준을 엄격 적용해 0점 잠정으로 둔다.
[보완 필요 증빙] BSI 검증의견서 원본 PDF, 검증계약서, 검증대상 지표목록.
- BSI서명 명시 - 검증의견서 4개
- 검증대상(양산1공장, 울산1공장, 진주공장 온실가스)
</t>
    </r>
    <r>
      <rPr>
        <rFont val="Noto Sans"/>
        <b/>
        <color rgb="FFFF0000"/>
        <sz val="9.0"/>
      </rPr>
      <t>- 독립성 선언, 검증표준, 검증수준, 검증대상 모두 명시 부재
- 온열가스만 검증(ESG 전체 지표 미흡)</t>
    </r>
  </si>
  <si>
    <t>제조업 등 비금융업에는 해당하지 않으나, 금융계열사를 보유한 기업집단은 KSSB상 별도 공시의무 발생 가능.</t>
  </si>
  <si>
    <t>금융업 영위 계열사가 있는 경우 PCAF 기준 자산군별 금융배출량 산정·공시 검토</t>
  </si>
  <si>
    <t>조직의 대표 사회공헌 프로그램이 사업적 또는 사회적으로 기여하는 성과를 측정할 수 있는 성과관리 지표(KPIs)가 있는 경우</t>
  </si>
  <si>
    <t>S-7-2</t>
  </si>
  <si>
    <t>기업가치제고계획(밸류업 프로그램) 공시</t>
  </si>
  <si>
    <t>구성원 봉사참여</t>
  </si>
  <si>
    <t>한국거래소·금융위 자율공시 기준(KSSB 직접 규정 없음)</t>
  </si>
  <si>
    <t>412</t>
  </si>
  <si>
    <t>봉사활동 참여 인센티브 제도가 없는 경우</t>
  </si>
  <si>
    <t>재선임 이사 과거 이사회 활동내역 공개 여부</t>
  </si>
  <si>
    <t>기업가치 제고 계획의 자율공시, 이사회 참여, 주주 소통 실적 등 밸류업 프로그램 관련 항목이 K-ESG v2.0에 없음.</t>
  </si>
  <si>
    <t>기업가치 제고 계획을 수립해 이사회 승인 후 자율공시하고, 연 1회 이상 주주·시장과 소통 실적을 공시</t>
  </si>
  <si>
    <t>[현재 문제점] 검증을 받았다는 사실은 있으나 이번 증빙패키지만으로 검증의견서의 형식요건을 검사할 수 없다. [개선방향] 매년 검증의견서 원문을 ESG 페이지와 증빙 폴더에 함께 보관하고 5개 형식요건을 계약단계에서 체크한다.
[필요 근거] BSI 의견서, 표준·수준·Scope 명시 페이지.</t>
  </si>
  <si>
    <t>현재, 봉사활동 참여자에 대한 인센티브 제도가 없으나, 향후, 봉사활동 참여 인센티브 제도 도입계획이 수립된 경우</t>
  </si>
  <si>
    <t>413</t>
  </si>
  <si>
    <t>집중투표제 채택 여부</t>
  </si>
  <si>
    <t>대외 공시하는 ESG 정보에 대해 검증기관 정보, 독립성 선언, 검증표준, 검증수준 및 검증 대상 지표 등 주요 요건을 포함한 제3자 검증의견서를 갖추고 있습니까?</t>
  </si>
  <si>
    <t>상기 봉사활동 참여 인센티브 제도 중 1개를 도입하고 있는 경우</t>
  </si>
  <si>
    <t>핵심지표 H09</t>
  </si>
  <si>
    <t>상기 봉사활동 참여 인센티브 제도 중 2개를 도입하고 있는 경우</t>
  </si>
  <si>
    <t>선택형(요건 충족 수)</t>
  </si>
  <si>
    <t>4-④_부적격자임원선임방지</t>
  </si>
  <si>
    <t>414</t>
  </si>
  <si>
    <t>기업가치훼손·주주권익침해 책임자 임원선임 방지 정책 시행여부</t>
  </si>
  <si>
    <t>상기 봉사활동 참여 인센티브 제도 중 3개 이상을 도입하고 있는 경우</t>
  </si>
  <si>
    <t>S-8-1</t>
  </si>
  <si>
    <t>핵심지표 H10</t>
  </si>
  <si>
    <t>정보보호 시스템 구축</t>
  </si>
  <si>
    <t>등기임원이나 미등기임원(또는 이에 준하는 관리자급 구성원)을 정보보호 최고책임자(CISO)로 선임하고 있는 경우</t>
  </si>
  <si>
    <t>415</t>
  </si>
  <si>
    <t>횡령·배임·불공정거래 등 기소·확정판결 이력자 임원재직 여부</t>
  </si>
  <si>
    <t>정보보호 시스템의 안정성에 대해 제3자(또는 규제기관)의 인증을 획득하고 있는 경우</t>
  </si>
  <si>
    <t>핵심원칙5_사외이사책임</t>
  </si>
  <si>
    <t>모의해킹 등 외부공격에 대한 취약성 분석을 실시하고 있는 경우</t>
  </si>
  <si>
    <t>5-①_이해관계없는사외이사</t>
  </si>
  <si>
    <t>501</t>
  </si>
  <si>
    <t>사외이사 선임단계 이해관계 확인절차 시행 여부</t>
  </si>
  <si>
    <t>G-1-5</t>
  </si>
  <si>
    <t>정보보호 공시(의무 또는 자율)사항을 이행하고 있는 경우</t>
  </si>
  <si>
    <t>정보보호 시스템의 손상 또는 외부공격 등 정보보안 관련 사고에 대비하기 위한 보험에 가입하고 있는 경우</t>
  </si>
  <si>
    <t>502</t>
  </si>
  <si>
    <t>G-1-2</t>
  </si>
  <si>
    <t>사외이사(계열회사 포함) 재직기간(개인별, 월)</t>
  </si>
  <si>
    <t>사외이사 비율</t>
  </si>
  <si>
    <t>환경경영 목표</t>
  </si>
  <si>
    <t>총원의 과반수로 구성되었으나, 사외이사가 3인인 경우</t>
  </si>
  <si>
    <t>조직이 책임있는 환경경영을 수행하기 위한 방향성을 명확히 설정하고 효율적인 자원 배분이 이루어지고 있는지, 또한 조직이 외부에 미치는 환경 영향을 최소화하고 내부 환경성과를 향상시키기 위한 구체적인 계획이 마련되어 있는지 점검 | 조직이 수립한 환경 분야 단기/중장기 목표 구체성과 내재화 수준을 확인</t>
  </si>
  <si>
    <t>환경 분야 목표 수립 현황</t>
  </si>
  <si>
    <t>5-②_충분한시간과노력</t>
  </si>
  <si>
    <t>3인 이상, 이사 총원의 과반수를 차지하고 있으나, 전체 이사 중 60% 미만인 경우</t>
  </si>
  <si>
    <t>503</t>
  </si>
  <si>
    <t>사외이사 타기업 겸직 현황(겸직기관수 등)</t>
  </si>
  <si>
    <t>3인 이상, 이사 총원의 과반수를 차지, 전체 이사 중 60% 이상 ~ 70% 미만인 경우</t>
  </si>
  <si>
    <t>5-③_정보자원제공</t>
  </si>
  <si>
    <t>504</t>
  </si>
  <si>
    <t>3인 이상, 이사 총원의 과반수를 차지, 전체 이사 중 70% 이상 ~ 80% 미만인 경우</t>
  </si>
  <si>
    <t>사외이사 지원 전담인력 배치 여부</t>
  </si>
  <si>
    <t>3인 이상, 이사 총원의 과반수를 차지, 전체 이사 중 80% 이상인 경우</t>
  </si>
  <si>
    <r>
      <rPr>
        <rFont val="Arial"/>
        <color theme="1"/>
        <sz val="9.0"/>
      </rPr>
      <t xml:space="preserve">1단계 |  단기/중장기 성과목표, 또는 조직의 환경경영 방향성을 나타내는 환경경영 미션/비전/지향점이 없는 경우 </t>
    </r>
    <r>
      <rPr>
        <rFont val="Arial"/>
        <b/>
        <color rgb="FFFF0000"/>
        <sz val="9.0"/>
      </rPr>
      <t>|  2단계 |  환경경영 미션/비전/지향점만 제시하고 있는 경우</t>
    </r>
    <r>
      <rPr>
        <rFont val="Arial"/>
        <color theme="1"/>
        <sz val="9.0"/>
      </rPr>
      <t xml:space="preserve"> |  3단계 |  2단계 + 조직의 환경 분야 핵심이슈에 대한 단기 목표만 설정하고 있는 경우 |  4단계 |  3단계 + 중장기 목표까지 수립하고 있는 경우 |  5단계 |  4단계 + 중장기 목표 달성을 위한 과제와, 이행점검 지표를 마련한 경우</t>
    </r>
  </si>
  <si>
    <t>대표이사와 이사회 의장 분리</t>
  </si>
  <si>
    <t>505</t>
  </si>
  <si>
    <t>현재 대표이사와 이사회 의장이 동일한 경우</t>
  </si>
  <si>
    <t>사외이사 대상 교육(대면/화상) 실시 여부</t>
  </si>
  <si>
    <t>과거 대표이사 또는 이사회 의장을 역임했던 자가 현재 이사회 의장인 경우</t>
  </si>
  <si>
    <t>KSSB 제2호 문단 33~36(목표) 준용 가능</t>
  </si>
  <si>
    <t>GRI 2-27</t>
  </si>
  <si>
    <t>506</t>
  </si>
  <si>
    <t>사외이사만 참여하는 별도회의 개최 여부·횟수</t>
  </si>
  <si>
    <t>현재 이사회 의장이 과거 또는 현재의 대표이사나 이사회 의장을 역임하지 않았으나, 모회사 또는 자회사의 임원 등 독립성이 결여된 자가 이사회 의장인 경우</t>
  </si>
  <si>
    <t>핵심원칙6_사외이사평가</t>
  </si>
  <si>
    <t>6-①_개별평가와재선임반영</t>
  </si>
  <si>
    <t>601</t>
  </si>
  <si>
    <t>사외이사 개별평가 실시 여부(자기/상호/외부평가)</t>
  </si>
  <si>
    <t>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t>
  </si>
  <si>
    <t>G-1-5(평가 보강)</t>
  </si>
  <si>
    <t>과거 또는 현재 대표이사이거나, 이사회 의장을 역임한 적이 없으며, 회사로부터 독립성이 확보된 이사가 현재 이사회의 의장인 경우</t>
  </si>
  <si>
    <t>이사회 성별 다양성</t>
  </si>
  <si>
    <t>이사회 내 여성 이사가 선임되어 있지 않는 경우</t>
  </si>
  <si>
    <t>이사회 내 여성 이사가 1명만 선임되어 있는 경우</t>
  </si>
  <si>
    <t>602</t>
  </si>
  <si>
    <t>사외이사 평가결과 재선임 반영 여부</t>
  </si>
  <si>
    <t>이사회 내 여성 이사가 2명 이상이며, 그 비율이 10% 이상 ~ 20% 미만인 경우</t>
  </si>
  <si>
    <t>6-②_보수의적정성</t>
  </si>
  <si>
    <t>이사회 내 여성 이사가 2명 이상이며, 그 비율이 20% 이상 ~ 30% 미만인 경우</t>
  </si>
  <si>
    <t>603</t>
  </si>
  <si>
    <t>사외이사 보수 정책 수립 여부</t>
  </si>
  <si>
    <t>이사회 내 여성 이사가 2명 이상이며, 그 비율이 30% 이상인 경우 * 이사회 내 다수 성(性)이 여성일 경우에는 반대로 적용</t>
  </si>
  <si>
    <t>사외이사 전문성</t>
  </si>
  <si>
    <t>604</t>
  </si>
  <si>
    <t>사외이사 스톡옵션 부여 여부</t>
  </si>
  <si>
    <t>동종산업 경력을 보유한 사외이사가 없는 경우</t>
  </si>
  <si>
    <t>조직은 중대성 평가(Materiality Test)를 통해 조직의 사업운영 및 외부환경에 중요한 영향력을 행사하는 핵심이슈를 도출할 수 있다. 조직은 사업운영에 해당하는 모든 직/간접 환경규제를 관리해야 함과 동시에 사업성과와 연계된 핵심이슈에 대해서는 목표에 의한 성과관리가 필요하다. 조직이 수립할 수 있는 환경 분야 목표와 관련된 핵심이슈에는 아래와 같은 이슈가 해당된다. 에너지 사용량 절감 재생에너지 투자 확대 온실가스 배출량 감축 탄소중립 기술 개발 및 관련 투자활동 폐기물 발생량 저감 플라스틱 사용량 절감 재사용 용수 확대 원자재 효율적 투입 산림 및 토양 복원 생물다양성 증진 및 관련 투자활동 친환경 공급망 구축 대기/수질/토양 오염 감소 유해물질 감소…</t>
  </si>
  <si>
    <t>동종산업 경력을 보유한 사외이사가 1명 이상인 경우</t>
  </si>
  <si>
    <t>605</t>
  </si>
  <si>
    <t>[자동채점] | 근거충분성: 충분 | 근거: [지배구조보고서] 45p. 아울러 당사는 에너지 목표관리, 환경인증 획득, 환경법규 및 규정 요구사항을 준수하는 등 환경 윤리를 준수하기 위해 지속적으로 노력하고 있습니다.(6번째 줄) → 환경경영에 대한 의지와 노력은 언급되어 있으나, 구체적인 단기 또는 중장기 정량적 환경 목표가 제시되어 있지 않아 2단계에 해당합니다. | 근거페이지: 사업보고서 14p, 65p, 134~135p, 229p, 253p, 300~301p / 지배구조보고서 3p, 9~10p, 15p, 17p, 32p, 45p</t>
  </si>
  <si>
    <t>스톡옵션 행사조건 성과 연동 여부</t>
  </si>
  <si>
    <t>동종산업 경력을 보유한 사외이사가 50% 이상인 경우</t>
  </si>
  <si>
    <t>G-2-1</t>
  </si>
  <si>
    <t>전체 이사 출석률</t>
  </si>
  <si>
    <t>핵심원칙7_이사회운영</t>
  </si>
  <si>
    <t>이사회 구성원 평균 출석률이 75% 미만인 경우</t>
  </si>
  <si>
    <t>7-①_정기개최와운영규정</t>
  </si>
  <si>
    <t>701</t>
  </si>
  <si>
    <t>정기이사회 개최 여부</t>
  </si>
  <si>
    <r>
      <rPr>
        <rFont val="Noto Sans"/>
        <b/>
        <color theme="1"/>
        <sz val="9.0"/>
      </rPr>
      <t xml:space="preserve">부분 / 2단계 / 25점
</t>
    </r>
    <r>
      <rPr>
        <rFont val="Noto Sans"/>
        <color theme="1"/>
        <sz val="9.0"/>
      </rPr>
      <t>[환경경영 정책 참고]</t>
    </r>
    <r>
      <rPr>
        <rFont val="Noto Sans"/>
        <b/>
        <color theme="1"/>
        <sz val="9.0"/>
      </rPr>
      <t xml:space="preserve">
</t>
    </r>
    <r>
      <rPr>
        <rFont val="Noto Sans"/>
        <b/>
        <color rgb="FF1155CC"/>
        <sz val="9.0"/>
        <u/>
      </rPr>
      <t>https://drive.google.com/file/d/1T892x8VAlipB1OQn1SwKEUW5kTEsnrhu/view?usp=drive_link</t>
    </r>
    <r>
      <rPr>
        <rFont val="Noto Sans"/>
        <b/>
        <color theme="1"/>
        <sz val="9.0"/>
      </rPr>
      <t xml:space="preserve"> </t>
    </r>
    <r>
      <rPr>
        <rFont val="Noto Sans"/>
        <color theme="1"/>
        <sz val="9.0"/>
      </rPr>
      <t xml:space="preserve">
[판단근거] 2단계에서 환경경영 미션·비전·지향점, 3단계에서 이에 더해 핵심 환경이슈의 단기 성과목표, 4단계에서 중장기 성과목표, 5단계에서 중장기 목표별 세부과제와 이행점검 지표를 요구한다.
[확인근거] Excel AA7에는 정성적인 환경경영 방향이 확인되지만 단기 정량목표와 이행점검 지표를 찾지 못했다고 되어 있고, 한편 AA18에는 "NDC 기준으로 2030년까지 탄소배출량 35% 절감, 2050년까지 Net Zero"라는 정량적 중장기 목표가 적혀 있다. 따라서 AA7의 "구체적인 정량적 목표 없음"은 **"정량적 중장기 목표는 있으나 단기 성과목표 및 목표별 이행점검 지표 미확인"**으로 수정해야 한다. 회사 공식 EHS 페이지도 2030년 35% 감축과 2050 Net Zero를 명시하고 있어 이 수정이 타당하다.
[감점사유] 2030·2050 목표만으로는 3단계의 "단기 목표"가 충족되지 않으며, 단계형 기준이 누적구조이므로 중장기 목표가 있어도 단기 목표가 빠지면 4단계를 바로 인정하기 어렵다. 또한 기준연도와 조직경계가 명확하지 않다.
[보완필요증빙] 2026~2028년 단기 온실가스·에너지·용수·폐기물 목표표, 기준연도·대상 사업장·산정방식, 담당부서, 분기/연간 KPI 이행점검표와 경영진 보고자료가 필요하다.</t>
    </r>
  </si>
  <si>
    <t>이사회 구성원 평균 출석률이 75% 이상 85% 미만인 경우</t>
  </si>
  <si>
    <t>G-2-1, G-2-2</t>
  </si>
  <si>
    <t>이사회 구성원 평균 출석률이 85% 이상 90% 미만인 경우</t>
  </si>
  <si>
    <t>702</t>
  </si>
  <si>
    <t>이사회 운영규정 존재 여부</t>
  </si>
  <si>
    <t>이사회 구성원 평균 출석률이 90% 이상 95% 미만인 경우</t>
  </si>
  <si>
    <t>[현재 문제점] 2030·2050 방향은 있으나 단기 목표와 목표별 관리지표가 연결되지 않은 점이다.
[개선방향] K-ESG에서 요구하는 정량적 단기/중장기 목표, 이행점검 지표가 명확해야 함, 2026년을 포함한 연차별 환경 KPI를 정량화하고 2030 목표까지의 감축 경로를 역산하는 것이다.
-&gt; ex.5년 내 온실가스 배출 5% 감축, 벤치마킹 사 참고
[필요근거] 이사회 또는 경영회의 승인 목표표, 연도별 KPI 대장, 분기별 목표 대비 실적 보고서이다.</t>
  </si>
  <si>
    <t>703</t>
  </si>
  <si>
    <t>이사회 구성원 평균 출석률이 95% 이상인 경우</t>
  </si>
  <si>
    <t>이사회 개최횟수(정기/임시)</t>
  </si>
  <si>
    <t>G-2-2</t>
  </si>
  <si>
    <t>사내이사 출석률</t>
  </si>
  <si>
    <t>구체적이고 단기/중장기 환경경영 정량 목표를 설정하고, 달성을 위한 과제 및 이행점검을 위한 지표를 정의하고 있습니까?</t>
  </si>
  <si>
    <t>표 7-1-1</t>
  </si>
  <si>
    <t>사내이사 평균 출석률이 75% 미만인 경우</t>
  </si>
  <si>
    <t>704</t>
  </si>
  <si>
    <t>사내이사 평균 출석률이 75% 이상 85% 미만인 경우</t>
  </si>
  <si>
    <t>안건통지-개최일 평균 간격(일)</t>
  </si>
  <si>
    <t>사내이사 평균 출석률이 85% 이상 90% 미만인 경우</t>
  </si>
  <si>
    <t>705</t>
  </si>
  <si>
    <t>이사 평균 출석률(%)</t>
  </si>
  <si>
    <t>사내이사 평균 출석률이 90% 이상 95% 미만인 경우</t>
  </si>
  <si>
    <t>사내이사 평균 출석률이 95% 이상인 경우</t>
  </si>
  <si>
    <t>706</t>
  </si>
  <si>
    <t>G-2-3</t>
  </si>
  <si>
    <t>임원보수 정책 수립 여부</t>
  </si>
  <si>
    <t>이사회 산하 위원회</t>
  </si>
  <si>
    <t>조직이 환경성과 향상과 환경 개선 등의 경영활동으로 인한 환경영향 관리, 원부자재/에너지/폐기물 등의 효율적 관리, 국제사회 등 이해관계자의 환경영역 요구 대응을 위해 체계적으로 환경경영을 추진하고 있는지 점검 | 국내외 규격에서 제시하는 환경경영시스템 구성요건을 기준으로 조직이 이를 따르거나, 준용하여 환경경영 추진체계를 갖추고 있는지 확인</t>
  </si>
  <si>
    <t>환경경영시스템, 환경경영 정책, 환경경영 가이던스</t>
  </si>
  <si>
    <t>이사회 산하 모든 위원회 설치는 정관에 근거하고 있으며, 모든 위원회에 대해 ‘운영규정’을 제정하고 있는 경우</t>
  </si>
  <si>
    <t>707</t>
  </si>
  <si>
    <t>특정 이사(사내이사, 사외이사, 기타비상임이사)가 이사회 산하 모든 위원회의 구성원으로 선임되어 있지 않은 경우</t>
  </si>
  <si>
    <t>임원보수 정책 공개 여부</t>
  </si>
  <si>
    <t>요건1 |  환경경영 추진을 위한 전사 거버넌스 체계를 구축하고 있는 경우 (전담조직, 실무협의회, 경영회의 및 내부점검체계 등) |  요건2 |  환경경영 추진을 위한 전사 전담조직을 운영하고 있는 경우 (전사 환경경영 기획, 점검, 성과관리 등 실행업무 담당) |  요건3 |  환경경영 과제 실행에 필요한 자원을 투입하고 있는 경우  (환경투자 예산, 역량강화 교육, 내외부 전문인력 등) |  요건4 |  환경경영 추진 현황을 점검/분석/평가하는 시스템이 있는 경우 (IT기반 모니터링 시스템, 과제점검 회의, 제3자 의견수렴 등) |  요건5 |  환경경영 과제 이행현황이 경영진 포함 관련 구성원의 성과평가지표(KPIs)에 반영되어 있는 경우 |  * 선택 항목의 합산값으로 평가</t>
  </si>
  <si>
    <t>이사회 산하 모든 위원회가 구성원의 과반수 이상을 사외이사로 선임하고 있는 경우</t>
  </si>
  <si>
    <t>KSSB 제2호 문단 6(거버넌스) 준용 가능</t>
  </si>
  <si>
    <t>GRI 2-27, K-ESG</t>
  </si>
  <si>
    <t>708</t>
  </si>
  <si>
    <t>직전 회계연도 중 이사회 산하 위원회 개최 횟수가 평균적으로 3회 이상인 경우</t>
  </si>
  <si>
    <t>임원배상책임보험(D&amp;O) 가입 여부</t>
  </si>
  <si>
    <t>직전 회계연도 중 이사회 산하 모든 위원회가 심의/의결 안건을 다룬 경우</t>
  </si>
  <si>
    <t>G-2-4</t>
  </si>
  <si>
    <t>이사회 안건 처리</t>
  </si>
  <si>
    <t>709</t>
  </si>
  <si>
    <t>이해관계자 이익 고려 여부</t>
  </si>
  <si>
    <t>안건에 대한 수정, 보완, 반대하는 의견이 한 건도 없는 경우</t>
  </si>
  <si>
    <t>안건에 대한 수정, 보완, 반대하는 의견이 한 건 이상 존재하는 경우</t>
  </si>
  <si>
    <t>7-②_의사록과활동공개</t>
  </si>
  <si>
    <t>710</t>
  </si>
  <si>
    <t>이사회 의사록·녹취록 작성·보존 규정 여부</t>
  </si>
  <si>
    <t>안건에 대한 수정, 보완, 반대하는 의견이 5% 이상 존재하는 경우</t>
  </si>
  <si>
    <t>주주총회 소집 공고</t>
  </si>
  <si>
    <t>주주총회 소집 공고를 서면으로만 통지하거나, 주주의 동의를 받아 전자문서로만 하는 경우</t>
  </si>
  <si>
    <t>711</t>
  </si>
  <si>
    <t>개별이사 출석률·안건 찬성률(최근3개년)</t>
  </si>
  <si>
    <t>서면 또는 전자문서로 통지하는 방식 外 1개의 추가 방식을 이용하는 경우</t>
  </si>
  <si>
    <t>환경경영이란 조직의 사업운영 전 과정에 걸쳐 발생하는 환경영향을 최소화하면서 환경적으로 건전하고, 경제적으로 지속가능한 발전을 도모하고자 하는 경영활동이다. 조직의 환경경영 체계란 환경경영을 효과적으로 추진하기 위해 환경방침 개발, 이행, 달성, 검토 및 유지관리 할 수 있는 조직, 책임, 자원, 절차, 과정 및 성과관리 등을 종합적으로 구축한 것을 의미한다. 조직은 환경경영을 위해 아래와 같은 추진체계를 구축할 수 있으며, 해당 정보는 이해관계자와 공유할 필요가 있다. ; 1) 조직은 목표 달성과 관련된 제반업무를 관장하는 거버넌스 및 업무분장 체계를 구축해야 한다. 2) 목표 달성을 위한 추진과제와 실행계획을 수립해야 한다. 3) 목표 달성에 필요한 새로운…</t>
  </si>
  <si>
    <t>표 7-2-1</t>
  </si>
  <si>
    <t>[자동채점] | 근거충분성: 부분적 | 근거: [지배구조보고서] 17p. 아울러 당사는 에너지 목표관리, 환경인증 획득, 환경법규 및 규정 요구사항을 준수하는 등 환경 윤리를 준수하기 위해 지속적으로 노력하고 있습니다.(5번째 줄) → 환경경영을 위한 환경인증 획득 및 에너지 목표관리 등 환경 윤리 준수를 위해 노력하고 있다는 서술이 존재하여 1단계 요건인 환경경영 추진체계 구축을 충족하는 것으로 판단되나, 전담조직 운영, 자원 투입, 성과평가 반영 등 구체적인 체계에 대한 근거는 부족함. | 근거페이지: 사업보고서 142p, 240p, 301p / 지배구조보고서 3p, 17~18p, 27p, 32p, 45p</t>
  </si>
  <si>
    <t>서면 또는 전자문서로 통지하는 방식 外 2개의 추가 방식을 이용하는 경우</t>
  </si>
  <si>
    <t>712</t>
  </si>
  <si>
    <t>정기공시 외 개별이사 활동내용 공개 여부</t>
  </si>
  <si>
    <t>서면 또는 전자문서로 통지하는 방식 外 3개의 추가 방식을 이용하는 경우</t>
  </si>
  <si>
    <t>핵심원칙8_이사회내위원회</t>
  </si>
  <si>
    <t>서면 또는 전자문서로 통지하는 방식 外 4개 이상의 추가 방식을 이용하는 경우</t>
  </si>
  <si>
    <r>
      <rPr>
        <rFont val="Noto Sans"/>
        <b/>
        <color theme="1"/>
        <sz val="9.0"/>
      </rPr>
      <t xml:space="preserve">부분 / 3개 충족 / 50점
</t>
    </r>
    <r>
      <rPr>
        <rFont val="Noto Sans"/>
        <b val="0"/>
        <color theme="1"/>
        <sz val="9.0"/>
      </rPr>
      <t xml:space="preserve">[환경경영 정책 참고]
요건 1,3,4 충족 / 2,5 부분적
</t>
    </r>
    <r>
      <rPr>
        <rFont val="Noto Sans"/>
        <b val="0"/>
        <color rgb="FFFF0000"/>
        <sz val="9.0"/>
      </rPr>
      <t>-&gt; 거버넌스, 자원 투입, 모니터링 시스템은 구축되어 있으나, 경영진 KPI 반영이 명확하지 않음</t>
    </r>
    <r>
      <rPr>
        <rFont val="Noto Sans"/>
        <b val="0"/>
        <color theme="1"/>
        <sz val="9.0"/>
      </rPr>
      <t xml:space="preserve">
거버넌스 체계
-  ISO 14001 인증 유지: 국제 표준 환경경영시스템 구축
- 산업안전보건위원회 실시: 1회/분기 (환경경영 거버넌스 포함)
- 노사협의회 실시: 1회/분기 및 고충처리반 운영을 통한 근로 환경 개선
자원 투입
- 환경투자: 고효율설비 설치, 환경 영향 평가 기준 설립, 대기 오염 방지 시설 설치
- 인력: 사내 환경 관리 및 화학물질·폐기물 관리 전담 인력
모니터링 및 점검
- 정기 모니터링:
- 수질환경측정 (1회/분기)
- 폐수 누출 훈련 정기 실시
- 에너지 사용, 용수 사용, 폐기물 배출량 년간 관리
[판단근거] O8은 전사 환경경영 거버넌스, 전담조직, 자원 투입, 점검·분석·평가 시스템, 경영진을 포함한 구성원의 KPI 반영 등 5가지를 평가하며 3개 충족 시 50점이다.
[확인근거] AA8에는 "ISO 14001 인증 유지", "고효율설비 설치", "환경 영향 평가 기준 설립", "대기 오염 방지 시설 설치", "수질환경측정 1회/분기", "에너지 사용·용수 사용·폐기물 배출량 연간 관리"가 적혀 있어 거버넌스/관리체계, 자원 투입, 모니터링 체계는 인정 가능하다. 공식 홈페이지 역시 양산 1공장·울산 1공장의 ISO 14001 인증과 환경시설 투자, 내부기준 수립을 공개한다.
[감점사유] T8에는 1개 요건으로 입력돼 있지만 AA8 자체는 3개 요건을 충족한다고 평가해 내부 불일치가 있다. 반면 "산업안전보건위원회"와 "노사협의회"만으로 환경경영 거버넌스를 완전히 입증하는 데에는 해석 위험이 있으며, 회사 차원의 독립적인 환경전담조직과 기후·환경 KPI의 보상·평가 연계는 확인되지 않는다.
[보완필요증빙] 환경경영 조직도, 환경담당 조직의 R&amp;R, 예산·CAPEX 내역, 환경 KPI 정의서, 임원·조직장 평가표, 환경실적 경영진 보고자료가 필요하다.</t>
    </r>
  </si>
  <si>
    <t>8-①_위원구성</t>
  </si>
  <si>
    <t>801</t>
  </si>
  <si>
    <t>각 위원회 사외이사 과반수 선임 여부</t>
  </si>
  <si>
    <t>주주총회 개최일을 지정하는데 있어, 재무결산 및 감사보고서 발행일을 고려함</t>
  </si>
  <si>
    <t>주주총회 개최일을 지정하는데 있어, 조직의 연간 업무계획 및 경영진 등의 업무일정을 고려함</t>
  </si>
  <si>
    <t>[현재 문제점] 환경설비와 측정활동은 존재하지만 전사 환경 거버넌스와 개인·조직 KPI로 연결되는 구조가 불명확한 점이다.
[개선방향] 환경총괄 책임자, 전담부서, 부서별 KPI와 경영진 보고체계를 하나의 환경경영 운영규정으로 통합하는 것이다. -&gt; 환경 KPI 반영이 명확해야 함, 환경 KPI의 임직원 성과평가 반영 강화 및 공시
[필요근거] 조직도, 업무분장표, KPI 평가표, 환경위원회 또는 경영회의 회의록과 환경예산 집행내역이다.</t>
  </si>
  <si>
    <t>802</t>
  </si>
  <si>
    <t>감사위원회·보수(보상)위원회 전원 사외이사 구성 여부</t>
  </si>
  <si>
    <t>체계적인 환경경영 추진을 위해 전사 거버넌스 구축, 전담조직 운영, 자원 및 역량 투입, 이행현황 점검 시스템 구축, 경영진 및 구성원의 성과평가지표(KPIs) 반영 체계를 갖추고 있습니까?</t>
  </si>
  <si>
    <t>주주총회 개최일을 지정하는데 있어, 연기금, 기관투자자, 의결권자문사 등의 주요 시장 참여자 의견을 수렴함</t>
  </si>
  <si>
    <t>8-②_위원회운영과보고</t>
  </si>
  <si>
    <t>803</t>
  </si>
  <si>
    <t>주주총회 개최일을 지정하는데 있어, 소액주주 및 기타 이해관계자 등의 의견을 수렴함</t>
  </si>
  <si>
    <t>이사회내 위원회 명문규정 존재 여부</t>
  </si>
  <si>
    <t>주주총회 개최일을 지정하는데 있어, 주주총회 예상 집중일을 고려함</t>
  </si>
  <si>
    <t>온실가스</t>
  </si>
  <si>
    <t>배당정책 및 이행</t>
  </si>
  <si>
    <t>804</t>
  </si>
  <si>
    <t>조직이 소유, 관리, 통제하는 물리적 경계(사업장 등) 내에서 에너지 사용으로 인해 발생하는 온실가스 배출(Scope1 &amp; Scope2)을 감축하고 있는지 점검 | 조직간 규모 차이(매출액, 생산량 등) 또는 사업 변동(구조조정, 인수합병 등)을 고려하여 상대적 비교가능성이 높은 ‘원단위’ 개념을 기반으로 온실가스 배출량을 확인</t>
  </si>
  <si>
    <t>주주에게 배당정책 및 배당계획을 통지하지 아니한 경우</t>
  </si>
  <si>
    <t>위원회 결의사항 이사회 보고 여부</t>
  </si>
  <si>
    <t>‘전자공시시스템’ 上 사업보고서, ‘조직별 홈페이지’ 上 지속가능경영보고서, ‘국가온실가스종합관리 시스템’ 上 명세서배출량통계</t>
  </si>
  <si>
    <t>국내외 사업장 및 기타 연결실체</t>
  </si>
  <si>
    <t>원단위 온실가스 배출량 = 총 온실가스 배출량 / 매출액(또는 생산량)</t>
  </si>
  <si>
    <t>주주에게 배당정책 및 배당계획을 연 1회 이상 통지한 경우</t>
  </si>
  <si>
    <t>805</t>
  </si>
  <si>
    <t>위원회별 개최횟수·안건·가결여부</t>
  </si>
  <si>
    <t>주주에게 배당정책 및 배당계획을 연 1회 인상 통지하였으며, 배당정책 및 배당계획대로 배당을 집행한 경우</t>
  </si>
  <si>
    <t>1단계 |  지난 4개년 원단위 온실가스 배출량 증가 추세 |  2단계 |  지난 4개년 원단위 온실가스 배출량 변동 없음 |  3단계 |  지난 4개년 원단위 온실가스 배출량 감소 추세 |  * 원단위 온실가스 배출량을 관리하고 있지 않은 경우 0점 적용 |  * 국내 및 해외 모든 사업장이 ‘탄소중립’ 또는 ‘탄소제로’를 달성한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</si>
  <si>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표 8-2-1~3</t>
  </si>
  <si>
    <t>윤리규범 위반사항 공시</t>
  </si>
  <si>
    <t>핵심원칙9_내부감사기구</t>
  </si>
  <si>
    <t>9-①_독립성과전문성</t>
  </si>
  <si>
    <t>윤리규범 위반 건수를 공시하고 있는 경우</t>
  </si>
  <si>
    <t>901</t>
  </si>
  <si>
    <t>감사위원회 설치 여부</t>
  </si>
  <si>
    <t>G-5-1, G-5-2</t>
  </si>
  <si>
    <t>윤리규범 위반한 구성원 수를 공시하고 있는 경우</t>
  </si>
  <si>
    <t>핵심지표 H12 연계</t>
  </si>
  <si>
    <t>KSSB 제2호 문단 29(1) — Scope1·2 배출량</t>
  </si>
  <si>
    <t>윤리규범 위반 건과 관련한 처벌내역(사법상, 행정상)을 공시하고 있는 경우</t>
  </si>
  <si>
    <t>GHG Protocol, GRI 305-1,2</t>
  </si>
  <si>
    <t>902</t>
  </si>
  <si>
    <t>회계 또는 재무전문가 존재 여부</t>
  </si>
  <si>
    <t>윤리규범 위반 건과 관련된 구성원 처분내역(인사상)을 공시하고 있는 경우</t>
  </si>
  <si>
    <t>핵심지표 H13</t>
  </si>
  <si>
    <t>윤리규범 위반 사건 재발방지를 위한 개선활동 및 계획을 공시하고 있는 경우 * 선택 항목의 합산값으로 평가</t>
  </si>
  <si>
    <t>903</t>
  </si>
  <si>
    <t>내부감사기구 운영규정 존재 여부</t>
  </si>
  <si>
    <t>내부감사부서 설치</t>
  </si>
  <si>
    <t>내부감사부서를 두고 있지 않거나, 감사 관련 업무를 수행하는 부서 또는 업무분장을 두고 있지 않은 경우</t>
  </si>
  <si>
    <t>904</t>
  </si>
  <si>
    <t>내부감사부서를 두고 있지 않으나, 감사 관련 업무를 수행하는 기타 부서 및 업무분장이 있는 경우</t>
  </si>
  <si>
    <t>내부감사부서를 두고 있으나, 내부감사부서의 업무분장 등에 감사위원회 업무지원과 관련한 내용을 명시하지 않은 경우</t>
  </si>
  <si>
    <t>감사기구 대상 교육 제공 여부</t>
  </si>
  <si>
    <t>내부감사부서를 두고 있으며, 내부감사부서의 업무분장 등에 감사위원회 업무지원과 관련한 내용을 명시한 경우</t>
  </si>
  <si>
    <t>Scope1 온실가스 배출량 산정방법 = ∑[고정연소, 이동연소, 공정배출, 탈루배출, 폐기물처리]  Scope2 온실가스 배출량 산정방법 = ∑[구매전기, 구매 열(온수, 스팀 등)] | 조직의 온실가스 배출량이 산업 내 어떠한 수준에 있는지 점검하는 방식에는 1) ‘온실가스 배출권의할당및거래에관한법률’ 등에 따른 할당량 대비, 2) ‘온실가스·에너지 목표관리제’에 따른 목표값 대비, 3) 조직의 과거년도 배출량을 기반으로 수립한 목표 대비, 4) 조직이 자체적으로 수립한 목표(SBTi* 등) 대비, 5) 조직이 벤치마킹하는 경쟁조직 대비 비교하는 방식 등이 있다. * Science Based Target Initiative : 조직의 과거년도 배출량이나, 국가별…</t>
  </si>
  <si>
    <t>감사위원회 지원 역할만을 수행하는 별도 전담부서 또는 업무분장이 규정되어 있는 경우</t>
  </si>
  <si>
    <t>[자동채점] | 근거충분성: 충분 | 근거: [사업보고서] 301p. 제54기 직접배출(Scope1) 2,598.286, 간접배출(Scope2) 31,170.395 / 제53기 직접배출(Scope1) 3,545.624, 간접배출(Scope2) 28,024.755 / 제52기 직접배출(Scope1) 5,674.626, 간접배출(Scope2) 31,188.378 / 제51기 직접배출(Scope1) 3,654.116, 간접배출(Scope2) 19,130.372(표 4번째 행, 숫자 매칭) → 제54기 매출액(1,100,669,248천원) 대비 온실가스 배출량과 과거 연도 데이터를 비교 시, 배출량의 변동폭이 크고 원단위 배출량이 전반적으로 감소 추세로 보기 어려워 1단계로 판단함. | 근거페이지: 사업보고서 13p, 25~28p, 33p, 151p, 267p, 269p, 292p, 300~301p, 307p / 지배구조보고서 3p, 8p, 10p, 17p, 38p</t>
  </si>
  <si>
    <t>905</t>
  </si>
  <si>
    <t>감사기구 전문성 (감사기구 내 회계/재무 전문가)</t>
  </si>
  <si>
    <t>외부 전문가 자문 지원 시행 여부</t>
  </si>
  <si>
    <t>감사위원회 내 회계 및 재무 분야 전문성을 보유한 감사위원이 1명 선임되어 있는 경우</t>
  </si>
  <si>
    <r>
      <rPr>
        <rFont val="Noto Sans"/>
        <b/>
        <color theme="1"/>
        <sz val="9.0"/>
      </rPr>
      <t xml:space="preserve">직접계산 / 감소 추세 / 3단계 / 100점
</t>
    </r>
    <r>
      <rPr>
        <rFont val="Noto Sans"/>
        <b val="0"/>
        <color theme="1"/>
        <sz val="9.0"/>
      </rPr>
      <t xml:space="preserve">[홈페이지 공개 자료] - 2023~2025
</t>
    </r>
    <r>
      <rPr>
        <rFont val="Noto Sans"/>
        <b val="0"/>
        <color rgb="FF1155CC"/>
        <sz val="9.0"/>
        <u/>
      </rPr>
      <t xml:space="preserve">https://drive.google.com/file/d/1sbXOoqD2wtmpGBb11NVWCzH5u6ikdsu9/view?usp=drive_link
</t>
    </r>
    <r>
      <rPr>
        <rFont val="Noto Sans"/>
        <b val="0"/>
        <color theme="1"/>
        <sz val="9.0"/>
      </rPr>
      <t>- 공개된 원단위 데이터가 없어 산식으로 계산.
- 온실가스 배출량(VMS+BTS) / 생산실적(부품+배터리)</t>
    </r>
    <r>
      <rPr>
        <rFont val="Noto Sans"/>
        <b/>
        <color theme="1"/>
        <sz val="9.0"/>
      </rPr>
      <t xml:space="preserve">
</t>
    </r>
    <r>
      <rPr>
        <rFont val="Noto Sans"/>
        <b val="0"/>
        <color theme="1"/>
        <sz val="9.0"/>
      </rPr>
      <t>- 온실가스 배출량 (30,002 -&gt; 33,805 -&gt; 33,464)
- 원단위 계산 결과 (64.5 -&gt; 61.1 -&gt; 58.2)
[보완필요증빙] 국내외 전 사업장 Scope 1·2 인벤토리, 법인별 활동자료, 연결범위 reconciliation, 배출계수·GWP 적용기준, 매출 또는 생산량 분모의 조직경계 일치표, 제3자 검증의견서가 필요하다.</t>
    </r>
  </si>
  <si>
    <t>감사위원회 내 회계 및 재무 전문가가 1명 이상 선임되어 있으나, 전체 감사위원 중 50% 이하인 경우</t>
  </si>
  <si>
    <t>906</t>
  </si>
  <si>
    <t>경영진 부정행위 조사절차 규정 마련 여부</t>
  </si>
  <si>
    <t>감사위원회 내 회계 및 재무 전문가가 1명 이상 선임되어 있으며, 전체 감사위원 중 50% 초과한 경우</t>
  </si>
  <si>
    <t>E-기후변화 대응-추가1</t>
  </si>
  <si>
    <t>산림탄소흡수량</t>
  </si>
  <si>
    <t>907</t>
  </si>
  <si>
    <t>과거 4년간 산림탄소흡수량 정보 없음</t>
  </si>
  <si>
    <t>내부감사기구 중요정보 접근절차 보유 여부</t>
  </si>
  <si>
    <t>과거 4년간 산림탄소흡수량 공시</t>
  </si>
  <si>
    <t>핵심지표 H15</t>
  </si>
  <si>
    <t>과거 4년간 자사 배출량 대비 산림탄소흡수 상쇄량 하락 추세</t>
  </si>
  <si>
    <t>908</t>
  </si>
  <si>
    <t>내부감사업무 지원조직 설치 여부</t>
  </si>
  <si>
    <t>과거 4년간 자사 배출량 대비 산림탄소흡수 상쇄량 상승 추세</t>
  </si>
  <si>
    <t>핵심지표 H12</t>
  </si>
  <si>
    <t>과거 4년간 자사 배출량 대비 산림탄소흡수 상쇄량 매년 상승 추세 * 3개년 이하 데이터 보유 시 해당 데이터로 추세 산정</t>
  </si>
  <si>
    <t>909</t>
  </si>
  <si>
    <t>지원조직 독립성 확보(인사권/동의권) 여부</t>
  </si>
  <si>
    <t>E-기후변화 대응-추가2</t>
  </si>
  <si>
    <t>친환경 차량 보유 비율</t>
  </si>
  <si>
    <t>조직 내 친환경 차량의 보유 비율 0% ~ 20%</t>
  </si>
  <si>
    <t>910</t>
  </si>
  <si>
    <t>조직 내 친환경 차량의 보유 비율 21% ~ 40% 이내</t>
  </si>
  <si>
    <t>감사(위원) 독립적 보수정책 수립 여부</t>
  </si>
  <si>
    <t>조직 내 친환경 차량의 보유 비율 41% ~ 60% 이내</t>
  </si>
  <si>
    <t xml:space="preserve">[현재 문제점] 감소 추세는 확인되나 공시범위가 국내 3개 공장 중심이라는 점이다.
[개선방향] 2026년부터 모든 연결법인을 대상으로 Scope 1·2 인벤토리를 단계적으로 통합하고 동일한 매출/생산 경계로 집약도를 산정하는 것이다. 2025년 데이터는 온실가스배출량 3자 검증(BSI)은 현상태유지 
+ scope3은 방향성 언급으로
[필요근거] 법인별 에너지 사용자료, 온실가스 산정 workbook, 연결경계 명세서, 배출계수 출처와 제3자 검증자료이다.
</t>
  </si>
  <si>
    <t>Scope 1 및 Scope 2 원단위 온실가스 배출량을 산정하고, 이에 대한 증감 현황을 점검·관리하고 있습니까?</t>
  </si>
  <si>
    <t>911</t>
  </si>
  <si>
    <t>감사(위원) 대비 사외이사 보수 비율</t>
  </si>
  <si>
    <t>ESG 통합진단 요약 대시보드</t>
  </si>
  <si>
    <t>조직 내 친환경 차량의 보유 비율 61% ~ 80% 이내</t>
  </si>
  <si>
    <t>01_ESG통합진단마스터 시트의 입력값을 기준으로 자동 집계됩니다 (수식 연동)</t>
  </si>
  <si>
    <t>조직 내 친환경 차량의 보유 비율 81% ~ 100% 이내</t>
  </si>
  <si>
    <t>9-②_활동내역과공개</t>
  </si>
  <si>
    <t>912</t>
  </si>
  <si>
    <t>온실가스 배출권 거래제, 온실가스 목표관리제, 기타 온실가스 정보를 기반으로 의사결정하는 이해관계자가 증가함에 따라, 조직이 대외공시하는 온실가스 배출량 데이터가 타당성/신뢰성/투명성을 확보하고 있는지 확인 | 조직의 온실가스 배출량 데이터에 관해 제3자 기관으로부터 검증을 받는 경우, 해당 검증의견이 갖추어야 할 형식적 요건을 점검</t>
  </si>
  <si>
    <t>내부감사기구 정기회의 개최 여부</t>
  </si>
  <si>
    <t>S-동반성장-추가1</t>
  </si>
  <si>
    <t>1. 진단 완료 현황</t>
  </si>
  <si>
    <t>온실가스 배출량 검증의견서</t>
  </si>
  <si>
    <t>공급망 안정</t>
  </si>
  <si>
    <t>전체 진단항목 수</t>
  </si>
  <si>
    <t>1차 협력사가 원부자재를 생산 및 공급하는데 영향을 미칠 수 있는 정치, 경제, 사회, 문화 분야의 리스크를 모니터링 하고 있는 경우</t>
  </si>
  <si>
    <t>913</t>
  </si>
  <si>
    <t>감사회의록 작성·보존 규정 여부</t>
  </si>
  <si>
    <t>1차 협력사 外 2차 이하(N차 협력사, 또는 원산지)에 잠재되어 있는 원부자재 생산-공급 차질 리스크를 모니터링 하고 있는 경우</t>
  </si>
  <si>
    <t>요건1 |  검증의견서에 검증기관(또는 검증인)이 명시되어 있는 경우 (또는, 검증기관이 License Number를 갖추고 있는 경우) |  요건2 |  검증의견서에 검증표준(방법론)이 제시되어 있는 경우 (온실가스 배출권거래제의 배출량 보고 및 인증에 관한 지침, GHG Protocol, ISO14064-1 등) |  요건3 |  검증의견서에 ESG 정보 검증수준을 공개하고 있는 경우 (전체/일부 데이터 검증, 제한적/합리적 보증 등) |  요건4 |  제3자 검증기관이 검증한 온실가스 배출량 검증 범위가 적시되어 있는 경우 (즉, 조직의 사업장 중 온실가스 배출량을 검증받은 사업장 및 지역 등) |  요건5 |  조직의 온실가스 관리에 관한 제3자 검증기관 의견이 명시되어 있는 경우 (온실가스 관리 시스템 개선, 향후 검증값의 변동가능성 등)</t>
  </si>
  <si>
    <t>KSSB 제1호 문단 50(3)(검증)</t>
  </si>
  <si>
    <t>GRI 305</t>
  </si>
  <si>
    <t>점수 입력 완료 항목 수</t>
  </si>
  <si>
    <t>특정 지역 및 국가의 협력사에만 의존하지 않고, 공급선을 다변화하였거나, 대체가능한 협력사를 발굴/확보하고 있는 경우</t>
  </si>
  <si>
    <t>914</t>
  </si>
  <si>
    <t>감사위원회 개별이사 출석률(최근3개년,%)</t>
  </si>
  <si>
    <t>표 9-2-1</t>
  </si>
  <si>
    <t>특정 물류/유통망에 의존하지 않고, 물류/유통망을 다변화하였거나, 대체 물류/유통망을 발굴/확보하고 있는 경우</t>
  </si>
  <si>
    <t>핵심원칙10_외부감사인</t>
  </si>
  <si>
    <t>10-①_선임시독립성전문성</t>
  </si>
  <si>
    <t>공급망 불안정 발생에 대비하여 충분한 원부자재 재고를 확보하고 있거나, 원부자재 생산을 조직이 내재화한 경우</t>
  </si>
  <si>
    <t>1001</t>
  </si>
  <si>
    <t>외부감사인 선임 관련 정책 마련 여부</t>
  </si>
  <si>
    <t>S-소비자-추가2</t>
  </si>
  <si>
    <t>소비자 안전</t>
  </si>
  <si>
    <t>G-5-1(외부감사 보강)</t>
  </si>
  <si>
    <t>소비자안전 관련 규정 및 활동이 없음</t>
  </si>
  <si>
    <t>소비자안전 관련 규정이 있으나 활동이 없음</t>
  </si>
  <si>
    <t>1002</t>
  </si>
  <si>
    <t>외부감사인 독립성 훼손우려 상황 유무</t>
  </si>
  <si>
    <t>입력 완료율</t>
  </si>
  <si>
    <t>비감사용역 사전승인 등 4가지 기준</t>
  </si>
  <si>
    <t>소비자안전 관련 규정이 있고, 계획을 수립하고 있으나, 운영 실적이 미흡함</t>
  </si>
  <si>
    <t>10-②_주기적의사소통</t>
  </si>
  <si>
    <t>1003</t>
  </si>
  <si>
    <t>소비자안전 관련 규정이 있고, 소비자안전 보장을 위한 계획을 수립하고 운영하고 있음</t>
  </si>
  <si>
    <t>내부감사기구-외부감사인 분기1회 이상 경영진 없이 소통 시행여부</t>
  </si>
  <si>
    <t>｢기후위기 대응을 위한 탄소중립·녹색성장 기본법｣에 따라 국가 온실가스 감축 목표(2030년의 국가 온실가스 총배출량을 2018년의 온실가스 총배출량의 40%만큼 감축)를 달성할 수 있도록 일정 수준 이상의 온실가스를 배출하고 에너지를 소비하는 업체 및 사업장은 관리업체로 지정되며, 해당 기업은 온실가스 감축목표, 에너지 절약목표를 설정하고 관리할 의무가 있다. 2023년 12월 14일 환경부 온실가스종합정보센터의 관리업체 고시 기준 온실가스·에너지 목표관리 대상은 총 331개로 관장기관별로 국토교통부 86개, 산업통상자원부 172개, 농림축산식품부 35개, 해양수산부 15개, 환경부 23개이며, 관리업체에 대한 선정기준은 최근 3년간 연평균 온실가스 배출총량을…</t>
  </si>
  <si>
    <t>핵심지표 H14</t>
  </si>
  <si>
    <t>소비자안전 관련 규정이 있고, 소비자안전 보장을 위한 계획을 수립하고 운영하고 있으며, 소비자안전 확보 노력이 지속적으로 진행되고 있음</t>
  </si>
  <si>
    <r>
      <rPr>
        <rFont val="Noto Sans"/>
        <b/>
        <color theme="1"/>
        <sz val="9.0"/>
      </rPr>
      <t>25년 기준 단계 1충족 (점수0)</t>
    </r>
    <r>
      <rPr>
        <rFont val="Noto Sans"/>
        <color theme="1"/>
        <sz val="9.0"/>
      </rPr>
      <t xml:space="preserve">
[자동채점] | 근거충분성: 부분적 | 근거: [사업보고서] 300p. 외부기관에 의뢰하여 연 1회 온실가스 배출량 및 에너지 사용량을 측정하고 있으며(17번째 줄) → 외부기관에 의뢰하여 측정을 수행하고 있다는 언급은 있으나, 검증의견서의 형식적 요건(검증표준, 검증수준, 검증범위, 검증의견 등)에 대한 구체적인 정보가 제시되지 않아 1단계 요건만 충족함. | 근거페이지: 사업보고서 25p, 149p, 255p, 266p, 269p, 278p, 300~301p / 지배구조보고서 3p, 16p, 18p, 26p, 37p, 42p</t>
    </r>
  </si>
  <si>
    <t>S-노동-추가1</t>
  </si>
  <si>
    <t>정규직 중 고졸자 비율</t>
  </si>
  <si>
    <t>1004</t>
  </si>
  <si>
    <t>재무제표 정기주총 6주 전 제공 여부</t>
  </si>
  <si>
    <t>정규직(무기계약직 포함) 중 고졸자 비율을 공시하지 않는 경우</t>
  </si>
  <si>
    <t>정규직(무기계약직 포함) 중 고졸자 비율을 공시하고 공공기관 평균 대비 고졸자 비율이 적은 경우 (공공기관의 50% 미만)</t>
  </si>
  <si>
    <t>1005</t>
  </si>
  <si>
    <t>연결재무제표 정기주총 4주 전 제공 여부</t>
  </si>
  <si>
    <t>2. 영역별(E/S/G/P) 평균 점수 (동일가중 단순평균 — 각 진단항목 100점 기준)</t>
  </si>
  <si>
    <t>정규직(무기계약직 포함) 중 고졸자 비율을 공시하고 공공기관 평균 대비 고졸자 비율이 적은 경우 (공공기관의 50% 이상 ~100% 미만)</t>
  </si>
  <si>
    <t>기타_기업가치제고계획</t>
  </si>
  <si>
    <t>11_기업가치제고계획</t>
  </si>
  <si>
    <t>1101</t>
  </si>
  <si>
    <t>기업가치 제고 계획 자율공시 여부</t>
  </si>
  <si>
    <t>정규직(무기계약직 포함) 중 고졸자 비율을 공시하고 공공기관 평균 대비 고졸자 비율이 동일하거나 높은 경우 (공공기관의 100% 이상 ~150% 미만)</t>
  </si>
  <si>
    <t>항목 수</t>
  </si>
  <si>
    <t>점수입력 완료수</t>
  </si>
  <si>
    <t>GAP(밸류업 프로그램-K-ESG 미대응)</t>
  </si>
  <si>
    <t>정규직(무기계약직 포함) 중 고졸자 비율을 공시하고 공공기관 평균 대비 고졸자 비율이 높은 경우 (공공기관의 150% 이상)</t>
  </si>
  <si>
    <t>평균점수(100점 환산)</t>
  </si>
  <si>
    <t>S-노동-추가2</t>
  </si>
  <si>
    <t>여가친화 경영</t>
  </si>
  <si>
    <t>완전대응(KSSB)</t>
  </si>
  <si>
    <t>여가친화인증 미획득</t>
  </si>
  <si>
    <t>GAP(KSSB)</t>
  </si>
  <si>
    <t>여가친화인증 획득</t>
  </si>
  <si>
    <t>S-노동-추가3</t>
  </si>
  <si>
    <t>50세 이상 비자발적 이직예정자 중 재취업지원 제공 비율</t>
  </si>
  <si>
    <t>재취업지원서비스 미제공 또는 제공 비율 감소 추세</t>
  </si>
  <si>
    <t>재취업지원서비스 제공 비율 유지 추세</t>
  </si>
  <si>
    <t>재취업지원서비스 제공 비율 증가 추세</t>
  </si>
  <si>
    <t>S-지역사회-추가2</t>
  </si>
  <si>
    <t>산학협력 활성화 기여</t>
  </si>
  <si>
    <t>산학협력 활동에 관한 정보공시가 없는 경우</t>
  </si>
  <si>
    <t>산학협력 활동 내용은 공시하나 ‘산학협력 마일리지’ 점수에 대한 정보공시가 없는 경우</t>
  </si>
  <si>
    <t>밸류업 프로그램</t>
  </si>
  <si>
    <t>산학협력 활동 내용, 마일리지 점수에 대한 정보공시가 있으나, 최근 4개년 매출액 대비 마일리지 점수 변동을 알 수 없거나 감소 추세인 경우</t>
  </si>
  <si>
    <t>산학협력 활동 내용, 마일리지 점수에 대한 정보를 공시하며, 최근 4개년 매출액 대비 마일리지 점수가 유지되는 경우</t>
  </si>
  <si>
    <r>
      <rPr>
        <rFont val="Noto Sans"/>
        <b/>
        <color theme="1"/>
        <sz val="9.0"/>
      </rPr>
      <t xml:space="preserve">부분 / 2단계 / 25점
</t>
    </r>
    <r>
      <rPr>
        <rFont val="Noto Sans"/>
        <color theme="1"/>
        <sz val="9.0"/>
      </rPr>
      <t>요건 1,4 충족 / 2,3,5 부분적</t>
    </r>
    <r>
      <rPr>
        <rFont val="Noto Sans"/>
        <color rgb="FFFF0000"/>
        <sz val="9.0"/>
      </rPr>
      <t xml:space="preserve">
-&gt; 거버넌스, 자원 투입, 모니터링 시스템은 구축되어 있으나, 경영진 KPI 반영이 명확하지 않음</t>
    </r>
    <r>
      <rPr>
        <rFont val="Noto Sans"/>
        <b/>
        <color rgb="FFFF0000"/>
        <sz val="9.0"/>
      </rPr>
      <t xml:space="preserve">
</t>
    </r>
    <r>
      <rPr>
        <rFont val="Noto Sans"/>
        <color theme="1"/>
        <sz val="9.0"/>
      </rPr>
      <t xml:space="preserve">온실가스 배출량 3자 검증의견서 있음(3곳, 양산/울산/진주)
</t>
    </r>
    <r>
      <rPr>
        <rFont val="Noto Sans"/>
        <color rgb="FF1155CC"/>
        <sz val="9.0"/>
        <u/>
      </rPr>
      <t>https://drive.google.com/file/d/1iQNVOvIEADyejTiLgIBKIwHVANz3Ni8J/view?usp=drive_link</t>
    </r>
    <r>
      <rPr>
        <rFont val="Noto Sans"/>
        <color theme="1"/>
        <sz val="9.0"/>
      </rPr>
      <t xml:space="preserve"> 
- 양산(VMS, TUBE)
- 진주(VMS)
- 울산(BTS)
요건1: 검증기관 명시
요건2: 검증표준(방법론) 제시 (정확한 명시 부족) -&gt; 추정 가능, 보고서 정확히 명시 X
요건3: 검증수준 공개 (제한적/합리적 보증 구분 불명확)
요건4: 검증 범위 적시 (사업장별 구분 필요) - O
요건5: 온실가스 관리에 관한 제3자 의견 (의견서 상세 내용 미공시)
검증의견서 정보
- 검증기관: BSI
- 검증표준: GHG Protocol 또는 ISO14064-1 준용으로 추정되나, 보고서에 명확히 명시되지 않음
- 검증 범위: VMS사업부 양산 1공장, 진주공장 / BTS 사업부 울산 1공장 (사업장별 구분)
- 검증 시기: 2025년 데이터는 온실가스배출량 3자 검증 완료
[보완필요증빙] BSI 검증의견서 원문, 적용 검증기준, 중요성 기준, assurance level, 검증 대상 기간·사업장·Scope, 검증결론 및 발견사항을 공시자료에 포함해야 한다.</t>
    </r>
  </si>
  <si>
    <t>산학협력 활동 내용, 마일리지 점수에 대한 정보를 공시하며, 최근 4개년 매출액 대비 마일리지 점수가 증가 추세인 경우 * 3개년 이하 데이터 보유 시 해당 데이터로 추세 산정</t>
  </si>
  <si>
    <t>1102</t>
  </si>
  <si>
    <t>기업가치 제고 계획 수립·공시 과정 이사회 참여 여부</t>
  </si>
  <si>
    <t>S-지역사회-추가3</t>
  </si>
  <si>
    <t>미래세대 성장 및 교육 기여</t>
  </si>
  <si>
    <t>미래세대 성장 및 교육 기여 활동에 관한 정보공시가 없는 경우</t>
  </si>
  <si>
    <t>1103</t>
  </si>
  <si>
    <t>미래세대 성장 및 교육 기여 활동 내용은 공시하나 지출액이나 수혜인원에 대한 정보공시가 없는 경우</t>
  </si>
  <si>
    <t>기업가치 제고 계획 주주·시장 소통 실적 여부</t>
  </si>
  <si>
    <t>미래세대 성장 및 교육 기여 활동 내용, 지출액, 수혜규모에 대한 정보공시가 있으나, 최근 4년간 매출액 증감폭 대비 미래세대 성장 기여 활동 지출액 또는 수혜규모 변동을 알 수 없거나 감소 추세인 경우</t>
  </si>
  <si>
    <t>지속가능경영보고서_공시일반</t>
  </si>
  <si>
    <t>보고서발간여부</t>
  </si>
  <si>
    <t>S01</t>
  </si>
  <si>
    <t>당해연도 지속가능경영보고서 발간 여부</t>
  </si>
  <si>
    <t>지속가능경영보고서</t>
  </si>
  <si>
    <t>미래세대 성장 및 교육 기여 활동 내용, 지출액, 수혜규모에 대한 정보를 공시하며, 최근 4년간 매출액 증감폭 대비 미래세대 성장 기여 활동 지출액 또는 수혜규모가 유지되고 있는 경우</t>
  </si>
  <si>
    <t>핵심 종속변수(도표5 등에 사용)</t>
  </si>
  <si>
    <t>S02</t>
  </si>
  <si>
    <t>발간 채널(자사 홈페이지 게시 / 거래소(KIND) 공시)</t>
  </si>
  <si>
    <t>미래세대 성장 및 교육 기여 활동 내용, 지출액, 수혜규모에 대한 정보를 공시하며, 최근 4년간 매출액 증감폭 대비 미래세대 성장 기여 활동 지출액 또는 수혜규모가 증가 추세인 경우 * 3개년 이하 데이터 보유 시 해당 데이터로 추세 산정</t>
  </si>
  <si>
    <t>Report vs ReportKRX 구분</t>
  </si>
  <si>
    <t>경영진 성과평가 및 보상</t>
  </si>
  <si>
    <t>조직의 재무적 성과와 연계하여 정량적 ‘성과평가 지표’가 설정되어 있는 경우 (매출액, 영업이익, 현금흐름, EBIT, 시가총액, 주주수익률 등)</t>
  </si>
  <si>
    <t>S03</t>
  </si>
  <si>
    <t>보고서 분량(단어수/페이지수)</t>
  </si>
  <si>
    <t>조직의 비재무적 성과와 연계하여 정량적 ‘성과평가 지표’가 설정되어 있는 경우 (온실가스 배출량, 친환경 제품 비율, 산업재해율, 인권 리스크 개선율 등)</t>
  </si>
  <si>
    <t>정보량 대리변수</t>
  </si>
  <si>
    <t>S04</t>
  </si>
  <si>
    <t>조직의 재무적/비재무적 성과와 연계하여 3년 이상의 중장기 ‘성과평가 지표’가 설정되어 있는 경우</t>
  </si>
  <si>
    <t>GRI Standards Index 수록 여부</t>
  </si>
  <si>
    <t>성과평가 결과에 따라 보상(성과급)을 지급하고 있으며, 성과보상 지급을 1년 이상 초과하여 이연지급하고 있는 경우</t>
  </si>
  <si>
    <t>S05</t>
  </si>
  <si>
    <t>제3자 검증(외부 검증) 여부</t>
  </si>
  <si>
    <t>성과평가 종료 후, 지급(예정) 보상을 회수할 수 있는 요건을 두고 있는 경우 (경영진 행위가 불법적이거나, 조직에 심각한 피해를 초래한 사유 등)</t>
  </si>
  <si>
    <t>반도체-E-1</t>
  </si>
  <si>
    <t>에너지 효율적 제품</t>
  </si>
  <si>
    <t>S06</t>
  </si>
  <si>
    <t>ESG위원회/거버넌스 조직도 수록 여부</t>
  </si>
  <si>
    <t>지난 4개년간 에너지 효율적 제품의 비중 감소 추세 | 2단계: 지난 4개년간 에너지 효율적 제품의 비중 변동 없음 | 3단계: 지난 4개년간 에너지 효율적 제품의 비중 증가 추세</t>
  </si>
  <si>
    <t>G-1-1</t>
  </si>
  <si>
    <t>지난 4개년간 에너지 효율적 제품의 비중 변동 없음</t>
  </si>
  <si>
    <t>출처: 3_ESG_지배구조_크롤링_체크리스트.xlsx (한국거래소 「기업지배구조보고서 가이드라인」 2025년 개정판 기준)</t>
  </si>
  <si>
    <t>"연계 K-ESG 분류코드"가 GAP으로 표시된 항목은 K-ESG v2.0에 대응 항목이 없는 지표입니다 (예: 기업가치제고계획/밸류업 프로그램).</t>
  </si>
  <si>
    <t>지난 4개년간 에너지 효율적 제품의 비중 증가 추세</t>
  </si>
  <si>
    <t>반도체-E-2</t>
  </si>
  <si>
    <t>초순수 사용량</t>
  </si>
  <si>
    <t>[현재 문제점] 제3자 검증을 받고 있음에도 검증의 품질을 판단할 정보가 공시되지 않는 점이다.
[개선방향] BSI 검증의견서에 기준·수준·범위·결론을 표준 항목으로 포함하고 이를 ESG 공시와 함께 공개하는 것이다.  검증기관과 검증 범위는 현재처럼 명시,검증표준, 검증수준, 제3자 의견이 보고서에서 충분히 공시할 것. 
[필요근거] 독립 검증의견서 원문, 검증계약서, 검증 Scope 문서, 시정조치 결과서이다.</t>
  </si>
  <si>
    <t>지난 4개년간 원단위 초순수 사용량 증가 추세 | 2단계: 지난 4개년간 원단위 초순수 사용량 변동 없음 | 3단계: 지난 4개년간 원단위 초순수 사용량 감소 추세 (미산정 시 0점)</t>
  </si>
  <si>
    <t>대외 공시하는 온실가스 배출량 데이터에 대해 검증기관 정보, 검증표준, 검증수준, 검증 범위 및 검증의견 등 주요 요건을 포함한 제3자 검증의견서를 갖추고 있습니까?</t>
  </si>
  <si>
    <t>지난 4개년간 원단위 초순수 사용량 변동 없음</t>
  </si>
  <si>
    <t>지난 4개년간 원단위 초순수 사용량 감소 추세 (미산정 시 0점)</t>
  </si>
  <si>
    <t>반도체-E-3</t>
  </si>
  <si>
    <t>물 부족 지역에서의 용수 사용량</t>
  </si>
  <si>
    <t>지난 4개년간 물부족지역 사업장 원단위 용수사용량 증가 추세 | 2단계: 변동 없음 | 3단계: 감소 추세 (미식별·미측정 시 0점)</t>
  </si>
  <si>
    <t>변동 없음</t>
  </si>
  <si>
    <t>에너지</t>
  </si>
  <si>
    <t>감소 추세 (미식별·미측정 시 0점)</t>
  </si>
  <si>
    <t>반도체-E-4</t>
  </si>
  <si>
    <t>과불화탄소 배출량</t>
  </si>
  <si>
    <t>조직이 소유, 관리, 통제하는 물리적 경계(사업장 등) 내에서 직접 생산하거나, 외부로부터 구매하는 에너지 사용 총량을 절감하고 있는지 점검 | 조직간 규모 차이(매출액, 생산량 등) 또는 각 조직의 사업 변동(구조조정, 인수합병 등)을 고려하여 상대적으로 비교가 용이한 단위 당 개념의 ‘원단위’를 기반으로 에너지 사용량을 확인</t>
  </si>
  <si>
    <t>지난 4개년간 원단위 PFC 배출량 증가 추세 | 2단계: 변동 없음 | 3단계: 감소 추세 (미관리 시 0점)</t>
  </si>
  <si>
    <t>‘전자공시시스템’ 上 사업보고서, ‘조직별 홈페이지’ 上 지속가능경영보고서, ‘한국에너지공단 홈페이지’ 上 산업부문 에너지 사용 및 온실가스 배출량 통계</t>
  </si>
  <si>
    <t>원단위 에너지 사용량 = 총 에너지 사용량 / 매출액(또는 생산량)</t>
  </si>
  <si>
    <t>감소 추세 (미관리 시 0점)</t>
  </si>
  <si>
    <t>반도체-E-5</t>
  </si>
  <si>
    <t>휘발성 유기화합물 배출량</t>
  </si>
  <si>
    <t>지난 4개년간 원단위 VOC 배출량 증가 추세 | 2단계: 변동 없음 | 3단계: 감소 추세 (미관리 시 0점)</t>
  </si>
  <si>
    <t>1단계 |  지난 4개년 원단위 에너지 사용량이 증가 추세 |  2단계 |  지난 4개년 원단위 에너지 사용량이 변동 없음 |  3단계 |  지난 4개년 원단위 에너지 사용량이 감소 추세 |  * 원단위 에너지 사용량을 관리하지 않고 있는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</si>
  <si>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KSSB 제2호 문단 29 부속 에너지 사용 관련 준용</t>
  </si>
  <si>
    <t>GRI 302-1</t>
  </si>
  <si>
    <t>S-6-3</t>
  </si>
  <si>
    <t>협력사 ESG 협약사항</t>
  </si>
  <si>
    <t>협력사의 ESG 추진에 필요한 교육 운영 지원 협약 체결</t>
  </si>
  <si>
    <t>협력사의 ESG 추진에 필요한 기술 및 R&amp;D 지원 협약 체결</t>
  </si>
  <si>
    <t>협력사의 ESG 추진에 필요한 금융 및 자금 지원 협약 체결</t>
  </si>
  <si>
    <t>협력사의 ESG 추진에 필요한 인허가 획득 지원 협약 체결</t>
  </si>
  <si>
    <t>협력사의 ESG 추진에 필요한 설비/장치 도입 지원 협약 체결</t>
  </si>
  <si>
    <t>에너지 사용량 = ‘조직에서 직접 사용한 화석연료’ + ‘조직에서 직접 사용한 재생연료’ + ‘외부로부터 구매한 전기, 열 등’ + ‘조직에서 생산한 전기, 열(스팀) 등’ - ‘조직에서 사용하지 않고 외부로 판매한 전기, 열 등’  (고체, 기체, 액체 연료) 에너지 사용량 환산방법 = 연료 사용량 × 총발열량 (전기) 에너지 사용량 환산방법 = 전력사용량 × 발열량(소비)  조직의 에너지 사용량이 산업 내 어떠한 수준에 있는지 점검하는 방식에는 1) ‘온실가스 배출권의할당및거래에관한법률’ 등에 따른 할당량 대비 비교, 2) ‘온실가스·에너지 목표관리제’에 따른 목표 대비 비교, 3) 조직의 과거년도 배출량을 기반으로 설정한 목표 대비 비교, 4) RE100…</t>
  </si>
  <si>
    <t>[자동채점] | 근거충분성: 충분 | 근거: [사업보고서] 258p. 제54기 연간 에너지사용량(TJ) 687.511, 제53기 632.933, 제52기 618.881, 제51기 471.479(11번째 줄) → 제54기부터 제51기까지 4개년 에너지 사용량 총합이 지속적으로 증가하고 있으며, 매출액 대비 원단위 에너지 사용량 또한 증가 추세에 있어 1단계에 해당합니다. | 근거페이지: 사업보고서 25~28p, 151p, 228p, 258p, 269p, 282p, 292p, 300~301p, 307p / 지배구조보고서 8p, 17p, 45p</t>
  </si>
  <si>
    <r>
      <rPr>
        <rFont val="Noto Sans"/>
        <b/>
        <color theme="1"/>
        <sz val="9.0"/>
      </rPr>
      <t>직접 계산 / 감소 추세 / 3단계 / 100점
[홈페이지 공개 자료] - 2023~2025</t>
    </r>
    <r>
      <rPr>
        <rFont val="Noto Sans"/>
        <color theme="1"/>
        <sz val="9.0"/>
      </rPr>
      <t xml:space="preserve">
</t>
    </r>
    <r>
      <rPr>
        <rFont val="Noto Sans"/>
        <color rgb="FF1155CC"/>
        <sz val="9.0"/>
        <u/>
      </rPr>
      <t>https://drive.google.com/file/d/1sbXOoqD2wtmpGBb11NVWCzH5u6ikdsu9/view?usp=drive_link</t>
    </r>
    <r>
      <rPr>
        <rFont val="Noto Sans"/>
        <color theme="1"/>
        <sz val="9.0"/>
      </rPr>
      <t xml:space="preserve"> 
- 공개된 원단위 데이터가 없어 산식으로 계산.
- 총 에너지 사용량 / 매출액
- 에너지 사용량 (611.8TJ -&gt; 688TJ -&gt; 681.8TJ)
- 원단위 계산 결과 (0.394TJ -&gt; 0.357TJ -&gt; 0.389TJ)
[보완필요증빙] 사업장별 전기·연료 사용량, 재생/비재생 에너지 구분, 매출 또는 생산량과 환경데이터 경계 일치표, 전사 연결기준 에너지 집약도 산식, 에너지 절감 프로젝트 실적이 필요하다.</t>
    </r>
  </si>
  <si>
    <t>[현재 문제점] 공개된 에너지 집약도는 개선되고 있으나 전사 연결범위와 자체 계산 원단위가 일치하지 않는 점이다.
[개선방향] 가이드라인이 허용하는 대체 비교방식(온실가스·에너지 목표 대비, RE100 목표 대비, 벤치마킹 기업 대비)을 병행 공시해 단일 지표 변동 리스크를 보완한다. 
[필요 근거] 4개년 연속 원단위 데이터, 사업장별 utility 명세, 에너지 데이터 원장, 매출 경계 reconciliation과 연간 절감 프로젝트 효과 산정표필요</t>
  </si>
  <si>
    <t>원단위 에너지 사용량을 산정하고, 이에 대한 증감 현황을 점검·관리하고 있습니까?</t>
  </si>
  <si>
    <t>용수</t>
  </si>
  <si>
    <t>조직이 용수를 공급받는 취수원을 보호하고 있는지, 또는 사업장이 위치한 지역의 수자원 고갈 리스크에 대비하고 있는지를 간접적으로 점검할 수 있는 항목으로써, 조직이 사용하는 용수 총량(신규 취수량, 내부 재사용량)을 효율적으로 관리하고 있는지 확인 | 조직간 규모 차이(매출액, 생산량 등) 또는 각 조직의 사업 변동(구조조정, 인수합병 등)을 고려하여 상대적 비교가능성이 높은 ‘원단위’ 개념을 기반으로 용수 사용량을 점검</t>
  </si>
  <si>
    <t>‘조직별 홈페이지’ 上 지속가능경영보고서, ‘한국에너지공단 물정보포털(My Water)’ 上 GIS 수자원</t>
  </si>
  <si>
    <t>원단위 용수 사용량 = 총 용수 사용량 / 매출액(또는 생산량)</t>
  </si>
  <si>
    <t>1단계 |  지난 4개년 원단위 용수 사용량이 증가 추세 |  2단계 |  지난 4개년 원단위 용수 사용량이 변동 없음 |  3단계 |  지난 4개년 원단위 용수 사용량이 감소 추세 |  * 원단위 용수 사용량을 관리하고 있지 않은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</si>
  <si>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KSSB 제2호 직접 규정 없음(업종기반지표로만 요구 가능)</t>
  </si>
  <si>
    <t>GRI 303, CDSB 물 적용지침</t>
  </si>
  <si>
    <t>UN의 환경경제 통합계정(System of Integrated Environmental and Economic Accounting, SEEA, 1993)에 따른 ‘용수 사용량’은 다음과 같이 정의할 수 있다. - 용수 사용량 = 환경에서 유입한 취수량 + 조직 내 재사용량 + 다른 조직에서 전달받은 폐수량 * 취수에 해당하는 경우 : 공업용수 外 표층수, 지하수, 토양수, 강우포집, 해양취수  용수 사용량은 산업분류, 사업특성, 생산규모에 따라 영향을 받는다. 따라서 조직의 용수 사용량이 산업 내 어떠한 수준에 있는지 점검하는 방식에는 1) 조직이 취수받는 수원별 공급능력 대비, 2) 조직의 사업장이 위치한 지역별 수자원 부존량 대비, 3) 조직의 과거년도 사용량…</t>
  </si>
  <si>
    <t>[자동채점] | 근거충분성: 불충분 | 근거: [사업보고서] 300p. 당사는 온실가스, 에너지 관리업체 지정업체로 등록되었습니다. 외부기관에 의뢰하여 연 1회 온실가스 배출량 및 에너지 사용량을 측정하고 있으며, 각 분기별로는 당사 내부적으로 측정하고 있습니다.(16번째 줄) → 제시된 근거에는 온실가스와 에너지 사용량에 대한 측정 정보만 존재할 뿐, 용수 사용량에 대한 정량적 데이터가 전혀 포함되어 있지 않아 원단위 용수 사용량 추세를 확인할 수 없습니다. | 근거페이지: 사업보고서 13p, 25~28p, 151p, 228p, 258p, 265p, 269p, 282p, 292p, 300~301p, 307p / 지배구조보고서 3p, 8p</t>
  </si>
  <si>
    <r>
      <rPr>
        <rFont val="Noto Sans"/>
        <b/>
        <color theme="1"/>
        <sz val="9.0"/>
      </rPr>
      <t xml:space="preserve">직접 계산 / 증가 추세 / 1단계 / 0점
</t>
    </r>
    <r>
      <rPr>
        <rFont val="Noto Sans"/>
        <b/>
        <color rgb="FFFF0000"/>
        <sz val="9.0"/>
      </rPr>
      <t xml:space="preserve">
</t>
    </r>
    <r>
      <rPr>
        <rFont val="Noto Sans"/>
        <b/>
        <color theme="1"/>
        <sz val="9.0"/>
      </rPr>
      <t>[홈페이지 공개 자료] - 2023~2025</t>
    </r>
    <r>
      <rPr>
        <rFont val="Noto Sans"/>
        <color theme="1"/>
        <sz val="9.0"/>
      </rPr>
      <t xml:space="preserve">
</t>
    </r>
    <r>
      <rPr>
        <rFont val="Noto Sans"/>
        <color rgb="FF1155CC"/>
        <sz val="9.0"/>
        <u/>
      </rPr>
      <t>https://drive.google.com/file/d/1sbXOoqD2wtmpGBb11NVWCzH5u6ikdsu9/view?usp=drive_link</t>
    </r>
    <r>
      <rPr>
        <rFont val="Noto Sans"/>
        <color theme="1"/>
        <sz val="9.0"/>
      </rPr>
      <t xml:space="preserve">  
- 공개된 원단위 데이터가 없어 산식으로 계산.
- 총 용수 사용량 / 매출액
- 용수 사용량 (75,077m^3 -&gt; 98,031m^3 -&gt;  108.840m^3)
- 원단위 계산 결과 (48.3m^3 -&gt; 50.9m^3 -&gt; 62.1m^3)</t>
    </r>
  </si>
  <si>
    <t>[현재 문제점] 용수 사용 원단위와 절대 사용량이 동시에 상승한 점이다.
[개선방향] 원단위 데이터 공개, BTS 등 사용량 증가 사업장을 우선 대상으로 공정별 물수지를 작성하고 재이용·순환수 확대와 사업장별 연간 감축목표를 설정하는 것이다. 이드라인이 허용하는 대체 비교방식(취수원 공급능력 대비, 지역 수자원 부존량 대비, 과거 목표 대비, 자체 절감목표 대비, 벤치마킹 대비) 
[필요근거] 공정별 water balance, 계량기 데이터, 재이용수 실적, 투자 전후 절감량과 연도별 용수 집약도 관리표</t>
  </si>
  <si>
    <t>원단위 용수 사용량을 산정하고, 이에 대한 증감 현황을 점검·관리하고 있습니까?</t>
  </si>
  <si>
    <t>폐기물</t>
  </si>
  <si>
    <t>조직이 소유, 관리, 통제하는 물리적 경계(사업장 등) 내에서 사업 및 영업 활동(ex. 연구개발, 제품 생산/가공/포장 등 포함, 소비자가 사용 이후 폐기한 폐제품은 제외)에 따라 발생하는 폐기물을 저감하고 있는지 확인 | 조직간 규모 차이(매출액, 생산량 등) 또는 각 조직의 사업 변동(구조조정, 인수합병 등)을 고려하여 상대적 비교가능성 높은 ‘원단위’ 개념을 기반으로 폐기물 배출량을 점검</t>
  </si>
  <si>
    <t>‘조직별 홈페이지’ 上 지속가능경영보고서, ‘한국환경공단’&gt;자원순환정보시스템&gt;연도별 전국 폐기물 발생 및 처리현황</t>
  </si>
  <si>
    <t>원단위 폐기물 배출량 = 총 폐기물 배출량 / 매출액(또는 생산량)</t>
  </si>
  <si>
    <t>1단계 |  지난 4개년 원단위 폐기물 배출량이 증가 추세 |  2단계 |  지난 4개년 원단위 폐기물 배출량이 변동 없음 |  3단계 |  지난 4개년 원단위 폐기물 배출량이 감소 추세 |  * 원단위 폐기물 배출량을 관리하지 않고 있는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</si>
  <si>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GRI 306</t>
  </si>
  <si>
    <t>폐기물이란 쓰레기, 연소재, 오니, 폐유, 폐산, 폐알칼리 및 동물사체 등으로 사람의 생활이나 사업활동에 필요하지 않게 된 물질을 말하며, 조직에서 발생하는 폐기물의 종류는 ‘사업장배출시설계폐기물’, ‘사업장생활계폐기물’, ‘지정폐기물’, ‘건설폐기물’로 구분된다. - 조직이 배출하는 폐기물의 종류와 배출량은 ‘환경부-폐기물적법처리시스템(Allbaro)’, ‘환경부-환경정보 공개시스템’에서 확인 가능하다.  폐기물 배출량은 산업분류, 사업특성, 생산규모에 따라 영향을 받는다. 따라서 조직의 폐기물 배출량이 산업 내 어떠한 수준에 있는지 점검하는 방식에는 1) 업종별 총 폐기물 배출량 대비, 2) 조직의 사업장이 위치한 지역의 총 폐기물 배출량 대비, 3) 조직의…</t>
  </si>
  <si>
    <t>[자동채점] | 근거충분성: 불충분 | 근거: [사업보고서] 258p. 당사는 온실가스, 에너지 관리업체 지정업체로 등록되었습니다. 외부기관에 의뢰하여 연 1회 온실가스 배출량 및 에너지 사용량을 측정하고 있으며, 각 분기별로는 당사 내부적으로 측정하고 있습니다.(11번째 줄) → 제공된 근거에는 온실가스 및 에너지 사용량에 대한 정보만 존재할 뿐, 폐기물 배출량에 대한 정량적 데이터가 전혀 포함되어 있지 않아 원단위 폐기물 배출량 산정 및 추세 확인이 불가능합니다. | 근거페이지: 사업보고서 19p, 25~28p, 33p, 151p, 258p, 260p, 269p, 292p, 300~301p, 307p / 지배구조보고서 3p, 8~9p, 17p</t>
  </si>
  <si>
    <r>
      <rPr>
        <rFont val="Noto Sans"/>
        <b/>
        <color theme="1"/>
        <sz val="9.0"/>
      </rPr>
      <t>직접 계산 / 증가 추세 / 1단계 / 0점
[홈페이지 공개 자료] - 2023~2025</t>
    </r>
    <r>
      <rPr>
        <rFont val="Noto Sans"/>
        <color theme="1"/>
        <sz val="9.0"/>
      </rPr>
      <t xml:space="preserve">
</t>
    </r>
    <r>
      <rPr>
        <rFont val="Noto Sans"/>
        <color rgb="FF1155CC"/>
        <sz val="9.0"/>
        <u/>
      </rPr>
      <t>https://drive.google.com/file/d/1sbXOoqD2wtmpGBb11NVWCzH5u6ikdsu9/view?usp=drive_link</t>
    </r>
    <r>
      <rPr>
        <rFont val="Noto Sans"/>
        <color theme="1"/>
        <sz val="9.0"/>
      </rPr>
      <t xml:space="preserve"> 
- 공개된 원단위 데이터가 없어 산식으로 계산.
- 총 폐기물 배출량 / 매출액
- 폐기물 총 배출량 (2,351.3t -&gt; 2,331.7t -&gt; 2,740t)
- 원단위 계산 결과 (1.513t -&gt; 1.211t -&gt; 1.562t)</t>
    </r>
  </si>
  <si>
    <t>[현재문제점] 폐기물 배출량 증가추세이며 원단위 데이터가 없다.
[개선방향] 업종별/지역별 총량 대비, 과거 목표 대비, 자체 감축목표 대비, 벤치마킹 대비 중 하나를 도입해 '목표관리 중'으로 재평가받을 근거를 마련한다.  [필요 근거] 공식 폐기물 원단위 산출에 사용한 매출액 분모, 사업장 범위, 지정·일반폐기물 원장, 처리방법별 실적, 폐기물 발생량과 생산량의 연결표가 필요하다.</t>
  </si>
  <si>
    <t>원단위 폐기물 배출량을 산정하고, 이에 대한 증감 현황을 점검·관리하고 있습니까?</t>
  </si>
  <si>
    <t>오염물질</t>
  </si>
  <si>
    <t>조직이 소유, 관리, 통제하는 물리적 경계(사업장 등) 내에서 발생하는 대기오염물질을 지속적으로 저감하는 등 대기환경 개선을 위한 노력을 이행하고 있는지 확인 | ｢대기환경보전법｣ 上 64개 대기오염물질 중 대다수를 구성하는 질소산화물, 황산화물, 미세먼지 배출농도를 기간별 비교하는 방식으로 점검</t>
  </si>
  <si>
    <t>‘조직별 홈페이지’ 上 지속가능경영보고서, ‘한국환경공단-에어코리아’ 上 실시간 자료조회</t>
  </si>
  <si>
    <t>대기오염물질 배출 = 질소산화물, 황산화물, 미세먼지의 배출농도(PPM, mg/㎥)</t>
  </si>
  <si>
    <t>1단계 |  지난 4개년 대기오염물질 평균 배출농도가 증가 추세 |  2단계 |  지난 4개년 대기오염물질 평균 배출농도가 변동 없음 |  3단계 |  지난 4개년 대기오염물질 평균 배출농도가 감소 추세 |  * 대기오염물질 평균 배출농도를 관리하지 않고 있는 경우 0점 적용 |  * 국내 및 해외 모든 사업장의 대기오염물질 배출농도가 ‘0’인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</si>
  <si>
    <t>KSSB 제2호 직접 규정 없음</t>
  </si>
  <si>
    <t>GRI 305-7</t>
  </si>
  <si>
    <t>전체(종합)</t>
  </si>
  <si>
    <t>해당 항목에서 정의한 대기오염물질인 질소산화물(NOx), 황산화물(SOx), 먼지(TSP)는 환경부의 ‘사업장 대기오염물질 총량관리제도’에서 규정한 ‘관리대상 오염물질’이다. ‘사업장 대기오염물질 총량관리제도’는 사업장에 연도별로 배출허용총량을 할당하고, 이를 준수하는 사업장은 잔여 할당량을 판매할 수 있고, 이를 초과하는 사업장은 총량초과과징금을 부과한다.  대기오염물질 배출농도 및 가스유량은 ｢환경분야 시험·검사 등에 관한 법률｣ 제6조제1항에 따라 환경부장관이 정하여 고시한 환경오염공정시험기준(또는 이에 준하는 국가별 관계법령)에 따라 측정한다. ｢대기환경보전법｣에 따른 대기오염물질 방지시설 설치 면제사업장의 경우, 동법 시행규칙 별지 제7호 서식에 따라…</t>
  </si>
  <si>
    <t>[자동채점] | 근거충분성: 불충분 | 근거: [사업보고서] 300p. 당사는 온실가스, 에너지 관리업체 지정업체로 등록되었습니다. 외부기관에 의뢰하여 연 1회 온실가스 배출량 및 에너지 사용량을 측정하고 있으며, 각 분기별로는 당사 내부적으로 측정하고 있습니다.(16번째 줄) → 제시된 근거에는 온실가스와 에너지 사용량에 대한 관리 내용은 있으나, 대기오염물질(질소산화물, 황산화물, 미세먼지) 배출량에 대한 정량적 데이터가 존재하지 않아 관리 여부를 확인할 수 없으므로 0점(1단계)을 적용합니다. | 근거페이지: 사업보고서 13p, 25~26p, 28p, 258p, 267p, 269p, 300~301p / 지배구조보고서 3p, 7~8p, 17p, 29p, 43p</t>
  </si>
  <si>
    <r>
      <rPr>
        <rFont val="Noto Sans"/>
        <b/>
        <color rgb="FFFF0000"/>
        <sz val="9.0"/>
      </rPr>
      <t xml:space="preserve">채점 불가
</t>
    </r>
    <r>
      <rPr>
        <rFont val="Noto Sans"/>
        <b/>
        <color theme="1"/>
        <sz val="9.0"/>
      </rPr>
      <t>[홈페이지 공개 자료] - 2023~2025</t>
    </r>
    <r>
      <rPr>
        <rFont val="Noto Sans"/>
        <color theme="1"/>
        <sz val="9.0"/>
      </rPr>
      <t xml:space="preserve">
</t>
    </r>
    <r>
      <rPr>
        <rFont val="Noto Sans"/>
        <color rgb="FF1155CC"/>
        <sz val="9.0"/>
        <u/>
      </rPr>
      <t>https://drive.google.com/file/d/1sbXOoqD2wtmpGBb11NVWCzH5u6ikdsu9/view?usp=drive_link</t>
    </r>
    <r>
      <rPr>
        <rFont val="Noto Sans"/>
        <color theme="1"/>
        <sz val="9.0"/>
      </rPr>
      <t xml:space="preserve"> 
- </t>
    </r>
    <r>
      <rPr>
        <rFont val="Noto Sans"/>
        <b/>
        <color theme="1"/>
        <sz val="9.0"/>
      </rPr>
      <t xml:space="preserve">폐기물 총 배출량(kg)은 나와있으나, 배출농도(PPM, mg/㎥)는 없음.
</t>
    </r>
    <r>
      <rPr>
        <rFont val="Noto Sans"/>
        <color theme="1"/>
        <sz val="9.0"/>
      </rPr>
      <t>- 배출량으로 본다면 증가 추세 (7,143.6kg -&gt; 12,631.2kg -&gt; 11,793.8kg)
[판단근거] K14와 O14는 NOx·SOx·먼지 등의 평균 배출농도(ppm 또는 mg/㎥) 추세를 요구하며, 평균농도를 관리하지 않는 경우 0점으로 처리하도록 되어 있다.
[확인근거] AA14는 대기오염물질 총량만 7,143.6→12,631.2→11,793.8kg으로 확인되고 농도자료는 없다고 기록한다. 회사 공식 공시 역시 NOx·SO₂·먼지·VOCs를 kg 단위의 배출량과 kg/십억원 집약도로 제시할 뿐 K-ESG가 요구하는 평균 농도는 공개하지 않는다.
[감점사유] kg 배출량과 배출농도는 서로 다른 지표이므로 총량 감소·증가를 농도 추세로 대체할 수 없다. 다만 "공시가 없다"는 것이 곧 "사업장에서 측정하지 않는다"는 의미는 아니므로, 내부 측정자료가 확보되면 점수는 달라질 수 있다. 또한 AA14의 "폐기물 총 배출량"이라는 표현은 "대기오염물질 총 배출량"으로 수정해야 한다.</t>
    </r>
  </si>
  <si>
    <t>[현재 문제점] 대기오염 총량은 공개하지만 K-ESG 채점에 필요한 배출농도 시계열이 없다는 점이다.
[개선방향] 필요근거에 해당되는 자료 측정 및 공개 필요
[필요근거] 사업장·배출구별 NOx, SOx, 먼지 평균농도 원자료, 법정 자가측정 기록, 측정주기와 측정기관, 배출허용기준 대비 실적, 3개년 평균농도 집계표가 필요</t>
  </si>
  <si>
    <t>질소산화물(NOx), 황산화물(SOx), 미세먼지(PM2.5) 등 주요 대기오염물질의 평균 배출농도를 측정하고, 이에 대한 증감 현황을 점검·관리하고 있습니까?</t>
  </si>
  <si>
    <t>조직이 소유, 관리, 통제하는 물리적 경계(사업장 등) 내에서 최종 발생하는 수질오염물질을 저감하는 등 수자원 보호를 위한 노력을 이행하고 있는지 확인 | ｢물환경보전법｣ 上 수질오염물질을 대표하는 생물화학적 산소요구량(BOD), 총 유기탄소량(TOC), 부유물질량(SS)의 배출 농도를 기간별 비교하는 방식으로 점검</t>
  </si>
  <si>
    <t>‘조직별 홈페이지’ 上 지속가능경영보고서, ‘환경부-물환경정보시스템’ 上 수질측정망</t>
  </si>
  <si>
    <t>수질오염물질 배출 = 생물화학적 산소요구량, 총 유기탄소량, 부유물질량의 배출농도(PPM, mg/l)</t>
  </si>
  <si>
    <t>1단계 |  지난 4개년 수질오염물질 평균 배출농도가 증가 추세 |  2단계 |  지난 4개년 수질오염물질 평균 배출농도가 변동 없음 |  3단계 |  지난 4개년 수질오염물질 평균 배출농도가 감소 추세 |  * 수질오염물질 평균 배출농도를 관리하지 않고 있는 경우 0점 적용 |  * 국내 및 해외 모든 사업장의 수질오염물질 배출농도가 ‘0’인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</si>
  <si>
    <t>GRI 303-4</t>
  </si>
  <si>
    <t>3. 적용구분별 항목 수 (기본/추가/업종특화)</t>
  </si>
  <si>
    <t>해당 지표에서 정의한 수질오염물질인 생물화학적 산소요구량(BOD), 총 유기탄소량(TOC), 부유물질량(SS)은 ｢물환경보전법 시행규칙｣ 별표13 上 ‘수질오염물질의 배출허용기준’ 항목이다.  수질오염물질 배출농도는 ｢환경분야 시험·검사 등에 관한 법률｣ 제6조제1항에 따라 환경부장관이 정하여 고시한 환경오염공정시험기준(또는 이에 준하는 국가별 관계법령)에 따라 측정한다.  ｢물환경보전법｣ 제35조에 따른 수질오염물질 방지시설 면제사업장에 해당하는 경우 수질오염물질 배출 성과를 점검하지 아니할 수 있다.  조직의 수질오염물질 배출 수준을 점검하는 방식에는 1) 폐수를 방류하거나, 폐수처리시설과 관련된 수계의 평균 오염농도 대비, 2) 조직의 과거년도 배출농도를…</t>
  </si>
  <si>
    <t>[자동채점] | 근거충분성: 불충분 | 근거: [사업보고서] 300p. 당사는 온실가스, 에너지 관리업체 지정업체로 등록되었습니다. 외부기관에 의뢰하여 연 1회 온실가스 배출량 및 에너지 사용량을 측정하고 있으며, 각 분기별로는 당사 내부적으로 측정하고 있습니다.(16번째 줄) → 제시된 근거에는 온실가스 및 에너지 사용량에 대한 측정 정보만 있을 뿐, 수질오염물질(BOD, TOC, SS) 배출량에 대한 정량적 데이터가 존재하지 않아 관리하지 않는 것으로 간주하여 1단계(0점)를 적용합니다. | 근거페이지: 사업보고서 25~26p, 129~130p, 149p, 224p, 265p, 269p, 278p, 281p, 300~301p / 지배구조보고서 8p, 10p, 38p</t>
  </si>
  <si>
    <t>평균점수</t>
  </si>
  <si>
    <r>
      <rPr>
        <rFont val="Noto Sans"/>
        <b/>
        <color rgb="FFFF0000"/>
        <sz val="9.0"/>
      </rPr>
      <t xml:space="preserve">채점 불가
</t>
    </r>
    <r>
      <rPr>
        <rFont val="Noto Sans"/>
        <b/>
        <color theme="1"/>
        <sz val="9.0"/>
      </rPr>
      <t>[홈페이지 공개 자료] - 2023~2025</t>
    </r>
    <r>
      <rPr>
        <rFont val="Noto Sans"/>
        <color theme="1"/>
        <sz val="9.0"/>
      </rPr>
      <t xml:space="preserve">
</t>
    </r>
    <r>
      <rPr>
        <rFont val="Noto Sans"/>
        <color rgb="FF1155CC"/>
        <sz val="9.0"/>
        <u/>
      </rPr>
      <t>https://drive.google.com/file/d/1sbXOoqD2wtmpGBb11NVWCzH5u6ikdsu9/view?usp=drive_link</t>
    </r>
    <r>
      <rPr>
        <rFont val="Noto Sans"/>
        <color theme="1"/>
        <sz val="9.0"/>
      </rPr>
      <t xml:space="preserve"> 
- 자체 수질 정화 및 외부분석기관의뢰 수질환경측정 (분기 별 1회)
- 폐수누출훈련 하지만, 배출관련 정량 데이터 X
-&gt; 그러나 배출농도 관련 정량 데이터 없음.
-&gt; K-ESG는 배출농도(BOD, TOC,SS)요구, 보고서 명시 X
[판단근거] K15와 O15는 BOD·TOC·SS 등 수질오염물질의 평균 배출농도(ppm 또는 mg/L) 추세를 요구한다.
[확인근거] AA15에는 "자체 수질 정화 및 외부분석기관의뢰 수질환경측정 1회/분기"와 폐수 누출 훈련은 확인되지만 BOD·TOC·SS의 정량 배출농도는 찾지 못했다고 적혀 있다. 회사 공식 ESG 페이지도 분기별 외부분석기관 수질환경측정과 폐수누출훈련을 설명하지만 공개된 정량 수자원 표는 취수·방류·사용량 중심으로 구성돼 있다.
[감점사유] 수질 측정을 실시한다는 사실은 오히려 내부 농도자료가 존재할 가능성을 보여주지만, 현재 Excel에는 그 값이 없어 추세를 계산할 수 없다. 따라서 회사가 실제로 농도를 관리하지 않는다고 단정하기보다는 증빙 미제출에 따른 잠정 0점으로 표현하는 것이 정확하다.</t>
    </r>
  </si>
  <si>
    <t>[현재 문제점] 정기 수질검사는 시행하지만 배출농도 관련 BOD·TOC·SS 정량 데이터가 없음.
[개선방향] 기존 시험성적서를 데이터화하고 사업장별 배출농도와 법정기준 대비 수준을 연간 KPI로 관리하는 것이다. 분기별 수질 시험성적서, BOD·TOC·SS 원자료, 사업장별 폐수 배출구 목록, 법정 기준, 연간 평균농도와 3개년 추세표가 필요하다.
[필요근거] 외부분석기관 시험성적서, 폐수배출시설 관리대장, 오염물질별 연평균 산정표와 법정기준 대비표이다.</t>
  </si>
  <si>
    <t>최종 배출한 폐수 내 생물화학적 산소요구량(BOD), 총 유기탄소량(TOC), 부유물질량(SS)의 평균 배출 농도가 저감 추세입니까?</t>
  </si>
  <si>
    <t>E-8-1</t>
  </si>
  <si>
    <t>환경 법/규제 위반</t>
  </si>
  <si>
    <t>조직이 사업을 운영하는 과정에서 준수해야 할 환경 관리 법/규제를 명확하게 인식하고, 환경 법/규제 리스크 해결을 위한 투자 및 개선활동이 효과적인지 확인 | 환경 관련 법/규제 위반 사건 중 조직의 재무구조 및 평판 관리에 상당한 영향력을 미치는 사법상 형벌, 행정상 처분(금전적, 비금전적)에 대해 가중치를 달리 적용하는 방식으로 ‘환경 법/규제 위반’을 점검</t>
  </si>
  <si>
    <t>‘전자공시시스템’ 上 사업보고서, ‘조직별 홈페이지’ 上 지속가능경영보고서</t>
  </si>
  <si>
    <t>∑(환경 법/규제 위반 건 * 처벌수위별 감점 기준)</t>
  </si>
  <si>
    <t>감점형</t>
  </si>
  <si>
    <t>감점형 (기본 100점에서 위반유형별 감점 차감, 최저 0점 제한) | 세부 배점 기준: 유형 1= -50점 / 유형 2 = -30점 / 유형 3 = -10점</t>
  </si>
  <si>
    <t>유형 1 |  지난 4개년 간 환경 법/규제 위반내역 중 판결이 확정된 건수에 대해, 처벌수위가 사법상 형벌, 벌금, 과료인 경우, 또는 국가나 지방자치단체를 당사자로 하는 계약에서 입찰참가자격을 제한당한 경우 |  유형 2 |  지난 4개년 간 환경 법/규제 위반내역 중 판결이 확정된 건수에 대해, 처벌수위가 행정상 처분 중 금전적 처분에 해당하는 과태료, 과징금, 이행강제금 등인 경우 |  유형 3 |  지난 4개년 간 환경 법/규제 위반내역 중 판결이 확정된 건수에 대해, 처벌수위가 행정상 처분 중 비금전적 처분에 해당하는 시정 명령, 시정권고, 경고 등인 경우 |  * 감점 사항이 없을 경우, 감점 없음 |  * 단, 처벌 및 조치내역의 발생횟수에 따른 감점 시 환경 분야의 총 평가 최저점은 0점으로 하한선 설정</t>
  </si>
  <si>
    <t>KSSB 제1호 문단 위험관리 원칙 준용</t>
  </si>
  <si>
    <t>GRI 2-27(Compliance)</t>
  </si>
  <si>
    <t>해당없음(감점형)</t>
  </si>
  <si>
    <t>추가진단항목(v2.0)</t>
  </si>
  <si>
    <t>환경 법/규제 위반행위란 오염물질 불법배출의 가중처벌, 환경보호지역 오염행위 등의 가중처벌, 과실범, 멸종위기 야생생물의 포획 등의 가중처벌, 폐기물 불법처리의 가중처벌, 누범의 가중, 명령 불이행자에 대한 처벌의 규정에 해당하는 행위나 ｢대기환경보전법｣ 비산먼지 발생을 억제하기 위한 시설 설치 혹은 조치를 하지 않은 경우, ｢화학물질 등록 및 평가 등에 관한 법률｣ 또는 ｢화학물질관리법｣ 유해화학물질을 부적절하게 관리한 경우, ｢폐기물관리법｣ 생활폐기물을 불법 처리하는 행위 등으로써 ｢환경범죄 등의 단속 및 가중처벌에 관한 법률｣ 제3조에서 제14조를 통해 처벌수위를 규정하고 있다. - 제3조 : 오염물질 불법배출의 가중처벌 - 제4조 : 환경보호지역 오염행위 등의…</t>
  </si>
  <si>
    <t>[자동채점] | 근거충분성: 충분 | 근거: 위반사항 없음 | 근거페이지: 사업보고서 14~32p, 94p, 110p, 163p, 251p, 254~255p, 259p, 275p, 293p, 300~301p / 지배구조보고서 6~25p, 45p</t>
  </si>
  <si>
    <r>
      <rPr>
        <rFont val="Noto Sans"/>
        <b/>
        <color rgb="FF000000"/>
        <sz val="9.0"/>
      </rPr>
      <t xml:space="preserve">부분 / 감점없음 / 100점
</t>
    </r>
    <r>
      <rPr>
        <rFont val="Noto Sans"/>
        <b val="0"/>
        <color rgb="FF000000"/>
        <sz val="9.0"/>
      </rPr>
      <t>[판단근거] O16은 사법상 처벌·벌금·입찰제한, 금전적 행정처분, 비금전적 시정명령·경고 등을 유형별 감점하고 위반이 없으면 100점을 부여한다.
[확인근거] Excel의 U16, V16, W16은 모두 0으로 기재돼 있고 AA16도 "사업보고서 기준 환경 제재 없음", "환경 관련 오염 행위, 불법 배출은 확인되지 않음"으로 정리한다. 따라서 Excel 내부 근거만으로는 감점할 사유가 없다.
[감점사유] 기사에서 "납 검출" 등의 환경 우려가 언급됐다는 사실만으로는 K-ESG가 요구하는 확정된 사법·행정처분으로 간주할 수 없으므로 점수를 임의로 감점하면 안 된다. 다만 평가기간 동안 모든 국내외 사업장과 연결법인을 대상으로 한 환경 제재 조회표가 Excel에 첨부된 것은 아니므로 "완전 무위반"에 대한 방어근거는 보강할 필요가 있다. 회사 공식 EHS 정책은 국내외 환경법규·협약 준수 및 엄격한 내부기준 수립 방침을 공개하지만, 정책 자체가 무위반 실적을 증명하지는 않는다.</t>
    </r>
  </si>
  <si>
    <t>[현재 문제점] 무위반으로 판단할 수는 있으나 이를 전 사업장·전 연결법인 기준으로 입증하는 중앙관리대장이 부족한 점이다.
[개선방향] 법인·사업장별 환경법규 준수와 처분내역을 분기 단위로 취합하는 환경 compliance register를 운영하는 것이다. 최근 평가기간의 국내외 사업장별 환경 행정처분 조회표, 과태료·과징금·시정명령 현황, 환경법규 준수 평가 결과, 사건 발생 시 시정·재발방지 완료자료가 필요하다.
[필요근거] 규제기관 처분통지서, 자체 법규준수평가표, 사업장 확인서, 시정조치 종결보고서이다.</t>
  </si>
  <si>
    <t>최근 환경 관련 법·규제 위반으로 인해 사법상 처벌, 입찰참가자격 제한, 또는 행정상 금전적·비금전적 처분이 확정된 내역이 있습니까?</t>
  </si>
  <si>
    <t>단계(1~3)/감점형</t>
  </si>
  <si>
    <t>기후변화대응</t>
  </si>
  <si>
    <t>조직 내 기후변화 이슈에 체계적이고 효과적으로 대응할 수 있는 관리·감독(기구) 구축 여부 점검 | 조직 내 기후변화 대응 목표가 핵심성과지표(KPIs)에 반영되어 있는지 점검하고, 이를 통해 인센티브를 제공하고 있는지 확인</t>
  </si>
  <si>
    <t>‘조직별 홈페이지’ 上 지속가능성보고서, TCFD 보고서, 기후변화 대응계획, 이사회 또는 ESG위원회(지속가능경영위원회) 조직도 및 회의록</t>
  </si>
  <si>
    <t>직전 회계연도 기준</t>
  </si>
  <si>
    <t>1단계 |  기후변화 문제에 대응할 수 있는 담당자(혹은 기구)가 없음 |  2단계 |  기후변화 문제에 대응하기 위한 관리자(혹은 담당부서)가 있으며, 담당부서의 KPIs에 조직의 기후변화 대응 목표가 반영되어 있음 |  3단계 |  기후변화 문제에 대응하기 위한 관리직(C-level) 혹은 위원회가 있으며, 관리직의 KPIs에 조직의 기후변화 대응 목표가 반영되어 있음 (예 : 기후/지속가능성/ESG 최고 책임자, 리스크 관리 최고 책임자(CEO 제외) 등) |  4단계 |  3단계 + 기후 관련 문제를 이사회 차원의 위원회에서 관리·감독하고 있으며, 이사회 안건으로 상정하고 있음 (예 : 기후/지속가능성/ESG 위원회, 리스크 관리 위원회 등) |  5단계 |  4단계 + 조직 구성원에게 기후변화 대응 목표 KPIs 달성도에 따라 인센티브를 제공하고 있음</t>
  </si>
  <si>
    <t>KSSB 제2호 문단 6(1),(2) — 기후 거버넌스</t>
  </si>
  <si>
    <t>TCFD, GRI 2-9</t>
  </si>
  <si>
    <t>업종특화(반도체 v1.0)</t>
  </si>
  <si>
    <t>TCFD(Task Force on Climate-related Financial Disclosures)는 조직이 자사가 직면한 기후변화 관련 위험과 기회를 평가해야 하며 이로 인해 발생할 수 있는 기업의 재무적 영향과 비용, 미래의 기회 등을 평가하는 것을 권고하고 있다.  조직은 기후변화에 대응할 수 있도록 명확한 목표를 설정하고, 이에 대한 중장기적 계획을 수립하며 이를 지속적으로 책임질 수 있는 담당자(혹은 기구)를 지정해야 한다. 기후변화 위기 대응 거버넌스를 구축하여 보다 체계적이고 효과적으로 관련 활동 및 성과를 관리해야 한다.  기후변화 대응을 위한 조직 활동으로는 온실가스 감축, 재생에너지 확대, 산림보호, 폐기물 관리, 관련 교육 등이 있으며, 위…</t>
  </si>
  <si>
    <t>[자동채점] | 근거충분성: 충분 | 근거: ⚠️[출처 미확정, 검색 1위 후보로 대체] [사업보고서] 301p. 당사는 이사회 내 별도의 위원회를 설치하고 있지 않습니다.(줄 위치 특정 실패) → 기후변화 대응을 위한 전담 기구, 관리자, KPI 반영 및 인센티브 체계에 대한 근거가 확인되지 않으며, 이사회 내 ESG 위원회 또한 설치되어 있지 않아 1단계에 해당함. | 근거페이지: 사업보고서 269p, 301p / 지배구조보고서 3p, 15p, 17~19p, 32p, 35~39p, 44p</t>
  </si>
  <si>
    <r>
      <rPr>
        <rFont val="Noto Sans"/>
        <b/>
        <color theme="1"/>
        <sz val="9.0"/>
      </rPr>
      <t xml:space="preserve">부분 / 1단계 / 0점
</t>
    </r>
    <r>
      <rPr>
        <rFont val="Noto Sans"/>
        <color theme="1"/>
        <sz val="9.0"/>
      </rPr>
      <t xml:space="preserve">
[판단근거] O17의 2단계는 담당자·담당부서가 존재하는 것만으로 끝나지 않고 해당 조직의 KPI에 기후변화 목표가 포함되어야 한다. 3단계는 C-level 또는 경영위원회와 경영진 KPI, 4단계는 이사회 차원의 관리·감독과 안건, 5단계는 KPI와 인센티브 연동까지 요구한다.
[확인근거] AA17은 스스로 "전담부서, 경영진 보고체계는 확인되나 KPI 반영, 이사회 차원 관리/감독, 인센티브 연동 근거 없음"이라고 적고 있다. 이 서술대로라면 2단계의 필수 KPI 요건을 충족하지 못하므로 "2단계 충족" 문구는 논리적으로 맞지 않는다.
[감점사유] 환경담당조직 또는 경영진 보고가 존재한다는 운영사실과 K-ESG 단계 충족은 구분해야 한다. 기후 KPI를 업무평가에 포함했다는 증빙이 없고, 이사회가 기후리스크·온실가스 목표를 정기 감독한다는 회의체 근거와 보상 연계도 확인되지 않는다.</t>
    </r>
  </si>
  <si>
    <t>[현재 문제점] 기후업무 수행조직은 존재할 가능성이 높지만 KPI·이사회 감독·보상체계로 이어지는 책임구조가 입증되지 않는 점이다.
[개선방향] 환경담당부서 KPI에서 시작해 C-level KPI, 이사회 기후안건, 성과보상까지 단계적으로 연결하는 기후 거버넌스를 구축하는 것이다. 3단계 도달을 위해 기후 대응을 총괄하는 C-level(CSO) 또는 전담 위원회를 지정하고 KPI를 반영한다. -&gt; 후 책임자 지정문서, 환경부서 KPI, CEO/C-level KPI, 이사회 또는 ESG위원회 운영규정, 기후 안건 회의록, 경영진 보상 KPI 연계표가 필요
[필요근거] 조직별 KPI 정의서, 이사회 운영규정, 기후안건 회의록, 경영진 평가표와 인센티브 산정자료이다.</t>
  </si>
  <si>
    <t>조직 내 기후변화 이슈를 총괄 관리·감독하는 기구가 설치되어 있으며, 대응 목표가 임직원 KPI 및 인센티브(보상) 체계에 연동되어 운영되고 있습니까?</t>
  </si>
  <si>
    <t>E-10-5</t>
  </si>
  <si>
    <t>4. 참고</t>
  </si>
  <si>
    <t>온실가스 배출량 감축 선언</t>
  </si>
  <si>
    <t>국가온실가스감축목표(NDC)에 따른 국내 2030년 온실가스 감축 목표(2018년 수준 대비 40% 감축)를 고려하여, 조직이 온실가스 배출량 감축 목표를 설정하고 있는지 여부 확인</t>
  </si>
  <si>
    <t>평균점수는 각 영역 내 모든 항목에 동일 가중치(1/N)를 부여한 단순평균이며, 복합가중형 항목은 수동입력된 값만 반영됩니다.</t>
  </si>
  <si>
    <t>‘조직별 홈페이지’ 上 지속가능경영보고서, TCFD 보고서, CDP 보고서, Net-zero선언문, 기타 기후관련 이니셔티브 가입 선언 등</t>
  </si>
  <si>
    <t>(구분1 + 구분2) * 1/2</t>
  </si>
  <si>
    <t>조직의 ESG 전략에 따라 항목별 가중치를 달리 적용하려면 K-ESG v2.0 원문(38p "가중치 결정" 절) 방식을 참고해 별도 가중평균표를 구성하세요.</t>
  </si>
  <si>
    <t>복합가중형</t>
  </si>
  <si>
    <t>복합가중형: 2개 세부요소의 균등가중평균 (1/2 + 1/2) — 최종 점수 = (구분1 점수 + 구분2 점수) × 1/2 | 세부 배점 기준 (구분별): 1개 이하 충족=0점 / 2개 이하 충족=25점 / 3개 이하 충족=50점 / 4개 이하 충족=75점 / 5개 이하 충족=100점 |*각 구분(구분1, 구분2)의 항목 충족 개수 확인 후 상세 배점표 참조하여 수동 산정</t>
  </si>
  <si>
    <t>구분1(1/2) | 구분2(1/2)
요건1 | 조직이 온실가스 배출 감축 선언(Commitment)을 하고 이를 공개하는 경우 | 조직이 사업장 내에서 배출하는 온실가스 배출량에 대해 파악하고 있는 경우
요건2 | 조직이 온실가스 배출량 감축을 위한 기준연도와 목표연도, 감축 범위를 설정한 경우 | 조직이 공급망에서 배출하는 온실가스 배출량을 관리하고 있는 경우
요건3 | 조직이 온실가스 배출량 감축을 위해 중간목표를 포함한 중장기 로드맵을 가지고 있는 경우 | Scope1, 2 영역의 구체적인 온실가스 감축 프로그램을 이행하는 경우
요건4 | 조직이 온실가스 배출량 감축을 위한 구체적인 감축 계획을 수립한 경우 | Scope3 영역을 포함한 구체적인 온실가스 감축 프로그램을 이행하는 경우
요건5 | 조직의 온실가스 감축 목표를 SBTi 등 과학적 기반으로 검증받고 있는 경우 | 탄소제거 인증 프레임워크에 따라 인증된 탄소배출 상쇄(Carbon offset) 계획을 수립한 경우
※ 온실가스 배출 감축선언을 하지 않은 경우, 사업장 내 온실가스 배출량을 관리하지 않는 경우 0점 처리</t>
  </si>
  <si>
    <t>KSSB 제2호 문단 33~36 — 감축목표·SBTi 정합</t>
  </si>
  <si>
    <t>GRI 305-5, SBTi</t>
  </si>
  <si>
    <t>해당없음(복합가중형)</t>
  </si>
  <si>
    <t>본 항목은 조직이 온실가스 배출량 감축 목표 설정 및 이를 공약하는지 여부와 이를 달성하기 위해 어떤 활동을 하고 있는지를 점검한다.  파리 협약에 따라 조직은 산업화 이전 수준보다 지구 온도 상승을 1.5°C로 제한한다는 목표에 맞게 비즈니스 활동 조정 등 온실가스 배출 감축을 위한 노력을 다해야 한다.  조직의 온실가스 배출 감소 전략은 사업장 내, 혹은 공급망에 이르기까지, Scope1,2 및 Scope3를 관리 할 수 있으며, 탄소 배출량 ‘0’ 또는 1.5°C 조정 경로에서 순배출량 ‘0’에 도달하는 것과 일치하는 수준으로 달성 목표를 설정하여야 한다.  조직의 온실가스 배출량 감축 목표연도는 파리협약에 따른 2050년 혹은 그 이전으로 설정해야 하며,…</t>
  </si>
  <si>
    <t>[자동채점] | 근거충분성: 충분 | 근거: [구분1 0/5개→0점] [구분2 1/5개→0점] 평균 0.0점 | 근거페이지: 사업보고서 13p, 300~301p / 지배구조보고서 3p, 8~9p, 17p, 29p, 32p, 43~45p | [AI검토필요] 복합가중형(정밀계산) - 표본검증 권장</t>
  </si>
  <si>
    <r>
      <rPr>
        <rFont val="Noto Sans"/>
        <b/>
        <color theme="1"/>
        <sz val="9.0"/>
      </rPr>
      <t xml:space="preserve">부분 / 12.5점 / 요건 1 충족, 요건 2 부분충족
</t>
    </r>
    <r>
      <rPr>
        <rFont val="Noto Sans"/>
        <color theme="1"/>
        <sz val="9.0"/>
      </rPr>
      <t>[판단근거] O18은 두 개의 5개 요건군을 각각 채점한 뒤 평균하는 복합가중형이다. 구분 1에서는 공개적 감축선언은 명확히 인정된다.
[확인근거] AA18은 "NDC 기준으로 2030년까지 탄소배출량 35% 절감, 2050년까지 Net Zero"를 명시하고 있고 회사 공식 EHS 페이지도 동일 목표를 공개한다. 그러나 기준연도, 정확한 감축 경계, 세부 로드맵, 과학기반 목표 검증은 확인되지 않아 구분 1은 1개 요건·0점이 방어적이다. 구분 2에서는 Scope 1·2 배출량 관리가 확인되고, Excel AA8에 고효율설비 설치와 에너지 사용 관리 등 Scope 1·2 감축에 연결되는 실행활동이 기재되어 있어 이를 "구체적 Scope 1·2 프로그램"으로 인정하면 2개 요건·25점이 가능하다. 두 구분 평균은 (0+25)/2=12.5점이다.
[감점사유] 두 번째 요건군의 고효율설비를 명시적인 "온실가스 감축 프로그램"으로 인정하지 않는 평가자는 구분 2도 1개 요건으로 판단할 수 있어 최종점수가 0점까지 내려갈 해석 위험이 있다. 또한 공식 공시된 Scope 3는 지속적인 공급망 배출관리 체계로 보기 어려우며, SBTi 검증과 상쇄계획도 확인되지 않는다. 공식 ESG 페이지는 2023년 Scope 3 Category 1 데이터를 공개했지만 2024·2025년 값은 0으로 기재하고 있어 연속적인 Scope 3 관리 증거로 활용하기에는 한계가 있다.</t>
    </r>
  </si>
  <si>
    <t>[현재 문제점] 2030·2050 감축선언은 있으나 기준연도·감축경계·연차별 경로·Scope 3 계획이 하나의 로드맵으로 연결되지 않은 점이다.
[개선방향] 2030년 35% 목표를 기준연도 절대배출량으로 환산하고 Scope별·사업장별 감축과제와 연간 마일스톤을 설정하는 것이다. -&gt; 기준연도, 조직·운영경계, 2030·2050 목표의 절대배출량, 2026~2030 연차별 경로, Scope 1·2 프로젝트별 감축량, Scope 3 카테고리별 인벤토리, SBTi 또는 이에 준하는 목표 검증자료가 필요
[필요근거] 탄소중립 로드맵, Scope별 인벤토리, 감축 프로젝트 business case, 연간 감축실적 보고서와 외부 검증자료이다.</t>
  </si>
  <si>
    <t>국가 2030 NDC(2018년 대비 40% 감축) 수준을 고려하여 온실가스 감축 선언을 대내외에 공개하고, Scope 1·2를 포함한 배출량 파악·관리, 중간목표 기반 중장기 로드맵, 구체적 감축 프로그램(SBTi 등 외부 검증 및 탄소상쇄 포함)을 수립 및 이행하고 있습니까?</t>
  </si>
  <si>
    <t>단계(1~5)/복합가중형</t>
  </si>
  <si>
    <t>이사회 구성</t>
  </si>
  <si>
    <t>이사회 내 ESG 안건 상정</t>
  </si>
  <si>
    <t>조직의 최고의사결정기구인 이사회 또는 산하 위원회가 ESG 관련 안건을 보고받고 있으며, 특히 중대한 ESG 안건에 대해서는 심의/의결하고 있는지 확인 | 이사회 또는 산하 위원회를 통해 조직의 ESG 경영이 효율적으로 관리 및 감독되고 있는지 점검하기 위해 1) 활동내역, 2) 운영 규정의 2가지를 점검 | 조직은 ESG 안건을 다루기 위해 이사회 산하에 ‘지속가능경영위원회(ESG위원회)’를 설립할 수 있으나, 이사회, 또는 기존의 산하 위원회(사회책임위원회, 투명경영위원회, 거버넌스위원회, 경영위원회, 감사위원회 등)를 통해서도 ESG 안건을 다룰 수 있음</t>
  </si>
  <si>
    <t>이사회 또는 산하 위원회 개최 내역, 이사회 또는 산하 위원회 운영규정</t>
  </si>
  <si>
    <t>복합가중형: 2개 세부요소의 균등가중평균 (1/2 + 1/2) — 최종 점수 = (영역1 점수 + 영역2 점수) × 1/2 | 세부 배점 기준 (단계별): 1단계=0점 / 2단계=50점 / 3단계=100점
*각 영역(영역1, 영역2)의 달성 단계(1~3단계) 확인 후 상세 배점표 참조하여 수동 산정</t>
  </si>
  <si>
    <t>영역1(1/2) | 영역2(1/2)
1단계 | 이사회 또는 산하 위원회에서 ESG 관련 안건을 다루고 있지 않은 경우 | 이사회 또는 산하 위원회 운영규정에 ESG 관련 사항을 명시하지 않는 경우
2단계 | 최근 1년간 ESG 관련 안건이 모두 '보고' 사항인 경우 | 이사회 또는 산하 위원회 운영규정에 'ESG'라는 단어만 기재하고 있는 경우
3단계 | 최근 1년간 ESG 관련 안건 중 '심의/의결' 사항이 있는 경우 | 이사회 또는 산하 위원회 운영규정에 ESG 이외에, 조직과 관련된 중요 ESG 이슈 또는 안건을 명시하고 있는 경우</t>
  </si>
  <si>
    <t>KSSB 제1호 문단 27(1) — 이사회 ESG 안건 감독</t>
  </si>
  <si>
    <t>GRI 2-9, KCGS</t>
  </si>
  <si>
    <t xml:space="preserve"> ESG가 사업운영 및 중장기 발전을 위한 중요한 요인으로 등장함에 따라, 조직의 최고의사결정기구인 이사회에서 ESG 안건을 검토/심의/의결하도록 요구받고 있다. 조직은 이사회에서 ESG와 관련한 중요 안건을 보고받거나, 심의/의결할 수도 있으며, 이사회 산하 위원회를 설치하여 ESG 관련 안건을 다루도록 함으로써 이사회 역할 수행의 전문성과 효율성을 제고할 수 있다.  조직은 ESG 안건을 다루기 위해 이사회 산하에 ‘ESG위원회’를 신설할 수 있으나, 이사회, 또는 기존에 설치한 위원회(사회책임위원회, 투명경영위원회, 거번너스위원회, 경영위원회, 감사위원회 등)를 통해서도 ESG 안건을 다룰 수 있다. 즉, ‘ESG위원회’ 설치 여부가 중요한 것이 아니라, 어떠한…</t>
  </si>
  <si>
    <t>[자동채점] | 근거충분성: 충분 | 근거: [이사회/산하위원회의 ESG 안건 다루는 수준, 가중치0.50] [지배구조보고서] 31p. 내부회계관리제도 운영실태 보고의 건 ② 내부회계관리제도 운영실태 평가보고의 건(4번째 줄) → 이사회 안건 중 내부회계관리제도 운영실태 및 평가보고와 같은 ESG 관련 내부통제 및 감사 관련 사항이 심의/의결 안건으로 포함되어 있습니다. (100점) / [운영규정 상 ESG 명시 수준, 가중치0.50] [지배구조보고서] 19p. 당사는 이사회 내 ESG 위원회를 설치하고 있지 않습니다.(9번째 줄) → 제시된 근거 자료 내에서 운영규정이나 정관 등에 ESG 관련 사항을 명시하고 있다는 내용을 확인할 수 없으며, 오히려 ESG 위원회 미설치 사실만 명시되어 있습니다. (0점) | 근거페이지: 지배구조보고서 15p, 17~19p, 21~22p, 30~31p, 33~36p, 41p | [AI검토필요] 복합가중형(정밀계산) - 표본검증 권장</t>
  </si>
  <si>
    <r>
      <rPr>
        <rFont val="Noto Sans"/>
        <b/>
        <color rgb="FFFF0000"/>
        <sz val="9.0"/>
      </rPr>
      <t>부분 / 영역 1 = 3단계, 영역 2 = 근거 부족 / 1단계 / 50점</t>
    </r>
    <r>
      <rPr>
        <rFont val="Noto Sans"/>
        <b/>
        <color theme="1"/>
        <sz val="9.0"/>
      </rPr>
      <t xml:space="preserve">
</t>
    </r>
    <r>
      <rPr>
        <rFont val="Noto Sans"/>
        <color theme="1"/>
        <sz val="9.0"/>
      </rPr>
      <t>[최종판단] 근거충분성: 부분 / 영역1 3단계, 영역2 근거부족→보수적 1단계 / 50점.
[판단근거] 2025년 이사회가 안전보건경영 계획을 승인한 명확한 ESG 의결 증거가 있으나, 이사회/위원회 운영규정에 ESG 및 중요 ESG 이슈가 명시됐다는 증거가 없음.
기준표는 ① 최근 1년 이사회·위원회의 ESG 안건 처리 수준과 ② 운영규정의 ESG 명시 수준을 각각 50% 평가한다. 2025년에는 ESG의 S영역에 해당하는 안전보건 안건이 실제 승인되어 영역1은 3단계가 가능하다. 그러나 이사회·위원회 운영규정에 ESG 또는 중요 ESG 이슈를 명시한 근거는 사업보고서에서 확인되지 않는다.
[확인근거] 007340_2026_business.pdf, PDF p.287 / DART p.283, VI.1.2 주요 의결사항: “2025년 안전보건경영 계획 승인의 건”, 결과 “가결”, 이사 전원 찬성. PDF p.14 / DART p.10, I.5 정관 변경이력에는 “위원회 설치에 관한 조항 신설 / 이사회내 위원회 설치를 위한 기준 마련”까지만 확인된다. 
[감점사유] 정관상 위원회 설치 가능성은 운영규정상 ESG 감독책임 명시와 동일하지 않다. 영역2를 상향시킬 직접 증빙이 없다.[보완 필요 증빙] 이사회규정 또는 ESG위원회 운영규정, ESG 감독책임 조항, 기후·안전·인권·공급망 등 중요 ESG 안건 목록, 연간 ESG 이사회 안건계획</t>
    </r>
  </si>
  <si>
    <t>[현재 문제점] ESG 안건의 실제 의결은 있으나 이사회의 ESG 감독권한이 규정으로 연결되지 않음.
[개선방향] 이사회/위원회 규정에 ESG 감독권한과 중요 ESG 이슈를 문장화하고 정례 안건, 의사록 증빙체계 구축, 이사회/위원회 규정에 ESG 감독범위와 정례 보고·심의 대상을 명시하고 연간 캘린더화.
[필요 근거] 개정 이사회규정, ESG위원회규정, 연간 안건계획, 의사록·이사회 자료.</t>
  </si>
  <si>
    <t>이사회 또는 산하 위원회 운영규정에 ESG 관련 권한과 역할이 명시되어 있으며, 실제 활동 내역을 통해 ESG 안건을 보고·심의·의결하며 관리·감독하고 있습니까?</t>
  </si>
  <si>
    <t>단계(1~3)/복합가중형</t>
  </si>
  <si>
    <t>조직이 사외이사 제도를 통해 경영진 및 지배주주에 대한 견제, 기업경영 투명성의 제고, 소수주주의 권리보호 등의 목적을 달성하고 있는지 확인 | 경영진의 의사결정 행위를 견제할 수 있으며, 독립적인 시각에서 기업 발전에 관한 제언을 할 수 있는 사외이사 비율이 충분한지 점검</t>
  </si>
  <si>
    <t>이사회 구성현황, 전자공시시스템 [사업보고서-이사회에 관한 사항]</t>
  </si>
  <si>
    <t>지난 1개 회계연도 기준</t>
  </si>
  <si>
    <t>1단계 |  총원의 과반수로 구성되었으나, 사외이사가 3인인 경우 |  2단계 |  3인 이상, 이사 총원의 과반수를 차지하고 있으나, 전체 이사 중 60% 미만인 경우 |  3단계 |  3인 이상, 이사 총원의 과반수를 차지, 전체 이사 중 60% 이상 ~ 70% 미만인 경우 |  4단계 |  3인 이상, 이사 총원의 과반수를 차지, 전체 이사 중 70% 이상 ~ 80% 미만인 경우 |  5단계 |  3인 이상, 이사 총원의 과반수를 차지, 전체 이사 중 80% 이상인 경우</t>
  </si>
  <si>
    <t>KSSB 제1호 문단 27(1) 취지상 이사회 역량 요구와 연관</t>
  </si>
  <si>
    <t>지배구조보고서 가이드라인, GRI 2-9</t>
  </si>
  <si>
    <t>이사회가 조직의 경영활동에 대한 감독과 견제의 기능을 효과적으로 수행하며, 경영진이 합리적이고 객관적인 의사결정을 내릴 수 있도록 제언하기 위해서는 사외이사의 독립성이 확보되어야 한다. 사외이사의 독립성 요건(또는 사외이사 결격사유)은 ｢상법｣ 제382조 및 제542조, 금융회사의 지배구조에 관한 법률｣ 제12조를 통해 확인할 수 있다.  사외이사가 경영진의 의사결정에 중요한 영향력을 행사하거나, 이사회 의결사항에 상당한 의사결정권한을 갖추기 위해서는 충분한 수의 사외이사가 확보되어야 한다. 따라서 사외이사 비율은 이사회가 경영진 등을 충분히 견제할 수 있는 수준에서 결정되어야 한다. ｢상법｣ 및 ｢금융회사의 지배구조에 관한 법률｣에서 제시하는 사외이사 비율…</t>
  </si>
  <si>
    <t>[자동채점] | 근거충분성: 충분 | 근거: [지배구조보고서] 4p. 2025년 5월 현재 총 5명의 이사 중 3명의 사내이사와 2명의 사외이사로 구성되어(2번째 줄) → 사외이사 수가 3인 미만(2인)으로, 단계별 상세 판단기준의 3인 이상 요건을 충족하지 못하여 1단계에 해당함. | 근거페이지: 사업보고서 271~272p / 지배구조보고서 4p, 20~21p, 25~30p, 38p</t>
  </si>
  <si>
    <r>
      <rPr>
        <rFont val="Noto Sans"/>
        <b/>
        <color rgb="FFFF0000"/>
        <sz val="9.0"/>
      </rPr>
      <t>충분 / 1단계 / 0점</t>
    </r>
    <r>
      <rPr>
        <rFont val="Noto Sans"/>
        <color theme="1"/>
        <sz val="9.0"/>
      </rPr>
      <t xml:space="preserve">
</t>
    </r>
    <r>
      <rPr>
        <rFont val="Noto Sans"/>
        <b/>
        <color theme="1"/>
        <sz val="9.0"/>
      </rPr>
      <t xml:space="preserve">대표이사와 이사회 의장 동일
</t>
    </r>
    <r>
      <rPr>
        <rFont val="Noto Sans"/>
        <color theme="1"/>
        <sz val="9.0"/>
      </rPr>
      <t>[판단근거] 기준표의 상위 구간은 기본적으로 사외이사 3인 이상·과반을 전제로 한다. DN오토모티브는 전체 5인 중 사외이사 2인으로 40%이므로 최저 명시요건에도 미달한다.
[확인근거] 사업보고서 PDF p.287 / DART p.283, VI.1.1: “3인의 상근이사, 2인의 사외이사 등 총 5인의 이사”. 즉 2/5=40%. 
[감점사유] 사외이사 수가 3인 미만이고 과반에 미달.&lt;br&gt;&lt;br&gt;[보완 필요 증빙] 향후 이사회 구성계획, 사외이사 후보군·추천기준, 주총 선임결의 및 변경 후 이사회 구성표.</t>
    </r>
  </si>
  <si>
    <t xml:space="preserve">[현재 문제점] 사외이사 2/5, 40%로 독립적 견제 비중이 낮음.
[개선방향] 우선 3/5 이상으로 확대하고 이후 이사회 개편 시 독립이사 비율을 지속 상향. 3/5 달성 시 최소 60% 구간, 장기적으로 80% 이상, 독립 사외이사 의장으로 분리. 전환 전까지 선임사외이사 제도를 브리지로 도입
[필요 근거] 이사회 구성 로드맵, 후보추천 기준, 주총 의안·선임결과, 독립성 확인서.
</t>
  </si>
  <si>
    <t>경영진 견제를 위해 기업 발전에 관한 제언을 할 수 있는 사외이사의 비율이 충분합니까?</t>
  </si>
  <si>
    <t>경영진의 경영활동을 감독하고 견제하는 이사회의 역할을 제대로 수행하기 위한 독립성 확보 여부를 확인 | 이사회의 의장과 경영진의 대표인 대표이사와의 분리 여부 및 선임사외이사 임명 등을 점검</t>
  </si>
  <si>
    <t>이사회 구성 현황, 전자공시시스템[사업보고서-이사회에 관한 사항]</t>
  </si>
  <si>
    <t>1단계 |  현재 대표이사와 이사회 의장이 동일한 경우 |  2단계 |  과거 대표이사 또는 이사회 의장을 역임했던 자가 현재 이사회 의장인 경우 |  3단계 |  현재 이사회 의장이 과거 또는 현재의 대표이사나 이사회 의장을 역임하지 않았으나, 모회사 또는 자회사의 임원 등 독립성이 결여된 자가 이사회 의장인 경우 |  4단계 |  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 |  5단계 |  과거 또는 현재 대표이사이거나, 이사회 의장을 역임한 적이 없으며, 회사로부터 독립성이 확보된 이사가 현재 이사회의 의장인 경우</t>
  </si>
  <si>
    <t>KSSB 별도 규정 없음</t>
  </si>
  <si>
    <t>지배구조보고서 가이드라인</t>
  </si>
  <si>
    <t>경영진을 대표하는 대표이사와 이사회를 대표하는 이사회 의장이 동일하다면 경영진의 경영활동을 감독하고 견제하는 이사회의 역할을 제대로 수행할 수 없다. 다만, 대표이사와 이사회 의장이 분리되지 않은 경우에도 독립성을 갖춘 선임사외이사를 두어 이사회의 기능과 역할을 주도적으로 수행하도록 할 수 있다. 선임사외이사는 이사회(대표이사 또는 특수관계인이 이사회 의장으로 선임된)에서 대표이사의 이해와 관계된 의사결정 사안에 대해 이사회 의장을 대리하며, 사외이사들의 의견을 대표로 사내이사 및 경영진에게 전달하는 역할을 수행한다. 국내외 법/규제, ESG 평가기관 등은 대표이사의 이사회 의장 분리 및 선임사외이사 임명 관련 사항을 아래와 같이 명시하고 있으므로, 해당 지표…</t>
  </si>
  <si>
    <t>[자동채점] | 근거충분성: 충분 | 근거: [지배구조보고서] 20p. 당사는 정관에서 대표이사를 이사회의장으로 지정하고 있습니다.(7번째 줄) → 대표이사가 이사회 의장을 겸직하고 있으며, 선임사외이사 제도 또한 운영하고 있지 않아 1단계에 해당함. | 근거페이지: 사업보고서 270~271p / 지배구조보고서 4p, 15p, 18~22p, 25~26p, 30p</t>
  </si>
  <si>
    <r>
      <rPr>
        <rFont val="Noto Sans"/>
        <b/>
        <color rgb="FFFF0000"/>
        <sz val="9.0"/>
      </rPr>
      <t xml:space="preserve">[확인필요] 충분 / 1단계 / 0점
</t>
    </r>
    <r>
      <rPr>
        <rFont val="Noto Sans"/>
        <b/>
        <color theme="1"/>
        <sz val="9.0"/>
      </rPr>
      <t xml:space="preserve">26년 최근 기준으로 한 번 더 확인 필요, 사외이사 2/5=40%, 최소구간 미달
</t>
    </r>
    <r>
      <rPr>
        <rFont val="Noto Sans"/>
        <color theme="1"/>
        <sz val="9.0"/>
      </rPr>
      <t>[판단근거] 기준표 1단계는 현 대표이사와 이사회 의장이 동일한 경우다. 회사가 정확히 이에 해당한다.
[확인근거] 사업보고서 PDF p.287 / DART p.283, VI.1.1: “김상헌 대표이사를 의장으로 선임하였습니다.” 같은 페이지에서 김상헌은 대표이사임이 확인된다. 
[감점사유] 대표이사와 의장이 동일하고, 기준표 4단계를 가능하게 하는 선임사외이사 운영 근거도 두 문서에서 확인되지 않는다.
[보완 필요 증빙] 독립 이사회 의장 선임결의 또는 선임사외이사 규정·선임결의·권한규정.</t>
    </r>
  </si>
  <si>
    <t>[현재 문제점] 대표이사가 이사회 의장을 겸해 감독주체와 피감독 경영진 간 역할분리가 약함.
[개선방향] 
- 사외이사 최소 3/5=60%, 장기적으로 4/5=80%를 계획에 반영
- 독립 사외이사 의장 체계로 전환하고, 과도기에는 선임사외이사 제도를 운영.
[필요 근거] 이사회규정, 선임사외이사 직무규정, 이사회 선임결의, 이해상충 안건 운영기록</t>
  </si>
  <si>
    <t>경영진 감독 및 견제를 위한 이사회 독립성을 확보하기 위해 이사회 의장과 대표이사를 분리하거나, 선임사외이사를 임명하여 운영하고 있습니까?</t>
  </si>
  <si>
    <t>이사회가 다양한 이해관계자들의 요구사항을 두루 고려하여 폭넓은 시각과 경험을 바탕으로 중요한 의사결정에 임할 수 있도록 이사회 구성원이 다양한 배경을 가지고 있는지 확인 | 다양성과 포용성의 대표적인 분류인 남성 대비 여성 비율(혹은 여성 대비 남성 비율)을 점검</t>
  </si>
  <si>
    <t>이사회 여성 비율 = (여성 이사 수 / 전체 이사회 구성원 수)</t>
  </si>
  <si>
    <t>1단계 |  이사회 내 여성 이사가 선임되어 있지 않는 경우 |  2단계 |  이사회 내 여성 이사가 1명만 선임되어 있는 경우 |  3단계 |  이사회 내 여성 이사가 2명 이상이며, 그 비율이 10% 이상 ~ 20% 미만인 경우 |  4단계 |  이사회 내 여성 이사가 2명 이상이며, 그 비율이 20% 이상 ~ 30% 미만인 경우 |  5단계 |  이사회 내 여성 이사가 2명 이상이며, 그 비율이 30% 이상인 경우 |  * 이사회 내 다수 성(性)이 여성일 경우에는 반대로 적용</t>
  </si>
  <si>
    <t>KSSB 제1호 문단 27(1) 이사회 역량·다양성 취지 준용</t>
  </si>
  <si>
    <t>GRI 405-1</t>
  </si>
  <si>
    <t>조직이 대내외 환경 변화에 유연하게 대처하고 장기적인 지속가능성을 확보하기 위해서는 다양한 시각과 관점에서 당면한 문제를 바라보고 해결할 수 있는 다양한 배경과 경험을 가진 이사를 선임해야 할 필요가 있다. 본 지표는 이러한 다양성을 확인할 수 있는 대표적 기준 중 하나인 성(性) 비율을 통해 이사회 내 성별 다양성을 점검하도록 요구하고 있다. 이사회를 구성하는 이사가 특정 성(性)에 치우치지 않는다는 것은 성별에서 기인하는 특정한 관점, 이해관계 등에서 벗어난 다양한 의견이 이사회의 의사결정에 반영될 수 있다는 것을 의미한다. 특히, 국내의 경우 독립적이고 다양한 전문성을 가지는 사외이사를 선임하는 등의 노력은 지속되고 있으나 이사회의 성별 다양성은 부족한…</t>
  </si>
  <si>
    <t>[자동채점] | 근거충분성: 충분 | 근거: [지배구조보고서] 21p. 다만, 이사회 전원 같은 성별로서 다양성을 확보함에 있어 미비한 부분이 존재하기 때문에(5번째 줄) → 이사회 구성원 전원이 동일한 성별로 구성되어 있어 여성 이사가 선임되어 있지 않으므로 1단계에 해당합니다. | 근거페이지: 사업보고서 270p / 지배구조보고서 3~4p, 15p, 18p, 20~22p, 26p, 30p, 32p</t>
  </si>
  <si>
    <r>
      <rPr>
        <rFont val="Noto Sans"/>
        <b/>
        <color rgb="FFFF0000"/>
        <sz val="9.0"/>
      </rPr>
      <t xml:space="preserve">[확인필요] 충분 / 1단계 / 0점
</t>
    </r>
    <r>
      <rPr>
        <rFont val="Noto Sans"/>
        <b/>
        <color theme="1"/>
        <sz val="9.0"/>
      </rPr>
      <t xml:space="preserve">2025년 여성 이사 0명, 26년 현재 있음
</t>
    </r>
    <r>
      <rPr>
        <rFont val="Noto Sans"/>
        <color theme="1"/>
        <sz val="9.0"/>
      </rPr>
      <t>[판단근거] 기준표 1단계는 여성 이사가 없는 경우이다. 2025년 말 기준 등기이사 5명의 성별이 모두 남성으로 공시된다.
[확인근거] 사업보고서 PDF p.296 / DART p.292, VIII.1 임원 현황에서 김상헌·김인환·박길준·송호근·이기영의 성별이 모두 “남”으로 표시. 
[감점사유] 여성 이사 0명.
[보완 필요 증빙] 다양성 정책, 이사 후보 다양성 기준, 여성 후보군 관리자료, 실제 주총 선임결과.</t>
    </r>
  </si>
  <si>
    <t>[현재 문제점] 2025년 이사회가 단일 성별로 구성되어 있음.
[개선방향]
- 여성 비율 30%이상
- 여성 이사를 단순 1명이 아닌 최소 2명으로 확대
- 차기 선임에서 여성 이사를 최소 2명까지 단계적으로 확대해 기준표의 상위구간 진입을 목표화.
[필요 근거] 이사회 다양성 정책, 후보군·선정기준, 주총 의안 및 선임 후 구성표</t>
  </si>
  <si>
    <t>이사회의 다양성과 포용성을 확보하고 폭넓은 시각의 의사결정을 도모하기 위해 전체 대비 여성 이사 비율을 충분히 확보하여 운영하고 있습니까?</t>
  </si>
  <si>
    <t>사내이사와 사외이사의 정보 비대칭이 존재하는 상황에서 사외이사가 조직의 중장기 발전에 관한 충분한 의견을 제공하거나, 경영진의 의사결정을 견제할 수 있는 전문성을 갖추고 있는지 확인 | 사외이사가 조직의 사업 방향에 대해 전문적인 의견을 제시할 수 있는지 점검 (사외이사가 동종산업의 업무경력을 보유하고 있는지 확인)</t>
  </si>
  <si>
    <t>사외이사 경력사항</t>
  </si>
  <si>
    <t>1단계 |  동종산업 경력을 보유한 사외이사가 없는 경우 |  2단계 |  동종산업 경력을 보유한 사외이사가 1명 이상인 경우 |  3단계 |  동종산업 경력을 보유한 사외이사가 50% 이상인 경우</t>
  </si>
  <si>
    <t>KSSB 제1호 문단 27(1)ㄏ — 이사회 전문성 판단·개발계획</t>
  </si>
  <si>
    <t>지배구조보고서 가이드라인, KCGS</t>
  </si>
  <si>
    <t>전문성 있는 사외이사란 사내이사(경영진 등)의 경영의사결정에 대한 제언과 감독 기능을 충실히 이행할 수 있도록 해당 산업 전문지식과 경력을 보유하고 있는 자를 말하다. 이때, 해당 산업 전문지식과 경력이란 한국표준산업분류의 대분류(2자리 코드) 기준 동종산업에서 실무자 또는 경영진으로써 재직하였거나, 관련 연구기관 및 서비스기관에서 종사한 경험이 있는 것을 의미하며, 대학을 포함한 고등교육기관 및 학술기관 경력은 제외한다. 글로벌 ESG 평가기관은 ‘산업 전문성을 갖춘 사외이사 비율’을 평가지표로 운용하고 있으며, 조직은 사외이사 선임 시 평가기관 등이 제시하는 ‘산업 전문성’ 요건을 참고할 수 있다. - (S&amp;P Global) 국제산업분류표준(GICS)…</t>
  </si>
  <si>
    <t>[자동채점] | 근거충분성: 불충분 | 근거: [지배구조보고서] 25p. 당사의 사외이사는 상법 및 관계법령에서 요구하는 기본적인 법적 요건을 갖추고 있고, 실무 경험과 전문성을 두루 갖춘 전문가로 구성되어 있습니다.(3번째 줄) → 제공된 근거 자료 내에 사외이사들의 구체적인 경력이나 동종산업(반도체/전자) 종사 여부에 대한 정보가 명시되어 있지 않아 1단계로 판단함. | 근거페이지: 사업보고서 271~272p / 지배구조보고서 18p, 20~22p, 25~29p</t>
  </si>
  <si>
    <r>
      <rPr>
        <rFont val="Noto Sans"/>
        <b/>
        <color rgb="FFFF0000"/>
        <sz val="9.0"/>
      </rPr>
      <t xml:space="preserve">[확인필요] 부분 / 1단계 / 0점
동아타이어 사외이사 경력의 동종산업 업무경력 인정 여부 불명확
</t>
    </r>
    <r>
      <rPr>
        <rFont val="Noto Sans"/>
        <color theme="1"/>
        <sz val="9.0"/>
      </rPr>
      <t xml:space="preserve">
[판단근거] 기준표는 동종산업에서의 실무자·경영진 재직 등 업무경력을 요구하며, 1명 이상이면 2단계, 사외이사의 50% 이상이면 3단계다. 이기영 사외이사는 동아타이어공업 사외이사 경력이 있으나 이것을 기준표상의 “동종산업 실무·경영경력”으로 인정할지는 불명확하다. 송호근 사외이사는 학계·사회정책 경력이다.
[확인근거] PDF p.288 / DART p.284: 이기영에 대해 “금융감독원 회계조사국장 및 동아타이어공업주식회사 사외이사를 역임”. PDF p.289 / DART p.285: 송호근에 대해 서울대학교 교수·정책자문 경력을 기재. 
[감점사유] 이기영의 타이어업계 사외이사 경력은 확인되나, 직접적인 산업 실무·경영경력인지 명확하지 않다. 이를 인정하면 2명 중 1명=50%로 3단계가 될 수 있어 점수 민감도가 매우 큰 항목이다.
[보완 필요 증빙] 사외이사 상세 경력기술서, KSIC 기준 동종산업 경력 매핑표, 직무·재직형태·경력기간 확인자료.</t>
    </r>
  </si>
  <si>
    <t>[현재 문제점] 현 공시는 전문성을 설명하지만 기준표가 요구하는 ‘동종산업 업무경력’을 명확히 입증하지 못함.
[개선방향] 자동차부품·타이어·배터리 등 직접 산업 실무/경영 경험자를 사외이사 후보 기준에 반영. 평가 정의를 먼저 고정한 뒤, 논란 없는 직접 산업 실무·경영경력 보유 사외이사 비율 50% 이상으로 구성
[필요 근거] 경력증명, 상세 CV, 산업분류 매핑표, 후보추천 검토서</t>
  </si>
  <si>
    <t>동종산업(반도체/전자)에서 경력을 보유한 사외이사가 포함되어 있습니까?</t>
  </si>
  <si>
    <t>이사회 활동</t>
  </si>
  <si>
    <t>조직의 최고의사결정기구인 이사회가 검토/심의/의결 기능을 효과적으로 수행하기 위해서는 이사회 구성원의 적극적인 참여가 중요함. 이사회 구성원이 이사회에 참여하여 조직의 성장 및 발전에 관한 제언, 주요안건에 대한 의사결정 행위를 하고 있는지 확인 | 이사회 구성원별 출석률을 평균하여, 전체 이사 출석률이 일정 수준 이상인지 점검</t>
  </si>
  <si>
    <t>이사회 구성 현황, 이사회 회의록 등</t>
  </si>
  <si>
    <t>이사회 구성원 평균 출석률 = ∑(출석한 전체 이사 인원 수 / 전체 이사 정원) / 이사회 개최 횟수</t>
  </si>
  <si>
    <t>1단계 |  이사회 구성원 평균 출석률이 75% 미만인 경우 |  2단계 |  이사회 구성원 평균 출석률이 75% 이상 85% 미만인 경우 |  3단계 |  이사회 구성원 평균 출석률이 85% 이상 90% 미만인 경우 |  4단계 |  이사회 구성원 평균 출석률이 90% 이상 95% 미만인 경우 |  5단계 |  이사회 구성원 평균 출석률이 95% 이상인 경우</t>
  </si>
  <si>
    <t>KSSB 제1호 문단 27(1)ㄒ — 보고주기 준용</t>
  </si>
  <si>
    <t>GRI 2-9</t>
  </si>
  <si>
    <t>｢상법｣에서는 이사의 이사회 출석의무를 규정하고 있지 않으나, 이사 출석률은 이사가 수행해야 할 역할을 충실히 하고 있는지를 대변하는 중요한 지표가 된다.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이사회 참여는 법/규제를 벗어나지 않는 범위에서 선관주의에 따른 이사회 구성원의 자율사항이다. 따라서 개별 이사에 대해 이사회 참여를 강제할 수 없으나, 이사회 구성원의 참여가 저조하거나 소극적인 경우, 이를 강제하기 위한 방식에는 다음과 같은…</t>
  </si>
  <si>
    <t>[자동채점] | 근거충분성: 충분 | 근거: ⚠️[출처 미확정, 검색 1위 후보로 대체] [지배구조보고서] 32p. 이사 평균 출석률 (%) | 정기 100 | 임시 100(줄 위치 특정 실패) → 제시된 근거에서 이사 평균 출석률이 100%로 확인되어 95% 이상인 5단계 요건을 충족함. | 근거페이지: 사업보고서 270p / 지배구조보고서 5p, 22p, 28p, 30p, 32~33p, 35~36p, 41p</t>
  </si>
  <si>
    <r>
      <rPr>
        <rFont val="Noto Sans"/>
        <b/>
        <color theme="1"/>
        <sz val="9.0"/>
      </rPr>
      <t xml:space="preserve">충분 / 5단계 / 100점
</t>
    </r>
    <r>
      <rPr>
        <rFont val="Noto Sans"/>
        <color theme="1"/>
        <sz val="9.0"/>
      </rPr>
      <t xml:space="preserve">
[판단근거] 95% 이상이 5단계이며 5명 모두 100%.
[확인근거] 사업보고서 DART p.283 이사 5명 각각 “출석률:100%”.
[감점사유] 없음.
[보완] 참석대장·연간 산출표. </t>
    </r>
  </si>
  <si>
    <t>장기</t>
  </si>
  <si>
    <r>
      <rPr>
        <rFont val="Noto Sans"/>
        <b/>
        <color theme="1"/>
        <sz val="9.0"/>
      </rPr>
      <t xml:space="preserve">현재 상태 유지관리 필요
</t>
    </r>
    <r>
      <rPr>
        <rFont val="Noto Sans"/>
        <color theme="1"/>
        <sz val="9.0"/>
      </rPr>
      <t>[현재 문제점] 정량 출석률은 우수하지만 이사의 실질적 기여 수준은 출석률만으로 설명되지 않음
[개선방향] 참석률과 함께 사전자료 제공·질의·의견반영 실적을 관리.
[필요 근거] 회의별 참석대장, 사전자료 발송기록, 질의응답·의견반영 자료.</t>
    </r>
  </si>
  <si>
    <t>이사회 전체 이사 평균 출석률이 75% 수준 이상입니까?</t>
  </si>
  <si>
    <t>조직의 최고의사결정기구인 이사회가 검토/심의/의결 기능을 효과적으로 수행하기 위해서는 이사회 구성원의 적극적인 참여가 중요함. 특히, 조직의 사업운영을 총괄하는 사내이사가 적극적으로 이사회에 참여하고 있는지 확인 | 이사회 구성원 중 전체 사내이사 출석률이 일정 수준 이상인지 점검</t>
  </si>
  <si>
    <t>사내이사 평균 출석률 = ∑(출석한 사내 이사 인원 수 / 전체 이사 정원) / 이사회 개최 횟수</t>
  </si>
  <si>
    <t>1단계 |  사내이사 평균 출석률이 75% 미만인 경우 |  2단계 |  사내이사 평균 출석률이 75% 이상 85% 미만인 경우 |  3단계 |  사내이사 평균 출석률이 85% 이상 90% 미만인 경우 |  4단계 |  사내이사 평균 출석률이 90% 이상 95% 미만인 경우 |  5단계 |  사내이사 평균 출석률이 95% 이상인 경우</t>
  </si>
  <si>
    <t>｢상법｣에서는 이사의 이사회 출석의무를 규정하고 있지 않으나, 이사 출석률은 이사가 수행해야 할 역할을 충실히 하고 있는지를 대변하는 중요한 지표가 된다.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이사회 참여는 법/규제를 벗어나지 않는 범위에서 선관주의에 따른 이사회 구성원의 자율사항이다. 따라서 사내이사에 대해 이사회 참여를 강제할 수 없으나, 사내이사의 참여가 저조하거나 소극적인 경우 이를 강제하기 위한 방식에는 다음과 같은 것들이 있다.…</t>
  </si>
  <si>
    <t>[자동채점] | 근거충분성: 충분 | 근거: ⚠️[출처 미확정, 검색 1위 후보로 대체] [지배구조보고서] 33p. 김상헌(출석률:100%), 김원종(출석률: 100%), 김인환(출석률:100%), 박길준(출석률:100%)(줄 위치 특정 실패) → 2024년 재직한 모든 사내이사의 이사회 출석률이 100%로, 95% 이상인 5단계 기준을 충족함. | 근거페이지: 사업보고서 270p / 지배구조보고서 5p, 15p, 18p, 20p, 22p, 26~27p, 30p, 32~33p, 41p</t>
  </si>
  <si>
    <r>
      <rPr>
        <rFont val="Noto Sans"/>
        <b/>
        <color theme="1"/>
        <sz val="9.0"/>
      </rPr>
      <t>충분 / 5단계 / 100점</t>
    </r>
    <r>
      <rPr>
        <rFont val="Noto Sans"/>
        <color theme="1"/>
        <sz val="9.0"/>
      </rPr>
      <t xml:space="preserve">
[판단근거] 사내이사 김상헌·김인환·박길준 모두 100%.
[확인근거] 사업보고서 DART p.283.
[감점사유] 없음.
[보완] 회의별 사내이사 참석표. </t>
    </r>
  </si>
  <si>
    <r>
      <rPr>
        <rFont val="Noto Sans"/>
        <b/>
        <color theme="1"/>
        <sz val="9.0"/>
      </rPr>
      <t xml:space="preserve">현재 상태 유지관리 필요
</t>
    </r>
    <r>
      <rPr>
        <rFont val="Noto Sans"/>
        <color theme="1"/>
        <sz val="9.0"/>
      </rPr>
      <t>[현재 문제점] 출석은 우수하지만 안건별 사내이사 검토 흔적이 제한적.
[개선방향] 투자·내부통제·안전보건 안건 사전검토를 기록.
[필요 근거] 검토메모, 질의표, 회의록 별첨, 후속조치 대장.
-&gt; 현 상태 유지. 다만 주요 투자·보증·내부통제 안건에 대해 사내이사별 전문 검토 의견을 남기면 G-2-4 개선에도 연결 가능</t>
    </r>
  </si>
  <si>
    <t>경영진 책임 강화를 위해 이사회 수성원 중 전체 사내이사 출석률이 75% 수준 이상입니까?</t>
  </si>
  <si>
    <t>이사회가 효율적으로 운영될 수 있도록 이사회 권한 및 역할의 일부를 산하 위원회에 위임하고 있는지, 각 소위원회는 위임받은 권한 및 역할에 대해 전문적인 시각으로 검토하는지를 확인 | 조직마다 이사회 산하 위원회 수와 종류는 다양하며, 각 조직의 경영방식 및 사업환경에 따라 위원회 수를 달리할 수 있음. 따라서 이사회 산하 위원회 수가 많고 적음을 떠나, 위원회가 체계적이고 효과적으로 운영되고 있는지 점검</t>
  </si>
  <si>
    <t>이사회 산하 위원회 운영규정, 구성현황, 활동내역</t>
  </si>
  <si>
    <t>요건1 |  이사회 산하 모든 위원회 설치는 정관에 근거하고 있으며, 모든 위원회에 대해 ‘운영규정’을 제정하고 있는 경우 |  요건2 |  특정 이사(사내이사, 사외이사, 기타비상임이사)가 이사회 산하 모든 위원회의 구성원으로 선임되어 있지 않은 경우 |  요건3 |  이사회 산하 모든 위원회가 구성원의 과반수 이상을 사외이사로 선임하고 있는 경우 |  요건4 |  직전 회계연도 중 이사회 산하 위원회 개최 횟수가 평균적으로 3회 이상인 경우 |  요건5 |  직전 회계연도 중 이사회 산하 모든 위원회가 심의/의결 안건을 다룬 경우</t>
  </si>
  <si>
    <t>KSSB 제1호 문단 27(1)① 위임기구 지정 준용</t>
  </si>
  <si>
    <t>조직의 모든 중요 안건을 이사회에서 검토하고 의사결정을 내리는 것은 비효율적이다. 따라서 전문성을 요구하는 특정 사안이나, 안건 심의에 있어 독립성이 필요한 사안에 대해서는 이사회 산하 위원회를 통해 검토하게 함으로써, 이사회 운영의 효율성을 제고할 수 있다. ｢상법｣ 제393조의2에서는 이사회가 위원회에 위임할 수 있는 사항을 폭넓게 인정하고 있다. 법에서 제한하고 있는 사항 이외에는 위임이 가능하다. 즉 이사회는 주주총회의 승인을 요하는 사항의 제안, 대표이사의 선임 및 해임, 위원회의 설치와 그 위원의 선임 및 해임, 정관에서 정하는 사항을 제외하고는 그 권한을 위원회에 위임할 수 있다. - ｢상법｣에서는 이사회 내 위원회를 설치할 경우, 해당 위원회에는…</t>
  </si>
  <si>
    <t>[자동채점] | 근거충분성: 충분 | 근거: [지배구조보고서] 34p. 당사는 별도의 이사회 내 위원회를 설치하고 있지 않습니다.(11번째 줄) → 이사회 산하 위원회를 설치하고 있지 않아 모든 요건을 충족하지 못하므로 1단계(0점)에 해당함. | 근거페이지: 지배구조보고서 3p, 15p, 18~19p, 28p, 30p, 33~36p, 39p, 41p</t>
  </si>
  <si>
    <r>
      <rPr>
        <rFont val="Noto Sans"/>
        <b/>
        <color theme="1"/>
        <sz val="9.0"/>
      </rPr>
      <t xml:space="preserve">부분 / 확인 가능한 충족요건 1개 이하 / 0점
</t>
    </r>
    <r>
      <rPr>
        <rFont val="Noto Sans"/>
        <color theme="1"/>
        <sz val="9.0"/>
      </rPr>
      <t xml:space="preserve">[판단근거] 위원회 설치 근거는 일부 있으나 실제 운영규정·구성·활동내역 증빙 부족
[확인근거] 사업보고서 DART p.285는 당시 감사위원회 미설치를 명시. 2026년 주총자료 p.5~7의 위원회·감사위원회 정비는 후속개선으로만 분리.
[감점] 규정·구성·연 3회·심의실적 미입증.
[보완] 위원회별 규정·명부·회의록. </t>
    </r>
  </si>
  <si>
    <t>[현재 문제점] 위원회 설치 근거는 있으나 평가 가능한 실제 운영 패키지가 없음.
[개선방향] 핵심 위원회를 정식 설치하고 규정·구성·연간 회의계획을 동시에 설계.
-&gt; ESG위원회·감사위원회·후보추천위원회 등 각 위원회별 운영규정, 구성표, 개최실적, 안건 목록, 의사록을 세트로 정비. 특정 이사에게 위원회가 집중되지 않도록 배분
[필요 근거] 정관, 위원회규정, 위원 명단, 회의계획, 안건·의사록</t>
  </si>
  <si>
    <t>이사회 산하 모든 위원회가 정관 및 운영규정에 근거하여 설치·운영되고, 특정 이사의 전 위원회 겸임 방지 및 과반수 사외이사 구성을 갖추었으며, 직전 회계연도에 평균 3회 이상 개최되어 심의·의결 안건을 다루었습니까?</t>
  </si>
  <si>
    <t>이사회 구성원이 상정된 안건에 대해 독립적/전문적/다양한 시각으로 수정 및 보완 의견을 제시하고 있거나, 특히 조직에 리스크가 될 수 있는 안건에 대해서는 적극적인 반대 의견을 제시하는지 확인 | 이사회 심의/의결 안건 중 원안대로 가결되지 않은 안건이나 원안에 반대한 이사, 그리고 가결되지 않거나 안건에 반대한 사유를 점검</t>
  </si>
  <si>
    <t>수정, 보완 및 반대 의견이 나타난 안건 수 / 전체 이사회 상정 안건 수</t>
  </si>
  <si>
    <t>1단계 |  안건에 대한 수정, 보완, 반대하는 의견이 한 건도 없는 경우 |  2단계 |  안건에 대한 수정, 보완, 반대하는 의견이 한 건 이상 존재하는 경우 |  3단계 |  안건에 대한 수정, 보완, 반대하는 의견이 5% 이상 존재하는 경우</t>
  </si>
  <si>
    <t>본 항목은 ‘이사회 구성원이 자유로운 의견을 개진하고 있는지’를 확인하기 위해 설계한 항목으로써, 전체 이사회 안건 처리 중 수정/부결 비율을 측정하는 방법 外 1) 이사회 의사진행에 관한 경과와 결과를 기재하고 있는 의사록 上 논의사항을 확인하는 방법, 2) 이사회 구성원의 안건 검토를 위한 개별 자료제공 요청사항을 확인하는 방법 등으로 ‘이사회 구성원의 자유로운 의견 개진 현황’을 확인할 수 있다.  이사회가 합리적인 의사결정과 경영감독을 수행하기 위해서는 각 이사들이 충분하고 올바른 정보를 가지고 있어야 한다. 이러한 정보는 경영진들 및 실무진의 보고, 개인적인 조사, 실적조사 등 다양한 방식으로 수집될 수 있으며, 이사회 구성원들은 이러한 자료를 사전에…</t>
  </si>
  <si>
    <t>[자동채점] | 근거충분성: 충분 | 근거: [지배구조보고서] 7p. 당사는 이사회 토의 내용 및 반대 사유, 결의견, 결의사항을 정리하여 의사록을 작성하고 있으나, 개별 이사들의 찬성, 반대 의견만 나누어 기록하고, 토의 내용을 개별 이사들마다 기록하지는 않습니다.(8번째 줄) → 제시된 이사회 안건 목록에서 모든 안건이 '가결'된 것으로 확인되며, 수정·보완·반대 의견이 제시된 안건이 없으므로 1단계에 해당합니다. | 근거페이지: 사업보고서 272p / 지배구조보고서 5~7p, 18p, 22p, 30~31p, 33p, 35~36p</t>
  </si>
  <si>
    <r>
      <rPr>
        <rFont val="Noto Sans"/>
        <b/>
        <color theme="1"/>
        <sz val="9.0"/>
      </rPr>
      <t xml:space="preserve">점수 변동 없음, 충분 / 1단계 / 0점
</t>
    </r>
    <r>
      <rPr>
        <rFont val="Noto Sans"/>
        <color theme="1"/>
        <sz val="9.0"/>
      </rPr>
      <t xml:space="preserve">
[판단근거] 수정·보완·반대가 의견이 없어 1단계.
[확인근거] 사업보고서 DART p.283~284에서 안건 결과가 모두 “가결”, 이사별 의견이 “찬성”.
[감점] 수정·보완·반대 의견으로 집계 가능한 공시근거 없음.
[보완] 실제 질의·수정·조건부 승인 등의 기록.</t>
    </r>
  </si>
  <si>
    <t>[현재 문제점] 최종 의결결과만 보여 실질 검토과정이 드러나지 않음.
[개선방향] 독립적 심의 증빙 확보 필요, 실제 발생한 질의·보완·조건을 의사록에 구조화, 이사회 안건 검토 메모” 제도화. 안건별 사전질의, 보완요청, 조건부 승인, 리스크 검토 의견을 의사록 또는 별첨자료
[필요 근거] 사전질의표, 수정이력, 조건부 승인·보완요청, 후속조치. 인위적인 반대의견을 만들지 않는 것이 원칙</t>
  </si>
  <si>
    <t>이사회 안건 중 수정·보완·반대 의견이 제시된 안건이 전혀 없습니까(1단계), 1건 이상 존재합니까(2단계), 아니면 5% 이상 존재합니까(3단계)?</t>
  </si>
  <si>
    <t>주주권리</t>
  </si>
  <si>
    <t>주주가 주주총회 참석 전 충분하고 합리적인 판단을 내릴 수 있도록, 주주에게 주주총회 개최 일자, 장소, 안건, 기타 재무사항 등의 정보를 담은 주주총회 소집 공고를 다양한 채널로 전달하는지 확인 | 조직이 주주총회 소집을 공고하는 방법을 점검</t>
  </si>
  <si>
    <t>주주총회 소집 통지서 外 다음의 방식에 따른 공고 1) 조직의 사업장 게시판, 2) 조직의 온라인 홈페이지, 3) 명의개서대행사, 4) 일간지(신문), 5) 전자공시시스템, 6) 기타</t>
  </si>
  <si>
    <t>1단계 |  주주총회 소집 공고를 서면으로만 통지하거나, 주주의 동의를 받아 전자문서로만 하는 경우 |  2단계 |  서면 또는 전자문서로 통지하는 방식 外 1개의 추가 방식을 이용하는 경우 |  3단계 |  서면 또는 전자문서로 통지하는 방식 外 2개의 추가 방식을 이용하는 경우 |  4단계 |  서면 또는 전자문서로 통지하는 방식 外 3개의 추가 방식을 이용하는 경우 |  5단계 |  서면 또는 전자문서로 통지하는 방식 外 4개 이상의 추가 방식을 이용하는 경우</t>
  </si>
  <si>
    <t>KSSB 주주총회 절차 별도 규정 없음</t>
  </si>
  <si>
    <t>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｢상법｣ 제363조에서는 주주총회 소집 통지와 관련하여 아래의 사항들을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계속 3년간 도달하지 아니한 경우에는…</t>
  </si>
  <si>
    <t>[자동채점] | 근거충분성: 충분 | 근거: [지배구조보고서] 4p. 주주총회 관련사항 주주통보 방법 | 소집통지서 발송, 금감원 및 거래 소 전자공시시스템(9번째 줄) → 서면 통지(소집통지서 발송) 외에 전자공시시스템(DART) 공시라는 1개의 추가 방식을 활용하고 있어 2단계에 해당함. | 근거페이지: 사업보고서 14p, 267p, 295p / 지배구조보고서 3~8p, 12p, 30p</t>
  </si>
  <si>
    <r>
      <rPr>
        <rFont val="Noto Sans"/>
        <b/>
        <color rgb="FFFF0000"/>
        <sz val="9.0"/>
      </rPr>
      <t>점수 변동 있음, 충분 / 4단계 / 75점</t>
    </r>
    <r>
      <rPr>
        <rFont val="Noto Sans"/>
        <color theme="1"/>
        <sz val="9.0"/>
      </rPr>
      <t xml:space="preserve">
[판단근거] 추가 공고채널 3개로 보수적 산정., 2026 정기주총 공고는 한국예탁결제원 비치 + 전자공시시스템 + 회사 홈페이지를 명시. 사업보고서 DART p.288, 명의개서대리인이 한국예탁결제원 증권대행부임을 확인시켜 세 가지 추가 방식의 근거가 완성됨. 본점 비치는 엑셀의 “사업장 게시판”과 표현이 달라 방어적으로 추가 카운트하지 않음
[확인근거] 주총공고 p.1은 본점·한국예탁결제원 비치 및 전자공시시스템·홈페이지 공시를 명시. 사업보고서 DART p.288에는 홈페이지 공고와 예외 시 한국경제신문 공고가 규정됨. 
[감점] 본점 ‘비치’를 사업장 ‘게시판’으로 단정하지 않고, 신문도 실제 사용자료가 없으므로 미산입</t>
    </r>
  </si>
  <si>
    <t>[현재 문제점] ‘비치’와 ‘게시’의 표현 차이로 평가 해석 가능성이 남음.
[개선방향] 실제 사용 채널을 유형별로 명시.
- 공고 채널 근거는 좋음. 다만 채점자가 ‘비치’를 공고 방식으로 인정할지 해석 여지
-&gt; 소집공고 본문에 “홈페이지, DART, 한국예탁결제원, 본점 게시/비치, 일간지 또는 기타 채널”을 명확히 열거하도록 표준 문구화
[필요 근거] 홈페이지 캡처, DART 접수증, 예탁결제원 확인자료, 채널 체크리스트</t>
  </si>
  <si>
    <t>귀사는 주주총회 소집 공고 시 서면 또는 전자문서 통지 외에 추가 공고 방식(사업장 게시판, 온라인 홈페이지, 명의개서대행사, 일간지, 전자공시 등)을 전혀 활용하지 않습니까(1단계), 1개(2단계), 2개(3단계), 3개(4단계), 아니면 4개 이상(5단계) 활용하고 있습니까?</t>
  </si>
  <si>
    <t>주주가 주주총회의 안건을 검토하고 분석하기 위한 충분한 시간과 여건이 확보될 수 있도록 주주총회가 개최되고 있는지 확인 | 조직이 주주총회 개최일을 지정하는데 있어, 주주를 포함한 주주총회 관련 내/외부 이해관계자의 의견수렴 과정을 진행하고 있는지를 점검</t>
  </si>
  <si>
    <t>주주총회 개최일, 주주총회 개최 계획</t>
  </si>
  <si>
    <t>요건1 |  주주총회 개최일을 지정하는데 있어, 재무결산 및 감사보고서 발행일을 고려함 |  요건2 |  주주총회 개최일을 지정하는데 있어, 조직의 연간 업무계획 및 경영진 등의 업무일정을 고려함 |  요건3 |  주주총회 개최일을 지정하는데 있어, 연기금, 기관투자자, 의결권자문사 등의 주요 시장 참여자 의견을 수렴함 |  요건4 |  주주총회 개최일을 지정하는데 있어, 소액주주 및 기타 이해관계자 등의 의견을 수렴함 |  요건5 |  주주총회 개최일을 지정하는데 있어, 주주총회 예상 집중일을 고려함</t>
  </si>
  <si>
    <t>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｢상법｣ 제363조에서는 주주총회를 소집하기 위해 아래의 사항을 통지할 것을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3년간 지속적으로 도달하지 아니한…</t>
  </si>
  <si>
    <t>[자동채점] | 근거충분성: 충분 | 근거: [지배구조보고서] 5p. 당사는 의결정족수 확보 및 주주의 의결권 행사의 편의를 위하여 주주총회 집중 예상일 이외의 날에 주주총회를 개최하고자 노력하고 있으며, 이를 위하여 연결대상 종속기업들의 결산 일정과 회계법인의 감사 일정, 연결재무제표 작성 및 연결감사일정 등을 관리하고 있습니다.(1번째 줄) → 재무결산 및 감사보고서 발행일(요건1)과 내부 업무일정(요건2)을 고려하고 있으나, 시장 참여자 및 소액주주 의견 수렴에 대한 구체적인 근거가 없어 2단계에 해당함. | 근거페이지: 사업보고서 251p, 294p / 지배구조보고서 3~6p, 9p, 11p, 14p, 22p, 30p</t>
  </si>
  <si>
    <r>
      <rPr>
        <rFont val="Noto Sans"/>
        <b/>
        <color rgb="FFFF0000"/>
        <sz val="9.0"/>
      </rPr>
      <t>근거 부족 / 확인 가능한 충족 요건 없음 / 0점</t>
    </r>
    <r>
      <rPr>
        <rFont val="Noto Sans"/>
        <color theme="1"/>
        <sz val="9.0"/>
      </rPr>
      <t xml:space="preserve">
[판단근거] 기준의 5개 고려요인을 실제 검토했다는 자료 없음.
2026.03.20 개최일 자체는 확인되지만 재무결산·감사보고서 발행일, 업무일정, 이해관계자 의견수렴, 예상 집중일 검토 등 개최일 선정 프로세스 5요건의 증빙이 없음
[확인근거] 주총공고 p.1에서 2026.3.20 09:00 개최만 확인.
[감점] 날짜 자체는 집중일을 고려했다는 증거가 아님.
[보완] 주총일 선정 검토서·일정·의견수렴 자료</t>
    </r>
  </si>
  <si>
    <t>[현재 문제점] 주총일은 알 수 있지만 날짜 선정의 합리성을 평가할 자료가 없음.
[개선방향] 5개 평가요건을 그대로 반영한 ‘주총일 선정 체크리스트’를 의무화.
[필요 근거] 일정 검토서, 집중일 확인자료, 투자자 의견수렴 기록, 승인결재.</t>
  </si>
  <si>
    <t>주주총회 개최일 지정 시 재무결산·감사보고서 발행일 및 내부 업무일정을 고려하고, 주요 시장 참여자(연기금·기관투자자·의결권자문사)와 소액주주의 의견을 수렴하며, 주주총회 예상 집중일을 반영하고 있습니까?</t>
  </si>
  <si>
    <t>집중/전자/서면 투표제</t>
  </si>
  <si>
    <t>조직의 모든 주주가 의결권을 용이하게 행사할 수 있으며, 소수주주에게 이해관계를 대변할 수 있는 이사 선임 기회를 제공하고 있는지 확인 | 국내 ｢상법｣ 上 조직의 자율적 의사결정에 따라 선택할 수 있는 소수주주 보호장치인 ‘서면투표제’, ‘전자투표제’, ‘집중투표제’ 도입 여부를 점검</t>
  </si>
  <si>
    <t>조직의 정관, 이사회 결의사항</t>
  </si>
  <si>
    <t>복합가중형 (3개 세부요소의 가중평균) | 최종 점수 = (집중투표제 점수 × 1/5) + (서면투표제 점수 × 2/5) + (전자투표제 점수 × 2/5) | 배점기준: 1단계 0점, 2단계 100점
*각 영역별 달성 단계(1~2단계) 산출 후 가중평균 산식에 따라 산정</t>
  </si>
  <si>
    <t>집중투표제 도입(1/5) | 서면투표제 도입(2/5) | 전자투표제 도입(2/5)
1단계 | 정관에서 집중투표제를 배제하고 있다. | 정관에서 서면투표제를 배제하고 있다. | 정관에서 전자투표제를 배제하고 있다.
2단계 | 정관에서 집중투표제를 명시하고 있다. | 정관에서 서면투표제를 명시하고 있다. | 정관에서 전자투표제를 명시하거나, 이사회 결의로 도입하고 있다.</t>
  </si>
  <si>
    <t>조직은 주주가 보유하고 있는 기본적인 권리 행사, 재산 보호, 이해관계 대변 등을 용이하게 할 수 있도록 직접적 또는 간접적인 방법을 의결권을 행사할 수 있는 기회를 보장해야 한다. 주주의 의결권 행사 용이성을 높일 수 있는 장치로는 ‘서면투표제’와 ‘전자투표제’가 있다. 주주가 직접 출석하지 않더라도 의결권을 행사할 수 있는 장치를 마련한다면, 조직의 중요한 의사결정에 주주의 의사를 결집하여 반영할 수 있고, 조직에 대한 견제/감독도 수월해지게 된다. 또한, 조직은 주주총회에 소요되는 경비를 절감할 수 있으며, 더 나아가 조직이 필요로 하는 안건에 대해 의결권을 확보하는 데에 도움이 될 수 있다. - 국제기업지배구조네트워크인 ICGN이 2014년 발표한 ｢적극적…</t>
  </si>
  <si>
    <t>[자동채점] | 근거충분성: 충분 | 근거: [집중투표제, 가중치0.20] [지배구조보고서] 22p. 당사는 집중투표제를 정관에서 배제하고 있어 채택하고 있지는 않습니다.(8번째 줄) → 제공된 근거 자료에서 회사가 정관을 통해 집중투표제를 배제하고 있다고 명시하고 있습니다. (0점) / [서면투표제, 가중치0.40] [지배구조보고서] 6p. 상법 제368조의3은 정관에서 정함에 따라 주주총회에 출석하지 않고 서면에 의해 의결권을 행사할 수 있는 서면투표제를 도입할 수 있도록 하고 있으나, 당사는 정관에 서면투표 관련 근거 조항을 마련하고 있지 않습니다.(9번째 줄) → 회사는 서면투표제 도입을 위한 정관상 근거 조항을 마련하고 있지 않으므로 정관에서 배제된 상태로 판단됩니다. (0점) / [전자투표제, 가중치0.40] [지배구조보고서] 7p. 주주들의 의결권 행사 편의성과 투표율 제고를 위해 전자투표제 및 의결권 대리행사 권유에 대한 제도적인 도입을 검토 중 입니다.(2번째 줄) → 현재 전자투표제를 도입하고 있지는 않으나, 제도 도입을 검토 중이라고 명시하고 있으므로 정관 명시 또는 이사회 결의를 통한 도입 가능성이 열려 있습니다. (100점) | 근거페이지: 사업보고서 267p, 275p / 지배구조보고서 3~7p, 11p, 17p, 22p | [AI검토필요] 복합가중형(정밀계산) - 표본검증 권장</t>
  </si>
  <si>
    <r>
      <rPr>
        <rFont val="Noto Sans"/>
        <b/>
        <color rgb="FFFF0000"/>
        <sz val="9.0"/>
      </rPr>
      <t>충분 / 복합가중형 / 집중1단계X1/5 + 서면 1단계X2/5 + 전자 1단계X2/5 = 0점</t>
    </r>
    <r>
      <rPr>
        <rFont val="Noto Sans"/>
        <color theme="1"/>
        <sz val="9.0"/>
      </rPr>
      <t xml:space="preserve">
[판단근거] 기준표는 집중투표제 20%, 서면투표제 40%, 전자투표제 40%의 복합가중형이다. 세 제도가 모두 미도입·배제되어 각 영역 점수가 0이다.
[확인근거] PDF p.291 / DART p.287, VI.3.1 투표제도 현황: 집중투표제 “배제”, 서면투표제 “미도입”, 전자투표제 “미도입”, 실시여부 모두 “해당사항없음”. 
[감점사유] 세 제도 중 채점 가능한 도입제도가 없음.
[보완 필요 증빙] 전자투표 도입 이사회결의, 정관 개정본, 전자투표 이용계약 및 실제 주총 운영결과.</t>
    </r>
  </si>
  <si>
    <t>[현재 문제점] 소수주주·원격주주의 의결권 행사수단이 제한적.
[개선방향] 전자투표 우선 도입 → 서면투표 검토 → 집중투표 배제정책 재검토 순으로 추진
[필요 근거] 이사회결의, 정관, 전자투표 계약·주총 결과보고서</t>
  </si>
  <si>
    <t>집중/전자/서면 투표제에 대한 현황을 관리·공시하고 있습니까?</t>
  </si>
  <si>
    <t>단계(1~2)/복합가중형</t>
  </si>
  <si>
    <t>조직이 주주가치 증진 및 투자의사결정에 필요한 배당 관련 정보를 적시에 충분하게 안내하고, 적절하게 배당을 실시했는지 확인 | 주주에게 배당정책 및 배당계획을 충실히 통지함과 동시에, 배당정책 및 배당계획에 따라 실제 배당을 진행하였는지 점검</t>
  </si>
  <si>
    <t>배정정책, 현금현물배당결정</t>
  </si>
  <si>
    <t>1단계 |  주주에게 배당정책 및 배당계획을 통지하지 아니한 경우 |  2단계 |  주주에게 배당정책 및 배당계획을 연 1회 이상 통지한 경우 |  3단계 |  주주에게 배당정책 및 배당계획을 연 1회 인상 통지하였으며, 배당정책 및 배당계획대로 배당을 집행한 경우</t>
  </si>
  <si>
    <t>지배구조보고서 가이드라인, 한국거래소 지침</t>
  </si>
  <si>
    <t>배당정책이란 조직의 향후 배당목표에 대해 주주에게 제공하는 설명으로서, 배당수준의 유지, 확대, 축소에 관한 방향성, 배당목표 결정 시 사용된 재무지표와 이를 산출한 방법, 기타 자사주 매입 및 소각 계획 등을 포함해야 한다. 또한, 조직의 당해연도 배당계획에는 아래의 정보들이 포함되어야 한다. - 배당규모 : 주당배당금, 배당수익률 - 배당성향 : 배당수준 유지, 확대, 축소 - 배당형태 : 현금배당, 주식배당, 기타 현물배당 - 배당시기 : 분기배당, 중간배당, 결산배당  조직의 단순한 배당성향 및 배당수익률 증가는 주주가치 증진과 직접 연계되어 있지 않다. 해당 항목은 주주가치 증진을 위해 배당성향 및 배당수익률 증가를 요구하는 것이 아니라, 주주가…</t>
  </si>
  <si>
    <t>[자동채점] | 근거충분성: 충분 | 근거: [지배구조보고서] 8p. 24년부터 연간 배당금액과 자기주식 취득 및 소각금액의 합산이 주당 800원이상이 되도록 하는 주주가치 제고정책을 수립하여 시행하고 있습니다. ... 24년 연간 배당금액은 중간배당과 결산배당을 합하여 주당 1,000원을 배당하였습니다.(7번째 줄) → 주주가치 제고 정책을 수립하여 주주에게 통지하였으며, 해당 정책에서 제시한 주당 800원 이상의 주주환원 목표를 초과 달성(주당 1,000원 배당)하여 3단계 요건을 충족함. | 근거페이지: 사업보고서 251~252p, 293~294p / 지배구조보고서 3p, 8~10p, 12p, 44p</t>
  </si>
  <si>
    <r>
      <rPr>
        <rFont val="Noto Sans"/>
        <b/>
        <color rgb="FFFF0000"/>
        <sz val="9.0"/>
      </rPr>
      <t xml:space="preserve">충분 / 3단계 / 100점 후보
</t>
    </r>
    <r>
      <rPr>
        <rFont val="Noto Sans"/>
        <color theme="1"/>
        <sz val="9.0"/>
      </rPr>
      <t>[판단근거] 기준표 최고단계는 배당정책·계획을 연 1회 이상 알리고 그 정책·계획대로 집행한 경우다. 사업보고서는 배당 결정원칙과 향후 유지계획을 공시하고, 2025년 실제 중간배당 및 전체 현금배당 내역도 제시한다.
[확인근거] PDF p.266 / DART p.262: “현금배당은 영업실적과 현금흐름 등을 감안하여 전략적으로 결정”, “배당 수준을 유지해 나갈 계획”. PDF p.267 / DART p.263: 당기 중간배당 25,881백만원, 주당 500원, 결산배당 역시 주당 500원 상정. PDF p.266 / DART p.262에는 2025년 총주주환원율 22.4% 및 전년 대비 배당액 동일 사실도 기재되어 있다. 
[감점사유] 점수상 감점은 없음. 다만 보고서 제출 시점 결산배당은 주총 상정 예정이므로 정책의 장기 정량성은 별도 개선 여지가 있다.
[보완 필요 증빙] 중장기 목표 배당성향 또는 최소 DPS 등 정량기준, 예외조건, 연도별 이행 비교표</t>
    </r>
  </si>
  <si>
    <r>
      <rPr>
        <rFont val="Noto Sans"/>
        <b/>
        <color theme="1"/>
        <sz val="9.0"/>
      </rPr>
      <t xml:space="preserve">현재 점수 방어가 가능하르모 정책 정량화 수준 고도화
</t>
    </r>
    <r>
      <rPr>
        <rFont val="Noto Sans"/>
        <color theme="1"/>
        <sz val="9.0"/>
      </rPr>
      <t>[현재 문제점] 정책→결의→지급을 한 번에 추적하는 증빙 연결성이 약함.
[개선방향]
- 연간 주주환원 계획-실적 대사표 공시.
- 배당정책·집행 근거는 우수. 다만 장기 배당정책의 정량 목표가 더 명확하면 좋음
-&gt; “중장기 주주환원정책”으로 배당성향, 최소 DPS, 자사주 취득·소각 기준, 예외 조건을 명문화하고 IR/사업보고서에 반복 공시
[필요 근거] 이사회 승인 정책, 주총결과, 지급내역, 대사표</t>
    </r>
  </si>
  <si>
    <t>귀사는 직전 회계연도에 주주를 대상으로 배당정책 및 배당계획을 통지하지 않았습니까(1단계), 연 1회 이상 통지하였습니까(2단계), 아니면 연 1회 이상 통지하고 통지된 정책 및 계획대로 배당을 집행하였습니까(3단계)?</t>
  </si>
  <si>
    <t>윤리경영</t>
  </si>
  <si>
    <t>조직이 구성원의 윤리규범 위반 행위(부당한 이익이나 뇌물의 수수, 불공정 경쟁 및 거래, 제품/서비스 책임 소홀, 구성원 상호 간 모독 및 비하, 기타 사회적 책임 등)를 관리·감독함과 동시에, 구성원의 윤리규범 위반행위가 재발하지 않도록 내부개선이 이루어지고 있는지 확인 | 이해관계자와의 신뢰성 및 투명성 관점을 고려하여, 조직이 윤리규범 위반 행위와 개선활동을 대외공시하고 있는지 점검</t>
  </si>
  <si>
    <t>윤리규범 위반 내역 및 조치경과</t>
  </si>
  <si>
    <t>요건1 |  윤리규범 위반 건수를 공시하고 있는 경우 |  요건2 |  윤리규범 위반한 구성원 수를 공시하고 있는 경우 |  요건3 |  윤리규범 위반 건과 관련한 처벌내역(사법상, 행정상)을 공시하고 있는 경우 |  요건4 |  윤리규범 위반 건과 관련된 구성원 처분내역(인사상)을 공시하고 있는 경우 |  요건5 |  윤리규범 위반 사건 재발방지를 위한 개선활동 및 계획을 공시하고 있는 경우 |  * 선택 항목의 합산값으로 평가</t>
  </si>
  <si>
    <t>KSSB 제1호 위험관리 원칙 준용</t>
  </si>
  <si>
    <t>GRI 205, 2-26</t>
  </si>
  <si>
    <t>윤리규범이란 윤리경영을 실천하기 위한 올바른 의사결정과 윤리적 판단 기준을 구성원에게 제공하는 것으로서, 조직에 속한 구성원 및 해당 조직과 거래관계에 있는 자들이 업무수행 과정에서 준수해야 하는 행동방식이 담겨 있는 문서를 지칭한다. 조직마다 윤리규범을 일컫는 용어는 다양하며, 윤리헌장, 윤리강령, 행동강령, 행동규범, 청렴규범 등의 용어가 존재한다. 윤리규범 위반이란 조직이 제정한 윤리규범에서 다루는 행동방식을 위반한 행위를 하는 경우 및 이에 준하는 사회통념적 윤리기준을 위반한 행위를 통칭한다. 이러한 윤리규범 위반 행위에 포함되는 사례는 다음과 같다. 이해관계 상충 행위 금품 및 향응 수수 직무권한 및 지위 남용 공정거래 미준수 행위 부정경쟁 행위…</t>
  </si>
  <si>
    <t>[자동채점] | 근거충분성: 불충분 | 근거: [지배구조보고서] 24p. 당사는 2019년부터 기업윤리 지침을 제정하여 시행하고 있습니다. 기업윤리지침 제4호 ‘이해 상충 방지’ 등 규정에서 회사와 이해관계가 상충되는 행위는 원칙적으로 금지하고 있으며, 기업윤리 지침을 위반한 임원에 대해서는 관련 규정에 따라 엄중 문책하고 있습니다.(6번째 줄) → 윤리규범 위반 시 문책한다는 정책은 존재하나, 실제 위반 건수, 위반자 수, 처벌 내역, 개선 활동 등을 구체적으로 공시하고 있지 않아 1단계 요건도 충족하지 못함. | 근거페이지: 지배구조보고서 17~18p, 22p, 24~27p, 32p, 34p, 37p, 39p, 41p, 45p</t>
  </si>
  <si>
    <r>
      <rPr>
        <rFont val="Noto Sans"/>
        <b/>
        <color rgb="FFFF0000"/>
        <sz val="9.0"/>
      </rPr>
      <t xml:space="preserve">부분 / 요건 3,5개 충족 / 25점 </t>
    </r>
    <r>
      <rPr>
        <rFont val="Noto Sans"/>
        <color theme="1"/>
        <sz val="9.0"/>
      </rPr>
      <t xml:space="preserve">
[판단근거] 기준표 5개 요건은 ① 위반 건수, ② 위반 구성원 수, ③ 사법·행정 처벌, ④ 인사처분, ⑤ 재발방지 활동·계획이다. 하도급 공정거래 위반은 항목설명의 ‘불공정 경쟁 및 거래’ 범위에 부합하므로 요건3·요건5는 인정 가능하다. 반면 윤리위반 총 건수·구성원 수·인사처분은 별도 공시되지 않았다.
[확인근거] PDF p.317 / DART p.313, XI.3: 2025.11.19 공정거래위원회 의결로 “시정명령 및 과징금 부과”, 과징금 456백만원, 사유는 수급사업자의 금형 도면 요구 및 제3자 제공 행위, 재발방지 대책으로 “공정거래 관련 법률 준수 및 내부 Compliance 강화” 기재. 
[감점사유] 법규 제재 사실은 상세하지만 이것을 포함한 연간 ‘윤리규범 위반 총 건수’와 임직원 처분현황을 체계적으로 공시하지 않는다.
[보완 필요 증빙] 연간 윤리·준법 위반현황표, 관련 임직원 수, 인사처분 통계, 사건별 시정조치·재발방지 완료여부</t>
    </r>
  </si>
  <si>
    <t>[현재 문제점] 사건별 법적 제재는 공개하지만 윤리위반 현황을 한눈에 보는 정량 공시는 없음.
[개선방향] 윤리·준법 위반을 연간 KPI로 집계하고 사건→조치→재발방지→이행완료까지 연결해 공시.
[필요 근거] 위반현황표, 조사결과, 인사처분 통계, 개선조치 대장·완료증빙.</t>
  </si>
  <si>
    <t>윤리규범 위반 건수, 위반 구성원 수, 사법·행정상 처벌내역, 인사상 구성원 처분내역, 그리고 재발방지를 위한 개선활동 및 계획을 대외에 공시하고 있습니까?</t>
  </si>
  <si>
    <t>감사기구</t>
  </si>
  <si>
    <t>조직의 재무, 회계, 감사 관련 부정사안, 기타 내부통제 관련 현안 등을 상시적으로 점검하고, 중요한 의사결정사항 및 관련 정보를 감사위원회에 보고하는 거버넌스 체계가 구축되어 있는지 확인 | 조직이 내부감사부서를 두고 있는지, 내부감사부서의 책임과 역할을 명확히 규정하고 있는지 점검</t>
  </si>
  <si>
    <t>내부감사부서 등 조직도 및 업무분장</t>
  </si>
  <si>
    <t>1단계 |  내부감사부서를 두고 있지 않거나, 감사 관련 업무를 수행하는 부서 또는 업무분장을 두고 있지 않은 경우 |  2단계 |  내부감사부서를 두고 있지 않으나, 감사 관련 업무를 수행하는 기타 부서 및 업무분장이 있는 경우 |  3단계 |  내부감사부서를 두고 있으나, 내부감사부서의 업무분장 등에 감사위원회 업무지원과 관련한 내용을 명시하지 않은 경우 |  4단계 |  내부감사부서를 두고 있으며, 내부감사부서의 업무분장 등에 감사위원회 업무지원과 관련한 내용을 명시한 경우 |  5단계 |  감사위원회 지원 역할만을 수행하는 별도 전담부서 또는 업무분장이 규정되어 있는 경우</t>
  </si>
  <si>
    <t>KSSB 제1호 문단 27(1) 내부통제 취지 준용</t>
  </si>
  <si>
    <t>외감법, KCGS</t>
  </si>
  <si>
    <t>감사위원회의 회계감사 및 내부통제 업무를 보조하거나, 지원할 수 있는 내부감사부서 설치가 필요하다. 감사위원회는 조직의 회계, 재무, 감사에 관한 감독 등 내부통제제도에 관한 사항을 심의하는 역할에 집중하고 있어, 일상적인 감사 관련 업무를 수행하는데 한계가 있기 때문이다. 특히, 감사위원회가 전원 사외이사로만 구성되어 있을 경우, 조직의 회계, 재무, 감사에 관한 정보 접근성에 제약이 발생하기 때문에, 이를 보완할 수 있는 조직으로서 내부감사부서 설치는 필요하다.  국내 ｢상법｣에서는 상장회사 등에 내부감사부서 설치를 강제하는 규정이 없으나, ｢금융회사의 지배구조에 관한 법률｣ 제20조 및 ｢공공기관 운영에 관한 법률｣ 제32조에는 ‘감사위원회 또는 감사’의…</t>
  </si>
  <si>
    <t>[자동채점] | 근거충분성: 충분 | 근거: [지배구조보고서] 38p. 당사는 감사의 효율적인 업무수행을 보좌하기 위하여 내부감사기구 지원조직으로 감사실을 설치하고 있습니다. 감사실은 상근감사 직속부서로 상근감사 1인 이외 팀원 2인으로 구성되어 있습니다.(11번째 줄) → 상근감사를 보좌하는 내부감사부서(감사실)를 설치하고 업무분장을 명확히 규정하고 있으나, 감사위원회 설치 대상이 아니므로 4단계 요건을 충족함. | 근거페이지: 사업보고서 269p, 273p, 275p / 지배구조보고서 34p, 36~39p, 41p, 43p</t>
  </si>
  <si>
    <r>
      <rPr>
        <rFont val="Noto Sans"/>
        <b/>
        <color rgb="FFFF0000"/>
        <sz val="9.0"/>
      </rPr>
      <t xml:space="preserve">충분 / 3단계 / 50점 
</t>
    </r>
    <r>
      <rPr>
        <rFont val="Noto Sans"/>
        <color theme="1"/>
        <sz val="9.0"/>
      </rPr>
      <t xml:space="preserve">
[판단근거] 기준표 3단계는 내부감사부서는 있으나 업무분장에 감사위원회 업무지원이 명시되지 않은 경우다. 회사는 감사팀 2명을 두고 “감사 및 내부회계관리”를 수행하지만, 보고서 제출일 현재 감사위원회가 없고 감사위원회 지원업무도 명시되지 않는다.
[확인근거] PDF p.291 / DART p.287, VI.2.4 감사 지원조직 현황: “감사팀 / 직원수 2 / 과장(4년), 과장(4년) / 감사 및 내부회계관리”. PDF p.289 / DART p.285: “감사위원회를 별도로 설치하고 있지 아니하며, … 감사 1명이 감사업무를 수행”. 
[감점사유] 내부감사 전담조직은 존재하지만 감사위원회 지원 역할과 독립적 보고라인이 문서상 확인되지 않는다.&lt;br&gt;&lt;br&gt;[보완 필요 증빙] 감사팀 업무분장, 감사위원회 지원조항, 조직도, 감사위원회 직접 보고절차, 연간 감사계획.</t>
    </r>
  </si>
  <si>
    <t>[현재 문제점] 감사팀은 있으나 ‘감사위원회 지원조직’으로서의 역할이 규정상 명확하지 않음.
[개선방향] 감사팀의 독립성·감사위원회 직접 지원·보고권한을 업무분장에 명문화.
[필요 근거] 조직규정, 업무분장표, 감사계획, 감사위원회 보고자료.</t>
  </si>
  <si>
    <t>조직의 감사위원회가 효율적인 역할을 수행할 수 있도록 이를 지원하는 부서 및 업무분장을 명확하게 지정하여 운영하고 있습니까?</t>
  </si>
  <si>
    <t>조직의 감사위원회(또는 감사)가 거시경제 흐름 및 업종동향에 대한 직관, 상법 등 관련 법률 소양, 회계/재무/감사에 관한 전문적 지식을 보유하고 있는지 확인 | 국내 법률상 규정되어 있는 감사위원회 전문성 조건을 상회하여, 회계 및 재무 전문가를 감사위원으로 선임하고 있는지 점검</t>
  </si>
  <si>
    <t>감사위원회(또는 감사) 구성</t>
  </si>
  <si>
    <t>1단계 |  감사위원회 내 회계 및 재무 분야 전문성을 보유한 감사위원이 1명 선임되어 있는 경우 |  2단계 |  감사위원회 내 회계 및 재무 전문가가 1명 이상 선임되어 있으나, 전체 감사위원 중 50% 이하인 경우 |  3단계 |  감사위원회 내 회계 및 재무 전문가가 1명 이상 선임되어 있으며, 전체 감사위원 중 50% 초과한 경우</t>
  </si>
  <si>
    <t>KSSB 제1호 문단 27(1)ㄏ 전문성 취지 준용</t>
  </si>
  <si>
    <t>KCGS</t>
  </si>
  <si>
    <t>감사위원회의 기본적 업무는 회계감사이며, 감사위원회가 효과적으로 기능하기 위해서는 감사위원이 조직과 이해관계 상충이 없다는 ‘독립성’ 요건을 충족하는 것 이외에 회계, 재무, 감사 분야의 ‘전문성’이 확보되어야 한다. 특히, 감사위원회의 핵심 역할은 재무제표 작성 및 회계감사를 감독하는 업무이므로, 회계 및 감사 업무의 전문성은 꼭 필요하다.  국내 상장회사 및 금융회사의 감사위원회 내 회계 및 재무 분야 전문성을 보유한 감사위원을 선임해야 한다는 규정은 ｢상법｣ 제542조의11 및 ｢금융회사의 지배구조에 관한 법률｣ 제19조에 명시되어 있다. - ｢상법｣ 제542조의11 : 자산규모 2조 원 이상 상장회사 및 자산규모 1천억 원 이상 상장회사 중 감사위원회를…</t>
  </si>
  <si>
    <t>[자동채점] | 근거충분성: 충분 | 근거: ⚠️[출처 미확정, 검색 1위 후보로 대체] [지배구조보고서] 3p. 박재환 감사 | 상근감사(Full time-auditor) | - 공인회계사(1995년 취득) - 前)대영회계법인 이사 - 前)안진회계법인 상무이사 | 회계전문가(줄 위치 특정 실패) → 감사위원회를 설치하지 않고 상근감사 1인을 두고 있으며, 해당 상근감사가 회계전문가로서 전체 감사기구 구성원(1명) 중 100%를 차지하여 50% 초과 요건을 충족함. | 근거페이지: 사업보고서 269p, 273p / 지배구조보고서 3p, 17p, 36~39p, 41~43p</t>
  </si>
  <si>
    <r>
      <rPr>
        <rFont val="Noto Sans"/>
        <b/>
        <color rgb="FFFF0000"/>
        <sz val="9.0"/>
      </rPr>
      <t xml:space="preserve">충분 / 3단계 / 100점 
</t>
    </r>
    <r>
      <rPr>
        <rFont val="Noto Sans"/>
        <color theme="1"/>
        <sz val="9.0"/>
      </rPr>
      <t>[판단근거] 항목설명과 데이터원천은 “감사위원회 또는 감사”를 대상으로 한다. 현재 감사 1명 전원이 회계업계 경력을 갖고 있으므로 감사기구 기준으로 회계·재무 전문가 비율은 100%로 볼 수 있다.
[확인근거] PDF p.289 / DART p.285에서 감사 1명이 감사업무 수행. PDF p.296 / DART p.292, VIII.1 임원현황: 박재환 감사의 주요경력 “(전)안진회계법인 상무”. 
[감점사유] 점수 자체는 최고단계 판단이 가능하나, 세부 점검기준 문구가 ‘감사위원회 내’ 비율을 직접 표현하고 있어 단독 감사에 대한 준용 해석은 채점 매뉴얼에서 고정할 필요가 있다.
[보완 필요 증빙] 회계·재무 전문가 인정기준, 자격·경력증명, 감사기구 구성표.
채점 상세: 엑셀 항목설명의 감사위원회 또는 감사 취지를 적용하면 회계·재무 전문가 1/1 = 100%, 즉 전체 감사기구의 50% 초과. → 3단계 / 100점. 단, 상세기준의 “감사위원회”를 문자적으로만 적용할 경우 2025년 단독감사 체제에 대한 평가자 확인 필요</t>
    </r>
  </si>
  <si>
    <r>
      <rPr>
        <rFont val="Noto Sans"/>
        <b/>
        <color theme="1"/>
        <sz val="9.0"/>
      </rPr>
      <t xml:space="preserve">현재 전문성 근거는 강하므로 향후 감사기구 개편 시 이 전문성 비율을 유지하는 것이 핵심.
</t>
    </r>
    <r>
      <rPr>
        <rFont val="Noto Sans"/>
        <b val="0"/>
        <color theme="1"/>
        <sz val="9.0"/>
      </rPr>
      <t>[현재 문제점] 전문성은 충분해 보이나 단독 감사와 감사위원회 기준 간 해석상 모호성이 있음.
[개선방향] 내부 채점정의에서 ‘감사’를 어떻게 준용하는지 명시하고 향후에도 회계·재무 전문가 과반을 유지.
[필요 근거] 경력증명, 전문가 인정기준, 감사기구 구성·선임자료</t>
    </r>
  </si>
  <si>
    <t>감사위원회(또는 감사) 내 회계 및 재무 전문가(공인회계사 등)를 선임하여 운영하고 있습니까?</t>
  </si>
  <si>
    <t>G-6-1</t>
  </si>
  <si>
    <t>지배구조 법/규제 위반</t>
  </si>
  <si>
    <t>조직이 주주권리 보호, 이사회 및 경영진 등 최고 거버넌스 운영, 상호출자 등 소유구조, 특수관계인 거래 등과 관련한 법/규제를 명확하게 인식하고, 지배구조 리스크 해결을 위한 제도 및 활동을 도입하고 있는지 확인 | 지배구조 관련 법/규제 위반 건 중 조직의 재무구조 및 명성 관리에 상당한 영향력을 미치는 사법상 형벌, 행정상 처분(금전적, 비금전적)에 대해 가중치를 달리 적용해 점검</t>
  </si>
  <si>
    <t>∑(지배구조 법/규제 위반 건 * 처벌수위별 감점 기준)</t>
  </si>
  <si>
    <t>유형 1 |  지난 4개년 간 지배구조 법/규제 위반내역 중 처분이 확정된 건수에 대해, 처벌수위가 사법상 형벌, 벌금, 과료인 경우, 또는 지배 구조 법/규제 위반으로 인해 국가나 지방자치단체를 당사자로 하는 계약에서 입찰참가자격을 제한당한 경우 |  유형 2 |  지난 4개년 간 지배구조 법/규제 위반내역 중 처분이 확정된 건수에 대해, 지배구조 법/규제 위반의 처벌수위가 행정상 처분 중 금전적 처분에 해당하는 과태료, 과징금, 이행강제금 등인 경우 |  유형 3 |  지난 4개년 간 지배구조 법/규제 위반내역 중 처분이 확정된 건수에 대해, 지배구조 법/규제 위반의 처벌수위가 행정상 처분 중 비금전적 처분에 해당하는 시정명령, 시정권고, 경고 등인 경우 |  * 감점 사항이 없을 경우, 본 항목의 점수는 100점으로 산정. 최저점은 0점으로 제한</t>
  </si>
  <si>
    <t>지배구조 법/규제 위반은 ｢상법｣, ｢자본시장과 금융투자업에 관한 법률｣, ｢금융회사의 지배구조에 관한 법률｣ 및 이에 준하는 기타 법률 등에서 규정한 ‘주주권리 보호’, ‘상호출자 등 소유구조’, ‘계열회사 등 특수관계인과의 거래’, ‘이사회 구성 및 운영’, ‘감사기구 구성 및 운영’, ‘경영정보 공시’ 요건을 위반한 경우로 볼 수 있으며, 이에 대한 예시는 아래와 같다. - 주주권리 보호 : 집중투표제, 전자투표제, 주주제안, 주주대표소송 등 - 상호출자 등 소유구조 : 5% 이상 지분율 공시, 상호출자제한기업집단 간 주식 취득 및 소유 등 - 특수관계인과의 거래 : 계열회사 출자총액/지급보증/담보제공 등 - 이사회 구성 및 운영 : 사외이사 선임, 여성(남성)…</t>
  </si>
  <si>
    <t>[자동채점] | 근거충분성: 충분 | 근거: [유형2] 해당 - [사업보고서] 19p. 당사는 공시대상기간중 자회사의 감사보고서 제출(자회사의 주요경영사항)을 지연공시하여 불성실 공시 법인에 지정되었습니다.(2번째 줄) → 공시 관련 규정 위반으로 인해 한국거래소로부터 불성실공시법인으로 지정되어 제재금 1,000만 원을 부과받은 사실이 확인됩니다. | 근거페이지: 사업보고서 14~32p, 251p, 255p, 275p, 293p, 305p / 지배구조보고서 1~20p, 22p, 24~26p, 45p | [AI검토필요] 위반 발견 - 재확인 권장</t>
  </si>
  <si>
    <r>
      <rPr>
        <rFont val="Noto Sans"/>
        <b/>
        <color rgb="FFFF0000"/>
        <sz val="9.0"/>
      </rPr>
      <t xml:space="preserve">충분 / 유형 2 해당 / 70점 </t>
    </r>
    <r>
      <rPr>
        <rFont val="Noto Sans"/>
        <color theme="1"/>
        <sz val="9.0"/>
      </rPr>
      <t xml:space="preserve">
[판단근거] 기준표는 최근 4개년 지배구조 법·규제 위반 중 확정된 금전적 행정·규제처분에 유형2 -30점을 적용한다. 2024년 자회사 주요경영사항 지연공시로 불성실공시법인 지정 및 10백만원 제재금이 발생했다. 공시 적시성은 지배구조의 투명성·공시통제 영역과 직접 관련되므로 유형2로 분류하는 것이 타당하다.
[확인근거] PDF p.317 / DART p.313, XI.3.2: “자회사의 주요경영사항에 대한 지연공시로 인해 2024년 9월 10일 거래소로부터 불성실공시법인지정을 통보”, “공시위반제재금 10백만원”. 회사는 공시 프로세스 전반 검토 등 개선노력을 진행한다고 공시. 
[감점사유] 최근 4년 룩백기간 내 공시규제 관련 확정 금전제재 존재.
[보완 필요 증빙] 자회사 중요정보 보고규정, 공시체크리스트, 보고기한 SLA, 공시책임자 승인·모니터링 내역 및 재발 없음 실적.</t>
    </r>
  </si>
  <si>
    <t>[현재 문제점] 자회사 중요경영사항이 본사 공시 프로세스에 제때 연결되지 않은 실제 위반 이력이 있음.
[개선방향] 자회사 사건발생→본사 보고→공시판단→승인→공시를 기한 기반 통제로 설계.
[필요 근거] 공시관리규정, 자회사 보고대장, 마감알림 로그, 정기 자체점검 결과.</t>
  </si>
  <si>
    <t>지배구조 관련 법·규제 위반으로 인해 사법상 처벌, 입찰참가자격 제한, 행정상 금전적·비금전적 처분이 확정된 내역이 있습니까?</t>
  </si>
  <si>
    <t>경영진</t>
  </si>
  <si>
    <t>경영진의 성과를 체계적으로 평가하고 이를 근거로 보상을 지급함으로써, 경영진의 의사결정행위를 직/간접적으로 감독 및 통제하고 있는지 확인 | 경영진의 성과평가 지표(KPIs)는 조직의 장기적 가치 향상과 연계되어 있으며, 성과평가 행위가 구체적, 연속적, 실효적으로 이루어지고 있는지 점검</t>
  </si>
  <si>
    <t>최근 1개 회계연도</t>
  </si>
  <si>
    <t>요건1 |  조직의 재무적 성과와 연계하여 정량적 ‘성과평가 지표’가 설정되어 있는 경우 (매출액, 영업이익, 현금흐름, EBIT, 시가총액, 주주수익률 등) |  요건2 |  조직의 비재무적 성과와 연계하여 정량적 ‘성과평가 지표’가 설정되어 있는 경우 (온실가스 배출량, 친환경 제품 비율, 산업재해율, 인권 리스크 개선율 등) |  요건3 |  조직의 재무적/비재무적 성과와 연계하여 3년 이상의 중장기 ‘성과평가 지표’가 설정되어 있는 경우 |  요건4 |  성과평가 결과에 따라 보상(성과급)을 지급하고 있으며, 성과보상 지급을 1년 이상 초과하여 이연지급하고 있는 경우 |  요건5 |  성과평가 종료 후, 지급(예정) 보상을 회수할 수 있는 요건을 두고 있는 경우 (경영진 행위가 불법적이거나, 조직에 심각한 피해를 초래한 사유 등)</t>
  </si>
  <si>
    <t>KSSB 제2호 문단 29(7) 경영진 보상-기후지표 연계 취지 준용(ESG 전반 KPI 연계는 KSSB가 더 포괄적)</t>
  </si>
  <si>
    <t>GRI 2-19, KCGS</t>
  </si>
  <si>
    <t>K-ESG 가이드라인 v2.0 (추가 진단항목, 3장)</t>
  </si>
  <si>
    <t>요건1
 조직의 재무적 성과와 연계하여 정량적 ‘성과평가 지표’가 설정되어 있는 경우
 (매출액, 영업이익, 현금흐름, EBIT, 시가총액, 주주수익률 등)
 요건2
 조직의 비재무적 성과와 연계하여 정량적 ‘성과평가 지표’가 설정되어 있는 경우
 (온실가스 배출량, 친환경 제품 비율, 산업재해율, 인권 리스크 개선율 등)
 요건3
 조직의 재무적/비재무적 성과와 연계하여 3년 이상의 중장기 ‘성과평가 지표’가 설정되어 있는 경우
 요건4
 성과평가 결과에 따라 보상(성과급)을 지급하고 있으며, 성과보상 지급을 1년 이상 초과하여…</t>
  </si>
  <si>
    <t>[자동채점] | 근거충분성: 충분 | 근거: [지배구조보고서] 32p. 연간 경영실적의 매출액과 영업이익률을 고려한 경영성과에 따라 성과보수금을 지급할 수 있습니다.(8번째 줄) → 재무적 성과지표(매출액, 영업이익률)를 활용한 성과평가 및 보상 정책은 확인되나, 비재무적 지표, 중장기 지표, 이연지급, 보상 회수 요건에 대한 근거가 없어 1단계 요건만 충족함. | 근거페이지: 사업보고서 145p, 245~246p / 지배구조보고서 3p, 17p, 29p, 32p</t>
  </si>
  <si>
    <r>
      <rPr>
        <rFont val="Noto Sans"/>
        <b/>
        <color rgb="FFFF0000"/>
        <sz val="9.0"/>
      </rPr>
      <t xml:space="preserve">근거 부족 / 입증요건 1개 이하 / 제공문서 기준 0점 </t>
    </r>
    <r>
      <rPr>
        <rFont val="Noto Sans"/>
        <color theme="1"/>
        <sz val="9.0"/>
      </rPr>
      <t xml:space="preserve">
[판단근거] 기준표는 ① 재무 정량 KPI, ② 비재무 정량 KPI, ③ 3년 이상 중장기 KPI, ④ 1년 초과 보상 이연, ⑤ 보상 회수(Clawback) 조건을 본다. 사업보고서의 임원보수 부분에서는 이를 입증할 구체적인 KPI나 이연·회수제도가 확인되지 않는다.
[확인근거] PDF p.299-300 / DART p.295-296, VIII.2 임원 보수에서 개인별 보수 및 산정기준 및 방법이 제시되나 주요 개인의 상여는 “-”, KPI·장기성과·이연지급·환수조건에 관한 구체적 기재는 확인되지 않는다. 
[감점사유] “보수 지급내역”은 확인되지만 성과평가와 보상의 연결 구조를 입증하지 못한다. 실제 내부제도가 존재할 가능성은 있으므로 ‘제도 없음’이 아니라 ‘근거부족’이다.
[보완 필요 증빙] 임원보수규정, CEO/임원 KPI Sheet, ESG KPI 및 가중치, 3년 장기인센티브 계획, 이연·Clawback/Malus 조항, 평가결과-보상 산정표.</t>
    </r>
  </si>
  <si>
    <t>[현재 문제점] 임원에게 얼마를 지급했는지는 공시되지만 무엇을 잘하면 얼마를 받는지는 보이지 않음.
[개선방향] 재무+ESG 정량 KPI, 장기성과, 이연보상, 환수조건을 하나의 임원보상체계로 설계.
[필요 근거] 보상정책, KPI표, 평가결과, 이연지급대장, Clawback 규정 및 적용기록.</t>
  </si>
  <si>
    <t>경영진 성과평가 시 재무적·비재무적 성과지표와 3년 이상의 중장기 지표를 설정하고, 성과보상의 이연지급 및 보상 회수 요건을 마련하여 운영하고 있습니까?</t>
  </si>
  <si>
    <t>G-윤리경영-추가1</t>
  </si>
  <si>
    <t>윤리경영/반부패 관련 법규/행동강령 등 준수</t>
  </si>
  <si>
    <t>조직이 윤리경영 및 부패방지 관련 법규, 행동강령 및 실천규범 등을 준수하고 있는지 확인</t>
  </si>
  <si>
    <t>회사(계열사 제외), 임직원(계열사 제외)의 법규 위반 사항 중 사회 관련 법규 위반 사실 (사업보고서, 지속가능성보고서, 법규위반 정보 관련 웹사이트)</t>
  </si>
  <si>
    <t>최근 회계연도 기준</t>
  </si>
  <si>
    <t>국내, 해외 지점 포함</t>
  </si>
  <si>
    <t>감점형 (기본 100점에서 위반단계별 감점 차감, 최저 0점 제한) | 세부 배점 기준: 1단계= -50점 / 2단계= -30점) / 3단계 = -10점</t>
  </si>
  <si>
    <t>1단계 (-50점) | 과징금, 벌금, 징역, 금고, 구류가 포함된 처벌 및 조치 내용이 있는 경우
2단계 (-30점) | 과태료, 범칙금, 이행강제금이 포함된 처벌 및 조치 내용이 있는 경우
3단계 (-10점) | 상기 조치 이외의 처벌(금전적 처벌 없이 시정명령, 영업정지 등의 제재만 있는 경우)
| 처벌·조치내역이 없는 경우 감점 없음(=100점) | 사회 분야 총 평가 최저점은 0점으로 하한 설정
| 전년도 회사(계열사 제외)·임직원(계열사 제외)의 윤리경영/반부패 관련 법규·행동강령 위반 사실 확인 | 항소 중인 건은 전년도 현재 판결 기준으로 평가(금융지주회사는 계열사 및 자회사 포함)</t>
  </si>
  <si>
    <t>GRI 205</t>
  </si>
  <si>
    <t>윤리경영/반부패 관련 법규 및 행동강령 위반 이력이 없도록 사전 예방 체계(내부신고 채널, 정기 준법교육, 반부패 정책)를 구축·운영하고, 처벌·조치내역 발생 시에도 재발방지 개선활동을 공시해 위반 유형별 감점을 최소화해야 함. 동일 위반유형이 반복되지 않도록 내부통제 프로세스를 개선하는 것이 핵심 개선 방향.</t>
  </si>
  <si>
    <t>[자동채점] | 근거충분성: 충분 | 근거: 위반사항 없음 (100점) | 근거페이지: 사업보고서 14~32p, 275p / 지배구조보고서 3~22p, 24~26p, 32p, 37p, 39p, 43p, 45p</t>
  </si>
  <si>
    <r>
      <rPr>
        <rFont val="Noto Sans"/>
        <b/>
        <color rgb="FFFF0000"/>
        <sz val="9.0"/>
      </rPr>
      <t xml:space="preserve">충분 / 1단계적용 / 50점 
</t>
    </r>
    <r>
      <rPr>
        <rFont val="Noto Sans"/>
        <color theme="1"/>
        <sz val="9.0"/>
      </rPr>
      <t>[판단근거] 과징금 처분이 있으면 -50점이며 실제 공정위 과징금 456백만원 존재.
[확인근거] 사업보고서 DART p.312~313은 수급사업자의 금형 도면 요구·제3자 제공 관련 처분을 기재. DN 통합자료 p.64는 협력사 윤리규범의 공정거래 준수를 명시.
[감점] 과징금 처분 자체가 감점사유.
[보완] 기술자료 통제·동의·반환·삭제·교육·감사자료</t>
    </r>
  </si>
  <si>
    <t>하도급 기술자료 요청 프로세스를 전면 통제: 요청 필요성 사전승인 → 법정서면 발급 → 사용목적·보유기간 제한 → 제3자 제공 동의 → 삭제·반환 증빙. 구매·개발 담당자 공정거래 교육, 위반 모니터링, 공급사 신고채널, 감사위원회 보고까지 연계
[현재 문제점] 공정거래 Compliance가 실제 제재사건을 예방하지 못한 이력이 존재.
[개선방향] 기술자료 요청·수취·보관·외부제공 전 과정을 승인통제하고 정기 Compliance 점검을 실시.
[필요 근거] 업무절차서, 승인로그, 교육·점검 결과, 위반·시정조치 추적대장.</t>
  </si>
  <si>
    <t>회사 또는 임직원의 윤리경영 및 반부패 관련 법규, 행동강령 위반으로 인해 형사·금전적 처벌이나 행정제재(과징금, 벌금, 과태료, 시정명령 등)를 받은 내역이 있습니까?</t>
  </si>
  <si>
    <t>온실가스 및 에너지</t>
  </si>
  <si>
    <t>조직이 개발·생산하는 제품 중 에너지 효율적 제품의 비중을 점검하고, 사용단계 에너지 절감 노력을 확인</t>
  </si>
  <si>
    <t>'조직별 홈페이지' 上 지속가능경영보고서</t>
  </si>
  <si>
    <t>(에너지 효율적 제품의 수 / 조직이 생산하고 있는 전체 제품의 수) X 100</t>
  </si>
  <si>
    <t>1단계 | 지난 4개년간 에너지 효율적 제품의 비중 감소 추세 | 2단계: 지난 4개년간 에너지 효율적 제품의 비중 변동 없음 | 3단계: 지난 4개년간 에너지 효율적 제품의 비중 증가 추세 |  * (추세) 일정 기간 정량적 자료의 변동 방향성을 의미하며, 본 가이드라인에서는 4개년 데이터의 연평균 성장률(CAGR)을 추세로 정의</t>
  </si>
  <si>
    <t>KSSB 업종기반지표(반도체 S2 부속지침)로 별도 개발 예정</t>
  </si>
  <si>
    <t>SASB Semiconductors</t>
  </si>
  <si>
    <t>2_업종별 K-ESG 가이드라인(반도체) 진단항목</t>
  </si>
  <si>
    <t>N/A(업종 미해당)</t>
  </si>
  <si>
    <t>Energy Star, EU Energy Label, 국내 에너지소비효율등급표시제도 등 공인 인증 또는 자체평가로 입증 가능한 에너지 효율 제품 비중을 측정. 설비(장비) 생산기업은 판매 장비의 에너지효율 비중으로 대체 측정 가능.</t>
  </si>
  <si>
    <t>최근 개발 및 생산하는 전체 제품 중 에너지 효율적 제품(인증 취득 또는 고효율 제품) 비중의 증감 현황을 점검 및 관리하고 있습니까?</t>
  </si>
  <si>
    <t>반도체 생산에 필요한 초순수(Ultra-pure Water) 사용량을 효과적으로 측정·모니터링·관리하고 있는지 점검</t>
  </si>
  <si>
    <t>원단위 초순수 사용량 = 전체 초순수 사용량 / 매출액(또는 생산량)</t>
  </si>
  <si>
    <t>1단계 | 지난 4개년간 원단위 초순수 사용량 증가 추세 | 2단계 | 지난 4개년간 원단위 초순수 사용량 변동 없음 | 3단계 | 지난 4개년간 원단위 초순수 사용량 감소 추세  | *미산정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</si>
  <si>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KSSB 업종기반지표로 별도 개발 예정</t>
  </si>
  <si>
    <t>GRI 303, SASB Semiconductors</t>
  </si>
  <si>
    <t>초순수는 반도체 웨이퍼·마스크 세정에 필수적인 자원으로, 물부족·기후변화에 따른 공급비용 증가 리스크 관리 지표. 연평균성장률(CAGR)로 4개년 추세 판정.</t>
  </si>
  <si>
    <t>웨이퍼 세정에 필수적인 원단위 초순수(UPW) 사용량을 측정하고 이에 대한 증감 현황을 점검 및 관리하고 있습니까?</t>
  </si>
  <si>
    <t>조직의 사업장 중 물부족지역(Water-stressed areas)에 노출된 사업장의 원단위 용수 사용량을 점검</t>
  </si>
  <si>
    <t>물부족지역 사업장 원단위 용수사용량 = 물부족지역 사업장 용수사용량 / 매출액(또는 생산량)</t>
  </si>
  <si>
    <t>1단계 | 지난 4개년간 물부족지역 사업장 원단위 용수사용량 증가 추세 | 2단계: 변동 없음 | 3단계 | 감소 추세 | *미식별·미측정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</si>
  <si>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CDP Water Security, SASB Semiconductors</t>
  </si>
  <si>
    <t>물부족지역 식별은 세계자원연구소(WRI Aqueduct), 세계자연기금(WWF Water Risk Filter) 등에서 확인 가능.</t>
  </si>
  <si>
    <t>물 부족 지역(Water-stressed areas)에 위치한 사업장을 식별하고, 해당 사업장의 원단위 용수 사용량 측정 및 증감 현황을 점검·관리하고 있습니까?</t>
  </si>
  <si>
    <t>반도체 식각·챔버세정 공정에서 발생하는 과불화탄소(PFCs, GWP 7,000) 배출을 관리하는지 확인</t>
  </si>
  <si>
    <t>'조직별 홈페이지' 上 지속가능경영보고서, TCFD 보고서, CDP 보고서 등</t>
  </si>
  <si>
    <t>원단위 대비 과불화탄소 배출량 비율 = 총 과불화탄소 배출량 (tCO₂-eq) / 매출액(또는 생산량)</t>
  </si>
  <si>
    <t>1단계 | 지난 4개년간 원단위 과불화탄소 배출량 증가 추세 | 2단계 | 변동 없음 | 3단계 | 감소 추세 | *미관리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</si>
  <si>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KSSB 업종기반지표로 별도 개발 예정(GHG Scope1 총량에는 포함)</t>
  </si>
  <si>
    <t>EU 불화온실가스 저감 규정(Regulation (EU) No 517/2014), 교토의정서 7대 온실가스에 해당.</t>
  </si>
  <si>
    <t>Scope 1 온실가스(tCO₂-eq) 원단위를 기준으로 과불화탄소 배출량을 산정하고, 이에 대한 증감 현황을 점검·관리하고 있습니까?</t>
  </si>
  <si>
    <t>제품 생산과정에서 발생하는 휘발성유기화합물(VOC) 배출을 관리하는지 확인</t>
  </si>
  <si>
    <t>'조직별 홈페이지' 上 지속가능경영보고서, TCFD·CDP 보고서 등</t>
  </si>
  <si>
    <t>원단위 대비 휘발성 유기화합물 배출량 비율 = 총 휘발성 유기화합물 배출량(Metric ton) / 매출액(또는 생산량)</t>
  </si>
  <si>
    <t>1단계 | 지난 4개년간 원단위 VOC 배출량 증가 추세 | 2단계 | 변동 없음 | 3단계: 감소 추세 | *미관리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</si>
  <si>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국내 대기환경보전법 휘발성유기화합물 지정고시(37개 물질), 미국 EPA 40 CFR Part 51.100, RBA 행동규범 배출관리 요구사항 참고.</t>
  </si>
  <si>
    <t>Scope 1 원단위를 기준으로 휘발성 유기화합물 배출량(Metric ton)을 산정하고, 이에 대한 증감 현황을 점검·관리하고 있습니까?</t>
  </si>
  <si>
    <t>반도체-G-1</t>
  </si>
  <si>
    <t>반경쟁행위 위반사항 공시</t>
  </si>
  <si>
    <t>조직이 반경쟁행위(가격담합·시장지배력남용 등) 관련 법/규제를 준수하는지, 위반시 처벌수위별 감점으로 점검</t>
  </si>
  <si>
    <t>'전자공시시스템' 上 사업보고서, '조직별 홈페이지' 上 지속가능경영보고서</t>
  </si>
  <si>
    <t>∑(반경쟁행위 위반 건 × 처벌수위별 감점기준)</t>
  </si>
  <si>
    <t>감점형 (기본 100점에서 위반유형별 감점 차감, 최저 0점 제한) | 세부 배점 기준: 유형 1= -50점 / 유형 2 = -30점) / 유형 3 = -10점) | *감점 사항이 없을 경우 100점</t>
  </si>
  <si>
    <t>유형 1 (-50점) | 지난 4개년간 독점규제 및 공정거래 관련 법/규제 위반내역 중 처분이 확정된 건에 대해 처벌 수위가 사법상 형벌, 벌금, 과료인 경우 또는 국가를 당사자로 하는 계약에서 입찰참가자격을 제한당한 경우
유형 2 (-30점) | 지난 4개년간 독점규제 및 공정거래 관련 법/규제 위반내역 중 처분이 확정된 건에 대해 처벌 수위가 행정상 처분 중 금전적 처분에 해당하는 과태료, 과징금, 이행강제금 등인 경우
유형 3 (-10점) | 지난 4개년간 독점규제 및 공정거래 관련 법/규제 위반내역 중 처분이 확정된 건에 대해 처벌 수위가 행정상 처분 중 비금전적 처분에 해당하는 시정명령, 시정권고, 경고 등인 경우</t>
  </si>
  <si>
    <t>KSSB 규정 없음</t>
  </si>
  <si>
    <t>SASB Semiconductors, 공정거래법</t>
  </si>
  <si>
    <t>반도체 산업표준 제정 과정의 상호라이선스·특허풀 활용 등으로 가격담합 등 반독점 리스크가 상대적으로 높은 업종 특성 반영.</t>
  </si>
  <si>
    <t>최근 독점규제 및 공정거래(반경쟁 행위) 관련 법·규제 위반으로 인해 사법상 처벌, 입찰참가자격 제한, 행정상 금전적·비금전적 처분이 확정된 내역이 있습니까?</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</si>
</sst>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5">
    <font>
      <sz val="11.0"/>
      <color theme="1"/>
      <name val="Calibri"/>
      <scheme val="minor"/>
    </font>
    <font>
      <b/>
      <sz val="20.0"/>
      <color rgb="FF1F4E78"/>
      <name val="Arial"/>
    </font>
    <font>
      <i/>
      <sz val="11.0"/>
      <color rgb="FF555555"/>
      <name val="Arial"/>
    </font>
    <font>
      <b/>
      <sz val="12.0"/>
      <color rgb="FF1F4E78"/>
      <name val="Arial"/>
    </font>
    <font>
      <sz val="9.0"/>
      <color theme="1"/>
      <name val="Noto Sans"/>
    </font>
    <font>
      <sz val="9.0"/>
      <color theme="1"/>
      <name val="Arial"/>
    </font>
    <font>
      <b/>
      <sz val="9.0"/>
      <color rgb="FFFFFFFF"/>
      <name val="Noto Sans"/>
    </font>
    <font>
      <b/>
      <sz val="9.0"/>
      <color rgb="FFFFFFFF"/>
      <name val="Arial"/>
    </font>
    <font>
      <b/>
      <sz val="9.0"/>
      <color rgb="FF0000FF"/>
      <name val="Arial"/>
    </font>
    <font>
      <b/>
      <sz val="9.0"/>
      <color theme="1"/>
      <name val="Noto Sans"/>
    </font>
    <font>
      <sz val="9.0"/>
      <color rgb="FF777777"/>
      <name val="Noto Sans"/>
    </font>
    <font>
      <i/>
      <sz val="9.0"/>
      <color rgb="FF777777"/>
      <name val="Noto Sans"/>
    </font>
    <font>
      <b/>
      <sz val="10.0"/>
      <color rgb="FF1F4E78"/>
      <name val="Arial"/>
    </font>
    <font>
      <u/>
      <sz val="9.0"/>
      <color rgb="FF0000FF"/>
      <name val="Noto Sans"/>
    </font>
    <font>
      <b/>
      <sz val="12.0"/>
      <color theme="1"/>
      <name val="Noto Sans"/>
    </font>
    <font>
      <b/>
      <sz val="16.0"/>
      <color rgb="FF1F4E78"/>
      <name val="Arial"/>
    </font>
    <font>
      <i/>
      <sz val="9.0"/>
      <color rgb="FFC00000"/>
      <name val="Noto Sans"/>
    </font>
    <font>
      <b/>
      <sz val="9.0"/>
      <color theme="1"/>
      <name val="Arial"/>
    </font>
    <font>
      <u/>
      <sz val="9.0"/>
      <color theme="1"/>
      <name val="Noto Sans"/>
    </font>
    <font>
      <b/>
      <u/>
      <sz val="9.0"/>
      <color theme="1"/>
      <name val="Noto Sans"/>
    </font>
    <font>
      <u/>
      <sz val="9.0"/>
      <color theme="1"/>
      <name val="Noto Sans"/>
    </font>
    <font>
      <i/>
      <sz val="9.0"/>
      <color rgb="FF777777"/>
      <name val="Arial"/>
    </font>
    <font>
      <u/>
      <sz val="9.0"/>
      <color theme="1"/>
      <name val="Noto Sans"/>
    </font>
    <font>
      <b/>
      <sz val="9.0"/>
      <color rgb="FFFF0000"/>
      <name val="Noto Sans"/>
    </font>
    <font>
      <color theme="1"/>
      <name val="Calibri"/>
      <scheme val="minor"/>
    </font>
  </fonts>
  <fills count="17">
    <fill>
      <patternFill patternType="none"/>
    </fill>
    <fill>
      <patternFill patternType="lightGray"/>
    </fill>
    <fill>
      <patternFill patternType="solid">
        <fgColor rgb="FF1F4E78"/>
        <bgColor rgb="FF1F4E78"/>
      </patternFill>
    </fill>
    <fill>
      <patternFill patternType="solid">
        <fgColor rgb="FFF5F8FC"/>
        <bgColor rgb="FFF5F8FC"/>
      </patternFill>
    </fill>
    <fill>
      <patternFill patternType="solid">
        <fgColor rgb="FFFFFDE7"/>
        <bgColor rgb="FFFFFDE7"/>
      </patternFill>
    </fill>
    <fill>
      <patternFill patternType="solid">
        <fgColor rgb="FFFFF2CC"/>
        <bgColor rgb="FFFFF2CC"/>
      </patternFill>
    </fill>
    <fill>
      <patternFill patternType="solid">
        <fgColor rgb="FFFFEB9C"/>
        <bgColor rgb="FFFFEB9C"/>
      </patternFill>
    </fill>
    <fill>
      <patternFill patternType="solid">
        <fgColor rgb="FFB6D7A8"/>
        <bgColor rgb="FFB6D7A8"/>
      </patternFill>
    </fill>
    <fill>
      <patternFill patternType="solid">
        <fgColor rgb="FFF6B26B"/>
        <bgColor rgb="FFF6B26B"/>
      </patternFill>
    </fill>
    <fill>
      <patternFill patternType="solid">
        <fgColor rgb="FFFFFFFF"/>
        <bgColor rgb="FFFFFFFF"/>
      </patternFill>
    </fill>
    <fill>
      <patternFill patternType="solid">
        <fgColor rgb="FFD9E6F2"/>
        <bgColor rgb="FFD9E6F2"/>
      </patternFill>
    </fill>
    <fill>
      <patternFill patternType="solid">
        <fgColor rgb="FFE2EFD9"/>
        <bgColor rgb="FFE2EFD9"/>
      </patternFill>
    </fill>
    <fill>
      <patternFill patternType="solid">
        <fgColor rgb="FFFCE4D6"/>
        <bgColor rgb="FFFCE4D6"/>
      </patternFill>
    </fill>
    <fill>
      <patternFill patternType="solid">
        <fgColor rgb="FFD9D9D9"/>
        <bgColor rgb="FFD9D9D9"/>
      </patternFill>
    </fill>
    <fill>
      <patternFill patternType="solid">
        <fgColor rgb="FFFFC7CE"/>
        <bgColor rgb="FFFFC7CE"/>
      </patternFill>
    </fill>
    <fill>
      <patternFill patternType="solid">
        <fgColor rgb="FFC6EFCE"/>
        <bgColor rgb="FFC6EFCE"/>
      </patternFill>
    </fill>
    <fill>
      <patternFill patternType="solid">
        <fgColor rgb="FF6D9EEB"/>
        <bgColor rgb="FF6D9EEB"/>
      </patternFill>
    </fill>
  </fills>
  <borders count="23">
    <border/>
    <border>
      <left style="thin">
        <color rgb="FFBFBFBF"/>
      </left>
      <right style="thin">
        <color rgb="FFBFBFBF"/>
      </right>
      <top style="thin">
        <color rgb="FFBFBFBF"/>
      </top>
      <bottom style="thin">
        <color rgb="FFBFBFBF"/>
      </bottom>
    </border>
    <border>
      <left/>
      <right/>
      <top/>
      <bottom/>
    </border>
    <border>
      <right style="thin">
        <color rgb="FFB7B7B7"/>
      </right>
      <bottom style="thin">
        <color rgb="FFB7B7B7"/>
      </bottom>
    </border>
    <border>
      <left style="thin">
        <color rgb="FFB7B7B7"/>
      </left>
      <right style="thin">
        <color rgb="FFB7B7B7"/>
      </right>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FBFBF"/>
      </left>
      <right style="thin">
        <color rgb="FFBFBFBF"/>
      </right>
      <top style="thin">
        <color rgb="FFBFBFBF"/>
      </top>
    </border>
    <border>
      <left style="thin">
        <color rgb="FFBFBFBF"/>
      </left>
      <right style="thin">
        <color rgb="FFBFBFBF"/>
      </right>
      <top style="thin">
        <color rgb="FFBFBFBF"/>
      </top>
      <bottom style="thick">
        <color rgb="FF000000"/>
      </bottom>
    </border>
    <border>
      <bottom style="thick">
        <color rgb="FF000000"/>
      </bottom>
    </border>
    <border>
      <right style="thin">
        <color rgb="FFB7B7B7"/>
      </right>
      <top style="thin">
        <color rgb="FFB7B7B7"/>
      </top>
      <bottom style="thick">
        <color rgb="FF000000"/>
      </bottom>
    </border>
    <border>
      <left style="thin">
        <color rgb="FFB7B7B7"/>
      </left>
      <right style="thin">
        <color rgb="FFB7B7B7"/>
      </right>
      <top style="thin">
        <color rgb="FFB7B7B7"/>
      </top>
      <bottom style="thick">
        <color rgb="FF000000"/>
      </bottom>
    </border>
    <border>
      <left style="thin">
        <color rgb="FFBFBFBF"/>
      </left>
      <right style="thin">
        <color rgb="FFBFBFBF"/>
      </right>
      <top style="thick">
        <color rgb="FF000000"/>
      </top>
      <bottom style="thin">
        <color rgb="FFBFBFBF"/>
      </bottom>
    </border>
    <border>
      <left style="thin">
        <color rgb="FFBFBFBF"/>
      </left>
      <right style="thin">
        <color rgb="FFBFBFBF"/>
      </right>
      <bottom style="thin">
        <color rgb="FFBFBFBF"/>
      </bottom>
    </border>
    <border>
      <left style="thin">
        <color rgb="FFBFBFBF"/>
      </left>
      <right style="thin">
        <color rgb="FFBFBFBF"/>
      </right>
      <top style="thick">
        <color rgb="FF000000"/>
      </top>
      <bottom style="thin">
        <color rgb="FFB7B7B7"/>
      </bottom>
    </border>
    <border>
      <right style="thin">
        <color rgb="FFB7B7B7"/>
      </right>
      <top style="thick">
        <color rgb="FF000000"/>
      </top>
      <bottom style="thin">
        <color rgb="FFB7B7B7"/>
      </bottom>
    </border>
    <border>
      <left style="thin">
        <color rgb="FFB7B7B7"/>
      </left>
      <top style="thick">
        <color rgb="FF000000"/>
      </top>
      <bottom style="thin">
        <color rgb="FFB7B7B7"/>
      </bottom>
    </border>
    <border>
      <left style="thin">
        <color rgb="FFBFBFBF"/>
      </left>
      <right style="thin">
        <color rgb="FFBFBFBF"/>
      </right>
      <top style="thin">
        <color rgb="FFB7B7B7"/>
      </top>
      <bottom style="thin">
        <color rgb="FFB7B7B7"/>
      </bottom>
    </border>
    <border>
      <left style="thin">
        <color rgb="FFB7B7B7"/>
      </left>
      <top style="thin">
        <color rgb="FFB7B7B7"/>
      </top>
      <bottom style="thin">
        <color rgb="FFB7B7B7"/>
      </bottom>
    </border>
    <border>
      <left style="thin">
        <color rgb="FFBFBFBF"/>
      </left>
      <right style="thin">
        <color rgb="FFBFBFBF"/>
      </right>
      <top style="thin">
        <color rgb="FFB7B7B7"/>
      </top>
      <bottom style="thick">
        <color rgb="FF000000"/>
      </bottom>
    </border>
    <border>
      <right style="thin">
        <color rgb="FFB7B7B7"/>
      </right>
      <top style="thin">
        <color rgb="FFB7B7B7"/>
      </top>
    </border>
    <border>
      <left style="thin">
        <color rgb="FFB7B7B7"/>
      </left>
      <top style="thin">
        <color rgb="FFB7B7B7"/>
      </top>
    </border>
    <border>
      <top style="thick">
        <color rgb="FF000000"/>
      </top>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shrinkToFit="0" vertical="top" wrapText="1"/>
    </xf>
    <xf borderId="0" fillId="0" fontId="3" numFmtId="0" xfId="0" applyAlignment="1" applyFont="1">
      <alignment shrinkToFit="0" vertical="top" wrapText="1"/>
    </xf>
    <xf borderId="0" fillId="0" fontId="5" numFmtId="0" xfId="0" applyFont="1"/>
    <xf borderId="1" fillId="2" fontId="6" numFmtId="0" xfId="0" applyAlignment="1" applyBorder="1" applyFill="1" applyFont="1">
      <alignment horizontal="center" shrinkToFit="0" vertical="top" wrapText="1"/>
    </xf>
    <xf borderId="1" fillId="2" fontId="7" numFmtId="0" xfId="0" applyAlignment="1" applyBorder="1" applyFill="1" applyFont="1">
      <alignment horizontal="center" readingOrder="0" shrinkToFit="0" vertical="top" wrapText="1"/>
    </xf>
    <xf borderId="1" fillId="3" fontId="5" numFmtId="0" xfId="0" applyAlignment="1" applyBorder="1" applyFill="1" applyFont="1">
      <alignment horizontal="left" shrinkToFit="0" vertical="top" wrapText="1"/>
    </xf>
    <xf borderId="0" fillId="0" fontId="5" numFmtId="0" xfId="0" applyAlignment="1" applyFont="1">
      <alignment shrinkToFit="0" vertical="top" wrapText="1"/>
    </xf>
    <xf borderId="1" fillId="3" fontId="5" numFmtId="0" xfId="0" applyAlignment="1" applyBorder="1" applyFill="1" applyFont="1">
      <alignment horizontal="center" vertical="center"/>
    </xf>
    <xf borderId="1" fillId="3" fontId="4" numFmtId="0" xfId="0" applyAlignment="1" applyBorder="1" applyFill="1" applyFont="1">
      <alignment horizontal="left" shrinkToFit="0" vertical="top" wrapText="1"/>
    </xf>
    <xf borderId="1" fillId="2" fontId="7" numFmtId="0" xfId="0" applyAlignment="1" applyBorder="1" applyFill="1" applyFont="1">
      <alignment horizontal="center" shrinkToFit="0" vertical="top" wrapText="1"/>
    </xf>
    <xf borderId="1" fillId="0" fontId="5" numFmtId="0" xfId="0" applyAlignment="1" applyBorder="1" applyFont="1">
      <alignment horizontal="left" shrinkToFit="0" vertical="top" wrapText="1"/>
    </xf>
    <xf borderId="1" fillId="0" fontId="5" numFmtId="0" xfId="0" applyAlignment="1" applyBorder="1" applyFont="1">
      <alignment horizontal="center" vertical="center"/>
    </xf>
    <xf borderId="1" fillId="3" fontId="4" numFmtId="0" xfId="0" applyAlignment="1" applyBorder="1" applyFill="1" applyFont="1">
      <alignment horizontal="center" shrinkToFit="0" vertical="top" wrapText="1"/>
    </xf>
    <xf borderId="0" fillId="2" fontId="6" numFmtId="0" xfId="0" applyAlignment="1" applyFill="1" applyFont="1">
      <alignment horizontal="center" readingOrder="0" shrinkToFit="0" vertical="top" wrapText="1"/>
    </xf>
    <xf borderId="0" fillId="0" fontId="4" numFmtId="0" xfId="0" applyFont="1"/>
    <xf borderId="1" fillId="2" fontId="6" numFmtId="0" xfId="0" applyAlignment="1" applyBorder="1" applyFill="1" applyFont="1">
      <alignment horizontal="center" readingOrder="0" shrinkToFit="0" vertical="top" wrapText="1"/>
    </xf>
    <xf borderId="1" fillId="3" fontId="5" numFmtId="0" xfId="0" applyAlignment="1" applyBorder="1" applyFill="1" applyFont="1">
      <alignment horizontal="center" shrinkToFit="0" vertical="top" wrapText="1"/>
    </xf>
    <xf borderId="2" fillId="2" fontId="6" numFmtId="0" xfId="0" applyAlignment="1" applyBorder="1" applyFill="1" applyFont="1">
      <alignment horizontal="center" shrinkToFit="0" vertical="top" wrapText="1"/>
    </xf>
    <xf borderId="1" fillId="0" fontId="4" numFmtId="0" xfId="0" applyAlignment="1" applyBorder="1" applyFont="1">
      <alignment horizontal="left" shrinkToFit="0" vertical="top" wrapText="1"/>
    </xf>
    <xf borderId="1" fillId="4" fontId="8" numFmtId="0" xfId="0" applyAlignment="1" applyBorder="1" applyFill="1" applyFont="1">
      <alignment horizontal="left" shrinkToFit="0" vertical="top" wrapText="1"/>
    </xf>
    <xf borderId="1" fillId="5" fontId="9" numFmtId="0" xfId="0" applyAlignment="1" applyBorder="1" applyFill="1" applyFont="1">
      <alignment horizontal="center" shrinkToFit="0" vertical="top" wrapText="1"/>
    </xf>
    <xf borderId="0" fillId="0" fontId="10" numFmtId="0" xfId="0" applyFont="1"/>
    <xf borderId="1" fillId="0" fontId="4" numFmtId="0" xfId="0" applyAlignment="1" applyBorder="1" applyFont="1">
      <alignment horizontal="center" shrinkToFit="0" vertical="top" wrapText="1"/>
    </xf>
    <xf borderId="1" fillId="6" fontId="4" numFmtId="0" xfId="0" applyAlignment="1" applyBorder="1" applyFill="1" applyFont="1">
      <alignment horizontal="center" shrinkToFit="0" vertical="top" wrapText="1"/>
    </xf>
    <xf borderId="0" fillId="0" fontId="11" numFmtId="0" xfId="0" applyFont="1"/>
    <xf borderId="1" fillId="0" fontId="5" numFmtId="0" xfId="0" applyAlignment="1" applyBorder="1" applyFont="1">
      <alignment horizontal="center" shrinkToFit="0" vertical="top" wrapText="1"/>
    </xf>
    <xf borderId="1" fillId="4" fontId="8" numFmtId="0" xfId="0" applyAlignment="1" applyBorder="1" applyFill="1" applyFont="1">
      <alignment horizontal="center" readingOrder="0" vertical="center"/>
    </xf>
    <xf borderId="1" fillId="3" fontId="8" numFmtId="0" xfId="0" applyAlignment="1" applyBorder="1" applyFill="1" applyFont="1">
      <alignment horizontal="center" vertical="center"/>
    </xf>
    <xf borderId="1" fillId="3" fontId="12" numFmtId="1" xfId="0" applyAlignment="1" applyBorder="1" applyFill="1" applyFont="1" applyNumberFormat="1">
      <alignment horizontal="center" vertical="center"/>
    </xf>
    <xf borderId="1" fillId="5" fontId="13" numFmtId="0" xfId="0" applyAlignment="1" applyBorder="1" applyFill="1" applyFont="1">
      <alignment horizontal="left" readingOrder="0" shrinkToFit="0" vertical="top" wrapText="1"/>
    </xf>
    <xf borderId="0" fillId="7" fontId="14" numFmtId="0" xfId="0" applyAlignment="1" applyFill="1" applyFont="1">
      <alignment horizontal="center" readingOrder="0" shrinkToFit="0" vertical="center" wrapText="1"/>
    </xf>
    <xf borderId="0" fillId="3" fontId="4" numFmtId="0" xfId="0" applyAlignment="1" applyFill="1" applyFont="1">
      <alignment horizontal="left" readingOrder="0" shrinkToFit="0" vertical="top" wrapText="1"/>
    </xf>
    <xf borderId="3" fillId="0" fontId="4" numFmtId="0" xfId="0" applyAlignment="1" applyBorder="1" applyFont="1">
      <alignment horizontal="left" shrinkToFit="0" vertical="top" wrapText="1"/>
    </xf>
    <xf borderId="4" fillId="0" fontId="4" numFmtId="0" xfId="0" applyAlignment="1" applyBorder="1" applyFont="1">
      <alignment horizontal="left" shrinkToFit="0" vertical="top" wrapText="1"/>
    </xf>
    <xf borderId="1" fillId="4" fontId="8" numFmtId="0" xfId="0" applyAlignment="1" applyBorder="1" applyFill="1" applyFont="1">
      <alignment horizontal="center" vertical="center"/>
    </xf>
    <xf borderId="1" fillId="0" fontId="12" numFmtId="1" xfId="0" applyAlignment="1" applyBorder="1" applyFont="1" applyNumberFormat="1">
      <alignment horizontal="center" vertical="center"/>
    </xf>
    <xf borderId="0" fillId="0" fontId="15" numFmtId="0" xfId="0" applyFont="1"/>
    <xf borderId="0" fillId="0" fontId="16" numFmtId="0" xfId="0" applyFont="1"/>
    <xf borderId="1" fillId="5" fontId="4" numFmtId="0" xfId="0" applyAlignment="1" applyBorder="1" applyFill="1" applyFont="1">
      <alignment horizontal="left" readingOrder="0" shrinkToFit="0" vertical="top" wrapText="1"/>
    </xf>
    <xf borderId="1" fillId="2" fontId="6" numFmtId="0" xfId="0" applyAlignment="1" applyBorder="1" applyFill="1" applyFont="1">
      <alignment horizontal="center" vertical="center"/>
    </xf>
    <xf borderId="0" fillId="8" fontId="14" numFmtId="0" xfId="0" applyAlignment="1" applyFill="1" applyFont="1">
      <alignment horizontal="center" readingOrder="0" shrinkToFit="0" vertical="center" wrapText="1"/>
    </xf>
    <xf borderId="0" fillId="9" fontId="4" numFmtId="0" xfId="0" applyAlignment="1" applyFill="1" applyFont="1">
      <alignment horizontal="left" readingOrder="0" shrinkToFit="0" vertical="top" wrapText="1"/>
    </xf>
    <xf borderId="5" fillId="0" fontId="4" numFmtId="0" xfId="0" applyAlignment="1" applyBorder="1" applyFont="1">
      <alignment horizontal="left" shrinkToFit="0" vertical="top" wrapText="1"/>
    </xf>
    <xf borderId="6" fillId="0" fontId="4" numFmtId="0" xfId="0" applyAlignment="1" applyBorder="1" applyFont="1">
      <alignment horizontal="left" shrinkToFit="0" vertical="top" wrapText="1"/>
    </xf>
    <xf borderId="1" fillId="2" fontId="7" numFmtId="0" xfId="0" applyAlignment="1" applyBorder="1" applyFill="1" applyFont="1">
      <alignment horizontal="center" vertical="center"/>
    </xf>
    <xf borderId="1" fillId="5" fontId="9" numFmtId="0" xfId="0" applyAlignment="1" applyBorder="1" applyFill="1" applyFont="1">
      <alignment horizontal="center" vertical="center"/>
    </xf>
    <xf borderId="1" fillId="5" fontId="9" numFmtId="0" xfId="0" applyAlignment="1" applyBorder="1" applyFill="1" applyFont="1">
      <alignment horizontal="left" readingOrder="0" shrinkToFit="0" vertical="top" wrapText="1"/>
    </xf>
    <xf borderId="1" fillId="0" fontId="5" numFmtId="9" xfId="0" applyAlignment="1" applyBorder="1" applyFont="1" applyNumberFormat="1">
      <alignment horizontal="center" vertical="center"/>
    </xf>
    <xf borderId="0" fillId="3" fontId="4" numFmtId="0" xfId="0" applyAlignment="1" applyFill="1" applyFont="1">
      <alignment horizontal="left" readingOrder="0" shrinkToFit="0" vertical="top" wrapText="1"/>
    </xf>
    <xf borderId="1" fillId="10" fontId="9" numFmtId="0" xfId="0" applyAlignment="1" applyBorder="1" applyFill="1" applyFont="1">
      <alignment horizontal="center" vertical="center"/>
    </xf>
    <xf borderId="1" fillId="11" fontId="9" numFmtId="0" xfId="0" applyAlignment="1" applyBorder="1" applyFill="1" applyFont="1">
      <alignment horizontal="center" vertical="center"/>
    </xf>
    <xf borderId="1" fillId="12" fontId="9" numFmtId="0" xfId="0" applyAlignment="1" applyBorder="1" applyFill="1" applyFont="1">
      <alignment horizontal="center" vertical="center"/>
    </xf>
    <xf borderId="1" fillId="13" fontId="9" numFmtId="0" xfId="0" applyAlignment="1" applyBorder="1" applyFill="1" applyFont="1">
      <alignment horizontal="center" vertical="center"/>
    </xf>
    <xf borderId="7" fillId="3" fontId="5" numFmtId="0" xfId="0" applyAlignment="1" applyBorder="1" applyFill="1" applyFont="1">
      <alignment horizontal="center" vertical="center"/>
    </xf>
    <xf borderId="1" fillId="13" fontId="17" numFmtId="9" xfId="0" applyAlignment="1" applyBorder="1" applyFill="1" applyFont="1" applyNumberFormat="1">
      <alignment horizontal="center" vertical="center"/>
    </xf>
    <xf borderId="7" fillId="3" fontId="5" numFmtId="0" xfId="0" applyAlignment="1" applyBorder="1" applyFill="1" applyFont="1">
      <alignment horizontal="left" shrinkToFit="0" vertical="top" wrapText="1"/>
    </xf>
    <xf borderId="7" fillId="3" fontId="4" numFmtId="0" xfId="0" applyAlignment="1" applyBorder="1" applyFill="1" applyFont="1">
      <alignment horizontal="left" shrinkToFit="0" vertical="top" wrapText="1"/>
    </xf>
    <xf borderId="7" fillId="5" fontId="9" numFmtId="0" xfId="0" applyAlignment="1" applyBorder="1" applyFill="1" applyFont="1">
      <alignment horizontal="center" shrinkToFit="0" vertical="top" wrapText="1"/>
    </xf>
    <xf borderId="1" fillId="14" fontId="5" numFmtId="0" xfId="0" applyAlignment="1" applyBorder="1" applyFill="1" applyFont="1">
      <alignment horizontal="center" shrinkToFit="0" vertical="top" wrapText="1"/>
    </xf>
    <xf borderId="7" fillId="3" fontId="4" numFmtId="0" xfId="0" applyAlignment="1" applyBorder="1" applyFill="1" applyFont="1">
      <alignment horizontal="center" shrinkToFit="0" vertical="top" wrapText="1"/>
    </xf>
    <xf borderId="7" fillId="15" fontId="4" numFmtId="0" xfId="0" applyAlignment="1" applyBorder="1" applyFill="1" applyFont="1">
      <alignment horizontal="center" shrinkToFit="0" vertical="top" wrapText="1"/>
    </xf>
    <xf borderId="7" fillId="3" fontId="8" numFmtId="0" xfId="0" applyAlignment="1" applyBorder="1" applyFill="1" applyFont="1">
      <alignment horizontal="center" vertical="center"/>
    </xf>
    <xf borderId="7" fillId="3" fontId="12" numFmtId="1" xfId="0" applyAlignment="1" applyBorder="1" applyFill="1" applyFont="1" applyNumberFormat="1">
      <alignment horizontal="center" vertical="center"/>
    </xf>
    <xf borderId="8" fillId="3" fontId="4" numFmtId="0" xfId="0" applyAlignment="1" applyBorder="1" applyFill="1" applyFont="1">
      <alignment horizontal="left" shrinkToFit="0" vertical="top" wrapText="1"/>
    </xf>
    <xf borderId="8" fillId="5" fontId="4" numFmtId="0" xfId="0" applyAlignment="1" applyBorder="1" applyFill="1" applyFont="1">
      <alignment horizontal="left" readingOrder="0" shrinkToFit="0" vertical="top" wrapText="1"/>
    </xf>
    <xf borderId="9" fillId="8" fontId="14" numFmtId="0" xfId="0" applyAlignment="1" applyBorder="1" applyFill="1" applyFont="1">
      <alignment horizontal="center" readingOrder="0" shrinkToFit="0" vertical="center" wrapText="1"/>
    </xf>
    <xf borderId="9" fillId="3" fontId="4" numFmtId="0" xfId="0" applyAlignment="1" applyBorder="1" applyFill="1" applyFont="1">
      <alignment horizontal="left" readingOrder="0" shrinkToFit="0" vertical="top" wrapText="1"/>
    </xf>
    <xf borderId="10" fillId="0" fontId="4" numFmtId="0" xfId="0" applyAlignment="1" applyBorder="1" applyFont="1">
      <alignment horizontal="left" shrinkToFit="0" vertical="top" wrapText="1"/>
    </xf>
    <xf borderId="11" fillId="0" fontId="4" numFmtId="0" xfId="0" applyAlignment="1" applyBorder="1" applyFont="1">
      <alignment horizontal="left" shrinkToFit="0" vertical="top" wrapText="1"/>
    </xf>
    <xf borderId="12" fillId="3" fontId="5" numFmtId="0" xfId="0" applyAlignment="1" applyBorder="1" applyFill="1" applyFont="1">
      <alignment horizontal="center" vertical="center"/>
    </xf>
    <xf borderId="12" fillId="0" fontId="5" numFmtId="0" xfId="0" applyAlignment="1" applyBorder="1" applyFont="1">
      <alignment horizontal="left" shrinkToFit="0" vertical="top" wrapText="1"/>
    </xf>
    <xf borderId="12" fillId="0" fontId="4" numFmtId="0" xfId="0" applyAlignment="1" applyBorder="1" applyFont="1">
      <alignment horizontal="left" shrinkToFit="0" vertical="top" wrapText="1"/>
    </xf>
    <xf borderId="12" fillId="10" fontId="9" numFmtId="0" xfId="0" applyAlignment="1" applyBorder="1" applyFill="1" applyFont="1">
      <alignment horizontal="center" shrinkToFit="0" vertical="top" wrapText="1"/>
    </xf>
    <xf borderId="12" fillId="0" fontId="4" numFmtId="0" xfId="0" applyAlignment="1" applyBorder="1" applyFont="1">
      <alignment horizontal="center" shrinkToFit="0" vertical="top" wrapText="1"/>
    </xf>
    <xf borderId="12" fillId="0" fontId="5" numFmtId="0" xfId="0" applyAlignment="1" applyBorder="1" applyFont="1">
      <alignment horizontal="center" vertical="center"/>
    </xf>
    <xf borderId="12" fillId="0" fontId="5" numFmtId="0" xfId="0" applyAlignment="1" applyBorder="1" applyFont="1">
      <alignment horizontal="left" readingOrder="0" shrinkToFit="0" vertical="top" wrapText="1"/>
    </xf>
    <xf borderId="12" fillId="6" fontId="4" numFmtId="0" xfId="0" applyAlignment="1" applyBorder="1" applyFill="1" applyFont="1">
      <alignment horizontal="center" shrinkToFit="0" vertical="top" wrapText="1"/>
    </xf>
    <xf borderId="12" fillId="4" fontId="8" numFmtId="0" xfId="0" applyAlignment="1" applyBorder="1" applyFill="1" applyFont="1">
      <alignment horizontal="center" readingOrder="0" vertical="center"/>
    </xf>
    <xf borderId="12" fillId="3" fontId="8" numFmtId="0" xfId="0" applyAlignment="1" applyBorder="1" applyFill="1" applyFont="1">
      <alignment horizontal="center" vertical="center"/>
    </xf>
    <xf borderId="12" fillId="0" fontId="12" numFmtId="1" xfId="0" applyAlignment="1" applyBorder="1" applyFont="1" applyNumberFormat="1">
      <alignment horizontal="center" vertical="center"/>
    </xf>
    <xf borderId="13" fillId="0" fontId="4" numFmtId="0" xfId="0" applyAlignment="1" applyBorder="1" applyFont="1">
      <alignment horizontal="left" shrinkToFit="0" vertical="top" wrapText="1"/>
    </xf>
    <xf borderId="14" fillId="5" fontId="18" numFmtId="0" xfId="0" applyAlignment="1" applyBorder="1" applyFill="1" applyFont="1">
      <alignment horizontal="left" readingOrder="0" shrinkToFit="0" vertical="top" wrapText="1"/>
    </xf>
    <xf borderId="0" fillId="9" fontId="4" numFmtId="0" xfId="0" applyAlignment="1" applyFill="1" applyFont="1">
      <alignment horizontal="left" readingOrder="0" shrinkToFit="0" vertical="top" wrapText="1"/>
    </xf>
    <xf borderId="15" fillId="0" fontId="4" numFmtId="0" xfId="0" applyAlignment="1" applyBorder="1" applyFont="1">
      <alignment horizontal="left" shrinkToFit="0" vertical="top" wrapText="1"/>
    </xf>
    <xf borderId="16" fillId="0" fontId="4" numFmtId="0" xfId="0" applyAlignment="1" applyBorder="1" applyFont="1">
      <alignment horizontal="left" shrinkToFit="0" vertical="top" wrapText="1"/>
    </xf>
    <xf borderId="1" fillId="10" fontId="9" numFmtId="0" xfId="0" applyAlignment="1" applyBorder="1" applyFill="1" applyFont="1">
      <alignment horizontal="center" shrinkToFit="0" vertical="top" wrapText="1"/>
    </xf>
    <xf borderId="17" fillId="5" fontId="9" numFmtId="0" xfId="0" applyAlignment="1" applyBorder="1" applyFill="1" applyFont="1">
      <alignment horizontal="left" readingOrder="0" shrinkToFit="0" vertical="top" wrapText="1"/>
    </xf>
    <xf borderId="18" fillId="0" fontId="4" numFmtId="0" xfId="0" applyAlignment="1" applyBorder="1" applyFont="1">
      <alignment horizontal="left" shrinkToFit="0" vertical="top" wrapText="1"/>
    </xf>
    <xf borderId="1" fillId="15" fontId="4" numFmtId="0" xfId="0" applyAlignment="1" applyBorder="1" applyFill="1" applyFont="1">
      <alignment horizontal="center" shrinkToFit="0" vertical="top" wrapText="1"/>
    </xf>
    <xf borderId="17" fillId="5" fontId="19" numFmtId="0" xfId="0" applyAlignment="1" applyBorder="1" applyFill="1" applyFont="1">
      <alignment horizontal="left" readingOrder="0" shrinkToFit="0" vertical="top" wrapText="1"/>
    </xf>
    <xf borderId="0" fillId="0" fontId="17" numFmtId="0" xfId="0" applyFont="1"/>
    <xf borderId="0" fillId="0" fontId="17" numFmtId="9" xfId="0" applyFont="1" applyNumberFormat="1"/>
    <xf borderId="1" fillId="0" fontId="4" numFmtId="0" xfId="0" applyAlignment="1" applyBorder="1" applyFont="1">
      <alignment horizontal="left" readingOrder="0" shrinkToFit="0" vertical="top" wrapText="1"/>
    </xf>
    <xf borderId="1" fillId="14" fontId="5" numFmtId="0" xfId="0" applyAlignment="1" applyBorder="1" applyFill="1" applyFont="1">
      <alignment horizontal="left" shrinkToFit="0" vertical="top" wrapText="1"/>
    </xf>
    <xf borderId="1" fillId="0" fontId="5" numFmtId="164" xfId="0" applyAlignment="1" applyBorder="1" applyFont="1" applyNumberFormat="1">
      <alignment horizontal="center" vertical="center"/>
    </xf>
    <xf borderId="17" fillId="5" fontId="20" numFmtId="0" xfId="0" applyAlignment="1" applyBorder="1" applyFill="1" applyFont="1">
      <alignment horizontal="left" readingOrder="0" shrinkToFit="0" vertical="top" wrapText="1"/>
    </xf>
    <xf borderId="0" fillId="0" fontId="21" numFmtId="0" xfId="0" applyFont="1"/>
    <xf borderId="17" fillId="9" fontId="22" numFmtId="0" xfId="0" applyAlignment="1" applyBorder="1" applyFill="1" applyFont="1">
      <alignment horizontal="left" readingOrder="0" shrinkToFit="0" vertical="top" wrapText="1"/>
    </xf>
    <xf borderId="0" fillId="3" fontId="4" numFmtId="0" xfId="0" applyAlignment="1" applyFill="1" applyFont="1">
      <alignment horizontal="left" readingOrder="0" shrinkToFit="0" vertical="top" wrapText="1"/>
    </xf>
    <xf borderId="1" fillId="13" fontId="17" numFmtId="164" xfId="0" applyAlignment="1" applyBorder="1" applyFill="1" applyFont="1" applyNumberFormat="1">
      <alignment horizontal="center" vertical="center"/>
    </xf>
    <xf borderId="1" fillId="0" fontId="4" numFmtId="0" xfId="0" applyAlignment="1" applyBorder="1" applyFont="1">
      <alignment horizontal="center" vertical="center"/>
    </xf>
    <xf borderId="1" fillId="3" fontId="11" numFmtId="0" xfId="0" applyAlignment="1" applyBorder="1" applyFill="1" applyFont="1">
      <alignment horizontal="center" vertical="center"/>
    </xf>
    <xf borderId="17" fillId="5" fontId="23" numFmtId="0" xfId="0" applyAlignment="1" applyBorder="1" applyFill="1" applyFont="1">
      <alignment horizontal="left" readingOrder="0" shrinkToFit="0" vertical="top" wrapText="1"/>
    </xf>
    <xf borderId="17" fillId="5" fontId="4" numFmtId="0" xfId="0" applyAlignment="1" applyBorder="1" applyFill="1" applyFont="1">
      <alignment horizontal="left" readingOrder="0" shrinkToFit="0" vertical="top" wrapText="1"/>
    </xf>
    <xf borderId="7" fillId="10" fontId="9" numFmtId="0" xfId="0" applyAlignment="1" applyBorder="1" applyFill="1" applyFont="1">
      <alignment horizontal="center" shrinkToFit="0" vertical="top" wrapText="1"/>
    </xf>
    <xf borderId="7" fillId="3" fontId="11" numFmtId="0" xfId="0" applyAlignment="1" applyBorder="1" applyFill="1" applyFont="1">
      <alignment horizontal="center" vertical="center"/>
    </xf>
    <xf borderId="7" fillId="4" fontId="8" numFmtId="1" xfId="0" applyAlignment="1" applyBorder="1" applyFill="1" applyFont="1" applyNumberFormat="1">
      <alignment horizontal="center" readingOrder="0" vertical="center"/>
    </xf>
    <xf borderId="19" fillId="5" fontId="4" numFmtId="0" xfId="0" applyAlignment="1" applyBorder="1" applyFill="1" applyFont="1">
      <alignment horizontal="left" readingOrder="0" shrinkToFit="0" vertical="top" wrapText="1"/>
    </xf>
    <xf borderId="20" fillId="0" fontId="4" numFmtId="0" xfId="0" applyAlignment="1" applyBorder="1" applyFont="1">
      <alignment horizontal="left" shrinkToFit="0" vertical="top" wrapText="1"/>
    </xf>
    <xf borderId="21" fillId="0" fontId="4" numFmtId="0" xfId="0" applyAlignment="1" applyBorder="1" applyFont="1">
      <alignment horizontal="left" shrinkToFit="0" vertical="top" wrapText="1"/>
    </xf>
    <xf borderId="12" fillId="3" fontId="5" numFmtId="0" xfId="0" applyAlignment="1" applyBorder="1" applyFill="1" applyFont="1">
      <alignment horizontal="left" shrinkToFit="0" vertical="top" wrapText="1"/>
    </xf>
    <xf borderId="12" fillId="3" fontId="4" numFmtId="0" xfId="0" applyAlignment="1" applyBorder="1" applyFill="1" applyFont="1">
      <alignment horizontal="left" shrinkToFit="0" vertical="top" wrapText="1"/>
    </xf>
    <xf borderId="12" fillId="12" fontId="9" numFmtId="0" xfId="0" applyAlignment="1" applyBorder="1" applyFill="1" applyFont="1">
      <alignment horizontal="center" shrinkToFit="0" vertical="top" wrapText="1"/>
    </xf>
    <xf borderId="12" fillId="3" fontId="4" numFmtId="0" xfId="0" applyAlignment="1" applyBorder="1" applyFill="1" applyFont="1">
      <alignment horizontal="center" shrinkToFit="0" vertical="top" wrapText="1"/>
    </xf>
    <xf borderId="12" fillId="15" fontId="4" numFmtId="0" xfId="0" applyAlignment="1" applyBorder="1" applyFill="1" applyFont="1">
      <alignment horizontal="center" shrinkToFit="0" vertical="top" wrapText="1"/>
    </xf>
    <xf borderId="12" fillId="3" fontId="11" numFmtId="0" xfId="0" applyAlignment="1" applyBorder="1" applyFill="1" applyFont="1">
      <alignment horizontal="center" vertical="center"/>
    </xf>
    <xf borderId="12" fillId="4" fontId="8" numFmtId="1" xfId="0" applyAlignment="1" applyBorder="1" applyFill="1" applyFont="1" applyNumberFormat="1">
      <alignment horizontal="center" readingOrder="0" vertical="center"/>
    </xf>
    <xf borderId="13" fillId="3" fontId="4" numFmtId="0" xfId="0" applyAlignment="1" applyBorder="1" applyFill="1" applyFont="1">
      <alignment horizontal="left" shrinkToFit="0" vertical="top" wrapText="1"/>
    </xf>
    <xf borderId="12" fillId="9" fontId="4" numFmtId="0" xfId="0" applyAlignment="1" applyBorder="1" applyFill="1" applyFont="1">
      <alignment horizontal="left" readingOrder="0" shrinkToFit="0" vertical="top" wrapText="1"/>
    </xf>
    <xf borderId="22" fillId="3" fontId="4" numFmtId="0" xfId="0" applyAlignment="1" applyBorder="1" applyFill="1" applyFont="1">
      <alignment horizontal="left" readingOrder="0" shrinkToFit="0" vertical="top" wrapText="1"/>
    </xf>
    <xf borderId="1" fillId="12" fontId="9" numFmtId="0" xfId="0" applyAlignment="1" applyBorder="1" applyFill="1" applyFont="1">
      <alignment horizontal="center" shrinkToFit="0" vertical="top" wrapText="1"/>
    </xf>
    <xf borderId="0" fillId="0" fontId="4" numFmtId="0" xfId="0" applyAlignment="1" applyFont="1">
      <alignment horizontal="left" readingOrder="0" shrinkToFit="0" vertical="top" wrapText="1"/>
    </xf>
    <xf borderId="0" fillId="16" fontId="14" numFmtId="0" xfId="0" applyAlignment="1" applyFill="1" applyFont="1">
      <alignment horizontal="center" readingOrder="0" shrinkToFit="0" vertical="center" wrapText="1"/>
    </xf>
    <xf borderId="1" fillId="4" fontId="8" numFmtId="1" xfId="0" applyAlignment="1" applyBorder="1" applyFill="1" applyFont="1" applyNumberFormat="1">
      <alignment horizontal="center" readingOrder="0" vertical="center"/>
    </xf>
    <xf borderId="1" fillId="3" fontId="4" numFmtId="0" xfId="0" applyAlignment="1" applyBorder="1" applyFill="1" applyFont="1">
      <alignment horizontal="left" readingOrder="0" shrinkToFit="0" vertical="top" wrapText="1"/>
    </xf>
    <xf borderId="0" fillId="0" fontId="9" numFmtId="0" xfId="0" applyAlignment="1" applyFont="1">
      <alignment horizontal="left" readingOrder="0" shrinkToFit="0" vertical="top" wrapText="1"/>
    </xf>
    <xf borderId="7" fillId="12" fontId="9" numFmtId="0" xfId="0" applyAlignment="1" applyBorder="1" applyFill="1" applyFont="1">
      <alignment horizontal="center" shrinkToFit="0" vertical="top" wrapText="1"/>
    </xf>
    <xf borderId="7" fillId="6" fontId="4" numFmtId="0" xfId="0" applyAlignment="1" applyBorder="1" applyFill="1" applyFont="1">
      <alignment horizontal="center" shrinkToFit="0" vertical="top" wrapText="1"/>
    </xf>
    <xf borderId="7" fillId="4" fontId="8" numFmtId="0" xfId="0" applyAlignment="1" applyBorder="1" applyFill="1" applyFont="1">
      <alignment horizontal="center" vertical="center"/>
    </xf>
    <xf borderId="8" fillId="4" fontId="8" numFmtId="0" xfId="0" applyAlignment="1" applyBorder="1" applyFill="1" applyFont="1">
      <alignment horizontal="center" vertical="center"/>
    </xf>
    <xf borderId="8" fillId="3" fontId="12" numFmtId="1" xfId="0" applyAlignment="1" applyBorder="1" applyFill="1" applyFont="1" applyNumberFormat="1">
      <alignment horizontal="center" vertical="center"/>
    </xf>
    <xf borderId="12" fillId="14" fontId="5" numFmtId="0" xfId="0" applyAlignment="1" applyBorder="1" applyFill="1" applyFont="1">
      <alignment horizontal="center" shrinkToFit="0" vertical="top" wrapText="1"/>
    </xf>
    <xf borderId="12" fillId="4" fontId="8" numFmtId="0" xfId="0" applyAlignment="1" applyBorder="1" applyFill="1" applyFont="1">
      <alignment horizontal="center" vertical="center"/>
    </xf>
    <xf borderId="13" fillId="3" fontId="12" numFmtId="1" xfId="0" applyAlignment="1" applyBorder="1" applyFill="1" applyFont="1" applyNumberFormat="1">
      <alignment horizontal="center" vertical="center"/>
    </xf>
    <xf borderId="22" fillId="0" fontId="4" numFmtId="0" xfId="0" applyAlignment="1" applyBorder="1" applyFont="1">
      <alignment horizontal="left" shrinkToFit="0" vertical="top" wrapText="1"/>
    </xf>
    <xf borderId="22" fillId="0" fontId="14" numFmtId="0" xfId="0" applyAlignment="1" applyBorder="1" applyFont="1">
      <alignment horizontal="center" shrinkToFit="0" vertical="center" wrapText="1"/>
    </xf>
    <xf borderId="0" fillId="3" fontId="4" numFmtId="0" xfId="0" applyAlignment="1" applyFill="1" applyFont="1">
      <alignment horizontal="left" shrinkToFit="0" vertical="top" wrapText="1"/>
    </xf>
    <xf borderId="0" fillId="3" fontId="14" numFmtId="0" xfId="0" applyAlignment="1" applyFill="1" applyFont="1">
      <alignment horizontal="center" shrinkToFit="0" vertical="center" wrapText="1"/>
    </xf>
    <xf borderId="0" fillId="0" fontId="4" numFmtId="0" xfId="0" applyAlignment="1" applyFont="1">
      <alignment horizontal="left" shrinkToFit="0" vertical="top" wrapText="1"/>
    </xf>
    <xf borderId="0" fillId="0" fontId="14" numFmtId="0" xfId="0" applyAlignment="1" applyFont="1">
      <alignment horizontal="center" shrinkToFit="0" vertical="center" wrapText="1"/>
    </xf>
    <xf borderId="0" fillId="0" fontId="24" numFmtId="0" xfId="0" applyAlignment="1" applyFont="1">
      <alignment shrinkToFit="0" wrapText="1"/>
    </xf>
    <xf borderId="0" fillId="0" fontId="24"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dnautomotive.com/sub/business/vms.asp" TargetMode="External"/><Relationship Id="rId3" Type="http://schemas.openxmlformats.org/officeDocument/2006/relationships/hyperlink" Target="https://drive.google.com/file/d/1T892x8VAlipB1OQn1SwKEUW5kTEsnrhu/view?usp=drive_link" TargetMode="External"/><Relationship Id="rId4" Type="http://schemas.openxmlformats.org/officeDocument/2006/relationships/hyperlink" Target="https://drive.google.com/file/d/1sbXOoqD2wtmpGBb11NVWCzH5u6ikdsu9/view?usp=drive_link" TargetMode="External"/><Relationship Id="rId11" Type="http://schemas.openxmlformats.org/officeDocument/2006/relationships/drawing" Target="../drawings/drawing2.xml"/><Relationship Id="rId10" Type="http://schemas.openxmlformats.org/officeDocument/2006/relationships/hyperlink" Target="https://drive.google.com/file/d/1sbXOoqD2wtmpGBb11NVWCzH5u6ikdsu9/view?usp=drive_link" TargetMode="External"/><Relationship Id="rId12" Type="http://schemas.openxmlformats.org/officeDocument/2006/relationships/vmlDrawing" Target="../drawings/vmlDrawing1.vml"/><Relationship Id="rId9" Type="http://schemas.openxmlformats.org/officeDocument/2006/relationships/hyperlink" Target="https://drive.google.com/file/d/1sbXOoqD2wtmpGBb11NVWCzH5u6ikdsu9/view?usp=drive_link" TargetMode="External"/><Relationship Id="rId5" Type="http://schemas.openxmlformats.org/officeDocument/2006/relationships/hyperlink" Target="https://drive.google.com/file/d/1iQNVOvIEADyejTiLgIBKIwHVANz3Ni8J/view?usp=drive_link" TargetMode="External"/><Relationship Id="rId6" Type="http://schemas.openxmlformats.org/officeDocument/2006/relationships/hyperlink" Target="https://drive.google.com/file/d/1sbXOoqD2wtmpGBb11NVWCzH5u6ikdsu9/view?usp=drive_link" TargetMode="External"/><Relationship Id="rId7" Type="http://schemas.openxmlformats.org/officeDocument/2006/relationships/hyperlink" Target="https://drive.google.com/file/d/1sbXOoqD2wtmpGBb11NVWCzH5u6ikdsu9/view?usp=drive_link" TargetMode="External"/><Relationship Id="rId8" Type="http://schemas.openxmlformats.org/officeDocument/2006/relationships/hyperlink" Target="https://drive.google.com/file/d/1sbXOoqD2wtmpGBb11NVWCzH5u6ikdsu9/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sheetViews>
  <sheetFormatPr customHeight="1" defaultColWidth="14.43" defaultRowHeight="15.0"/>
  <cols>
    <col customWidth="1" min="1" max="1" width="3.0"/>
    <col customWidth="1" min="2" max="2" width="100.0"/>
    <col customWidth="1" min="3" max="26" width="8.71"/>
  </cols>
  <sheetData>
    <row r="1" ht="14.25" customHeight="1"/>
    <row r="2" ht="39.75" customHeight="1">
      <c r="B2" s="1" t="s">
        <v>0</v>
      </c>
    </row>
    <row r="3" ht="16.5" customHeight="1">
      <c r="B3" s="2" t="s">
        <v>1</v>
      </c>
    </row>
    <row r="4" ht="14.25" customHeight="1"/>
    <row r="5" ht="18.75" customHeight="1">
      <c r="B5" s="3" t="s">
        <v>2</v>
      </c>
    </row>
    <row r="6" ht="15.75" customHeight="1">
      <c r="B6" s="4" t="s">
        <v>3</v>
      </c>
    </row>
    <row r="7" ht="15.75" customHeight="1">
      <c r="B7" s="4"/>
    </row>
    <row r="8" ht="15.75" customHeight="1">
      <c r="B8" s="5" t="s">
        <v>4</v>
      </c>
    </row>
    <row r="9" ht="15.0" customHeight="1">
      <c r="B9" s="6" t="s">
        <v>5</v>
      </c>
    </row>
    <row r="10" ht="18.75" customHeight="1">
      <c r="B10" s="6" t="s">
        <v>6</v>
      </c>
    </row>
    <row r="11" ht="15.75" customHeight="1">
      <c r="B11" s="10" t="s">
        <v>9</v>
      </c>
    </row>
    <row r="12" ht="15.75" customHeight="1">
      <c r="B12" s="10" t="s">
        <v>27</v>
      </c>
    </row>
    <row r="13" ht="15.75" customHeight="1">
      <c r="B13" s="5"/>
    </row>
    <row r="14" ht="15.75" customHeight="1">
      <c r="B14" s="5" t="s">
        <v>35</v>
      </c>
    </row>
    <row r="15" ht="15.75" customHeight="1">
      <c r="B15" s="10" t="s">
        <v>40</v>
      </c>
    </row>
    <row r="16" ht="15.75" customHeight="1">
      <c r="B16" s="10" t="s">
        <v>42</v>
      </c>
    </row>
    <row r="17" ht="15.75" customHeight="1">
      <c r="B17" s="10" t="s">
        <v>45</v>
      </c>
    </row>
    <row r="18" ht="15.75" customHeight="1">
      <c r="B18" s="10" t="s">
        <v>48</v>
      </c>
    </row>
    <row r="19" ht="15.75" customHeight="1">
      <c r="B19" s="10" t="s">
        <v>51</v>
      </c>
    </row>
    <row r="20" ht="15.0" customHeight="1">
      <c r="B20" s="18" t="s">
        <v>53</v>
      </c>
    </row>
    <row r="21" ht="18.75" customHeight="1">
      <c r="B21" s="18"/>
    </row>
    <row r="22" ht="15.75" customHeight="1">
      <c r="B22" s="5" t="s">
        <v>66</v>
      </c>
    </row>
    <row r="23" ht="15.75" customHeight="1">
      <c r="B23" s="10" t="s">
        <v>68</v>
      </c>
    </row>
    <row r="24" ht="15.75" customHeight="1">
      <c r="B24" s="4" t="s">
        <v>70</v>
      </c>
    </row>
    <row r="25" ht="15.75" customHeight="1">
      <c r="B25" s="4"/>
    </row>
    <row r="26" ht="15.75" customHeight="1">
      <c r="B26" s="5" t="s">
        <v>72</v>
      </c>
    </row>
    <row r="27" ht="15.75" customHeight="1">
      <c r="B27" s="10" t="s">
        <v>75</v>
      </c>
    </row>
    <row r="28" ht="15.75" customHeight="1">
      <c r="B28" s="10" t="s">
        <v>79</v>
      </c>
    </row>
    <row r="29" ht="15.75" customHeight="1">
      <c r="B29" s="10" t="s">
        <v>81</v>
      </c>
    </row>
    <row r="30" ht="15.75" customHeight="1">
      <c r="B30" s="4" t="s">
        <v>84</v>
      </c>
    </row>
    <row r="31" ht="15.75" customHeight="1">
      <c r="B31" s="4"/>
    </row>
    <row r="32" ht="14.25" customHeight="1"/>
    <row r="33" ht="18.75" customHeight="1">
      <c r="B33" s="25" t="s">
        <v>89</v>
      </c>
    </row>
    <row r="34" ht="15.75" customHeight="1">
      <c r="B34" s="4"/>
    </row>
    <row r="35" ht="15.75" customHeight="1">
      <c r="B35" s="4"/>
    </row>
    <row r="36" ht="15.75" customHeight="1">
      <c r="B36" s="4"/>
    </row>
    <row r="37" ht="15.75" customHeight="1">
      <c r="B37" s="4"/>
    </row>
    <row r="38" ht="15.75" customHeight="1">
      <c r="B38" s="4"/>
    </row>
    <row r="39" ht="15.75" customHeight="1">
      <c r="B39" s="4"/>
    </row>
    <row r="40" ht="14.25" customHeight="1"/>
    <row r="41" ht="18.75" customHeight="1">
      <c r="B41" s="3"/>
    </row>
    <row r="42" ht="15.75" customHeight="1">
      <c r="B42" s="4"/>
    </row>
    <row r="43" ht="15.75" customHeight="1">
      <c r="B43" s="4"/>
    </row>
    <row r="44" ht="15.75" customHeight="1">
      <c r="B44" s="4"/>
    </row>
    <row r="45" ht="15.75" customHeight="1">
      <c r="B45" s="4"/>
    </row>
    <row r="46" ht="15.75" customHeight="1">
      <c r="B46" s="4"/>
    </row>
    <row r="47" ht="15.75" customHeight="1">
      <c r="B47" s="4"/>
    </row>
    <row r="48" ht="15.75" customHeight="1">
      <c r="B48" s="4"/>
    </row>
    <row r="49" ht="15.0" customHeight="1">
      <c r="B49" s="18"/>
    </row>
    <row r="50" ht="15.0" customHeight="1">
      <c r="B50" s="18"/>
    </row>
    <row r="51" ht="15.0" customHeight="1"/>
    <row r="52" ht="18.75" customHeight="1">
      <c r="B52" s="3"/>
    </row>
    <row r="53" ht="15.0" customHeight="1">
      <c r="B53" s="18"/>
    </row>
    <row r="54" ht="15.0" customHeight="1">
      <c r="B54" s="18"/>
    </row>
    <row r="55" ht="15.0" customHeight="1">
      <c r="B55" s="18"/>
    </row>
    <row r="56" ht="15.0" customHeight="1">
      <c r="B56" s="18"/>
    </row>
    <row r="57" ht="15.0" customHeight="1">
      <c r="B57" s="18"/>
    </row>
    <row r="58" ht="15.0" customHeight="1">
      <c r="B58" s="18"/>
    </row>
    <row r="59" ht="14.25" customHeight="1"/>
    <row r="60" ht="14.25" customHeight="1"/>
    <row r="61" ht="15.0" customHeight="1">
      <c r="B61" s="28"/>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7.57"/>
    <col customWidth="1" hidden="1" min="3" max="3" width="16.0"/>
    <col customWidth="1" min="4" max="4" width="8.0"/>
    <col customWidth="1" hidden="1" min="5" max="5" width="8.57"/>
    <col customWidth="1" min="6" max="6" width="10.43"/>
    <col customWidth="1" min="7" max="7" width="27.29"/>
    <col customWidth="1" min="8" max="8" width="13.57"/>
    <col customWidth="1" min="9" max="9" width="9.29"/>
    <col customWidth="1" min="10" max="10" width="8.43"/>
    <col customWidth="1" min="11" max="11" width="10.14"/>
    <col customWidth="1" min="12" max="12" width="10.0"/>
    <col customWidth="1" min="13" max="13" width="8.0"/>
    <col customWidth="1" min="14" max="14" width="20.43"/>
    <col customWidth="1" min="15" max="15" width="53.43"/>
    <col customWidth="1" min="16" max="16" width="7.29"/>
    <col customWidth="1" min="17" max="18" width="10.57"/>
    <col customWidth="1" min="19" max="19" width="8.29"/>
    <col customWidth="1" min="20" max="24" width="6.29"/>
    <col customWidth="1" min="25" max="25" width="21.86"/>
    <col customWidth="1" min="26" max="26" width="32.86"/>
    <col customWidth="1" min="27" max="27" width="47.86"/>
    <col customWidth="1" min="28" max="28" width="7.14"/>
    <col customWidth="1" min="29" max="29" width="41.43"/>
    <col customWidth="1" min="30" max="30" width="32.43"/>
    <col customWidth="1" min="31" max="31" width="18.0"/>
  </cols>
  <sheetData>
    <row r="1" ht="45.75" customHeight="1">
      <c r="A1" s="8" t="s">
        <v>7</v>
      </c>
      <c r="B1" s="7" t="s">
        <v>8</v>
      </c>
      <c r="C1" s="7" t="s">
        <v>16</v>
      </c>
      <c r="D1" s="7" t="s">
        <v>17</v>
      </c>
      <c r="E1" s="7" t="s">
        <v>18</v>
      </c>
      <c r="F1" s="7" t="s">
        <v>10</v>
      </c>
      <c r="G1" s="7" t="s">
        <v>20</v>
      </c>
      <c r="H1" s="7" t="s">
        <v>21</v>
      </c>
      <c r="I1" s="7" t="s">
        <v>22</v>
      </c>
      <c r="J1" s="7" t="s">
        <v>23</v>
      </c>
      <c r="K1" s="7" t="s">
        <v>25</v>
      </c>
      <c r="L1" s="7" t="s">
        <v>26</v>
      </c>
      <c r="M1" s="7" t="s">
        <v>28</v>
      </c>
      <c r="N1" s="7" t="s">
        <v>30</v>
      </c>
      <c r="O1" s="7" t="s">
        <v>33</v>
      </c>
      <c r="P1" s="13" t="s">
        <v>38</v>
      </c>
      <c r="Q1" s="13" t="s">
        <v>47</v>
      </c>
      <c r="R1" s="7" t="s">
        <v>49</v>
      </c>
      <c r="S1" s="7" t="s">
        <v>50</v>
      </c>
      <c r="T1" s="13" t="s">
        <v>52</v>
      </c>
      <c r="U1" s="13" t="s">
        <v>55</v>
      </c>
      <c r="V1" s="13" t="s">
        <v>56</v>
      </c>
      <c r="W1" s="13" t="s">
        <v>58</v>
      </c>
      <c r="X1" s="7" t="s">
        <v>59</v>
      </c>
      <c r="Y1" s="7" t="s">
        <v>60</v>
      </c>
      <c r="Z1" s="17" t="s">
        <v>61</v>
      </c>
      <c r="AA1" s="19" t="s">
        <v>64</v>
      </c>
      <c r="AB1" s="17" t="s">
        <v>67</v>
      </c>
      <c r="AC1" s="17" t="s">
        <v>69</v>
      </c>
      <c r="AD1" s="21" t="s">
        <v>71</v>
      </c>
      <c r="AE1" s="21" t="s">
        <v>76</v>
      </c>
    </row>
    <row r="2" ht="145.5" customHeight="1">
      <c r="A2" s="11">
        <v>1.0</v>
      </c>
      <c r="B2" s="9" t="s">
        <v>15</v>
      </c>
      <c r="C2" s="12" t="s">
        <v>86</v>
      </c>
      <c r="D2" s="24" t="s">
        <v>88</v>
      </c>
      <c r="E2" s="12" t="s">
        <v>100</v>
      </c>
      <c r="F2" s="9" t="s">
        <v>19</v>
      </c>
      <c r="G2" s="12" t="s">
        <v>101</v>
      </c>
      <c r="H2" s="12" t="s">
        <v>103</v>
      </c>
      <c r="I2" s="12" t="s">
        <v>104</v>
      </c>
      <c r="J2" s="9" t="s">
        <v>105</v>
      </c>
      <c r="K2" s="9" t="s">
        <v>105</v>
      </c>
      <c r="L2" s="16" t="s">
        <v>107</v>
      </c>
      <c r="M2" s="11">
        <v>5.0</v>
      </c>
      <c r="N2" s="12" t="s">
        <v>109</v>
      </c>
      <c r="O2" s="9" t="s">
        <v>110</v>
      </c>
      <c r="P2" s="27" t="s">
        <v>113</v>
      </c>
      <c r="Q2" s="9" t="s">
        <v>160</v>
      </c>
      <c r="R2" s="9" t="s">
        <v>162</v>
      </c>
      <c r="S2" s="9" t="s">
        <v>164</v>
      </c>
      <c r="T2" s="30">
        <v>4.0</v>
      </c>
      <c r="U2" s="31"/>
      <c r="V2" s="31"/>
      <c r="W2" s="31"/>
      <c r="X2" s="32">
        <f>IF(T2="","",SUMPRODUCT(('02_점수산정참고표'!$A$2:$A$314=$B2)*('02_점수산정참고표'!$C$2:$C$314=T2)*'02_점수산정참고표'!$E$2:$E$314))</f>
        <v>75</v>
      </c>
      <c r="Y2" s="9" t="s">
        <v>222</v>
      </c>
      <c r="Z2" s="12" t="s">
        <v>229</v>
      </c>
      <c r="AA2" s="33" t="s">
        <v>235</v>
      </c>
      <c r="AB2" s="34" t="s">
        <v>280</v>
      </c>
      <c r="AC2" s="35" t="s">
        <v>287</v>
      </c>
      <c r="AD2" s="36" t="s">
        <v>291</v>
      </c>
      <c r="AE2" s="37" t="s">
        <v>294</v>
      </c>
    </row>
    <row r="3" ht="110.25" customHeight="1">
      <c r="A3" s="11">
        <v>2.0</v>
      </c>
      <c r="B3" s="14" t="s">
        <v>92</v>
      </c>
      <c r="C3" s="22" t="s">
        <v>86</v>
      </c>
      <c r="D3" s="24" t="s">
        <v>88</v>
      </c>
      <c r="E3" s="22" t="s">
        <v>100</v>
      </c>
      <c r="F3" s="14" t="s">
        <v>93</v>
      </c>
      <c r="G3" s="22" t="s">
        <v>308</v>
      </c>
      <c r="H3" s="14" t="s">
        <v>311</v>
      </c>
      <c r="I3" s="22" t="s">
        <v>312</v>
      </c>
      <c r="J3" s="14" t="s">
        <v>105</v>
      </c>
      <c r="K3" s="14" t="s">
        <v>105</v>
      </c>
      <c r="L3" s="26" t="s">
        <v>107</v>
      </c>
      <c r="M3" s="15">
        <v>3.0</v>
      </c>
      <c r="N3" s="22" t="s">
        <v>321</v>
      </c>
      <c r="O3" s="14" t="s">
        <v>323</v>
      </c>
      <c r="P3" s="27" t="s">
        <v>113</v>
      </c>
      <c r="Q3" s="14" t="s">
        <v>327</v>
      </c>
      <c r="R3" s="14" t="s">
        <v>162</v>
      </c>
      <c r="S3" s="14" t="s">
        <v>164</v>
      </c>
      <c r="T3" s="38">
        <v>1.0</v>
      </c>
      <c r="U3" s="31"/>
      <c r="V3" s="31"/>
      <c r="W3" s="31"/>
      <c r="X3" s="39">
        <f>IF(T3="","",SUMPRODUCT(('02_점수산정참고표'!$A$2:$A$314=$B3)*('02_점수산정참고표'!$C$2:$C$314=T3)*'02_점수산정참고표'!$E$2:$E$314))</f>
        <v>0</v>
      </c>
      <c r="Y3" s="14" t="s">
        <v>358</v>
      </c>
      <c r="Z3" s="22" t="s">
        <v>367</v>
      </c>
      <c r="AA3" s="42" t="s">
        <v>372</v>
      </c>
      <c r="AB3" s="44" t="s">
        <v>381</v>
      </c>
      <c r="AC3" s="45" t="s">
        <v>385</v>
      </c>
      <c r="AD3" s="46" t="s">
        <v>391</v>
      </c>
      <c r="AE3" s="47" t="s">
        <v>393</v>
      </c>
    </row>
    <row r="4" ht="190.5" customHeight="1">
      <c r="A4" s="11">
        <v>3.0</v>
      </c>
      <c r="B4" s="9" t="s">
        <v>97</v>
      </c>
      <c r="C4" s="12" t="s">
        <v>86</v>
      </c>
      <c r="D4" s="24" t="s">
        <v>88</v>
      </c>
      <c r="E4" s="12" t="s">
        <v>100</v>
      </c>
      <c r="F4" s="9" t="s">
        <v>98</v>
      </c>
      <c r="G4" s="9" t="s">
        <v>404</v>
      </c>
      <c r="H4" s="12" t="s">
        <v>406</v>
      </c>
      <c r="I4" s="12" t="s">
        <v>104</v>
      </c>
      <c r="J4" s="12" t="s">
        <v>409</v>
      </c>
      <c r="K4" s="9" t="s">
        <v>410</v>
      </c>
      <c r="L4" s="16" t="s">
        <v>107</v>
      </c>
      <c r="M4" s="11">
        <v>5.0</v>
      </c>
      <c r="N4" s="12" t="s">
        <v>109</v>
      </c>
      <c r="O4" s="9" t="s">
        <v>418</v>
      </c>
      <c r="P4" s="27" t="s">
        <v>113</v>
      </c>
      <c r="Q4" s="9" t="s">
        <v>420</v>
      </c>
      <c r="R4" s="9" t="s">
        <v>421</v>
      </c>
      <c r="S4" s="9" t="s">
        <v>164</v>
      </c>
      <c r="T4" s="30">
        <v>2.0</v>
      </c>
      <c r="U4" s="31"/>
      <c r="V4" s="31"/>
      <c r="W4" s="31"/>
      <c r="X4" s="32">
        <f>IF(T4="","",SUMPRODUCT(('02_점수산정참고표'!$A$2:$A$314=$B4)*('02_점수산정참고표'!$C$2:$C$314=T4)*'02_점수산정참고표'!$E$2:$E$314))</f>
        <v>25</v>
      </c>
      <c r="Y4" s="12" t="s">
        <v>439</v>
      </c>
      <c r="Z4" s="12" t="s">
        <v>442</v>
      </c>
      <c r="AA4" s="50" t="s">
        <v>447</v>
      </c>
      <c r="AB4" s="44" t="s">
        <v>381</v>
      </c>
      <c r="AC4" s="52" t="s">
        <v>454</v>
      </c>
      <c r="AD4" s="46" t="s">
        <v>461</v>
      </c>
      <c r="AE4" s="47" t="s">
        <v>294</v>
      </c>
    </row>
    <row r="5" ht="171.0" customHeight="1">
      <c r="A5" s="11">
        <v>4.0</v>
      </c>
      <c r="B5" s="14" t="s">
        <v>112</v>
      </c>
      <c r="C5" s="22" t="s">
        <v>86</v>
      </c>
      <c r="D5" s="24" t="s">
        <v>88</v>
      </c>
      <c r="E5" s="22" t="s">
        <v>468</v>
      </c>
      <c r="F5" s="14" t="s">
        <v>114</v>
      </c>
      <c r="G5" s="22" t="s">
        <v>472</v>
      </c>
      <c r="H5" s="22" t="s">
        <v>406</v>
      </c>
      <c r="I5" s="22" t="s">
        <v>104</v>
      </c>
      <c r="J5" s="14" t="s">
        <v>105</v>
      </c>
      <c r="K5" s="14" t="s">
        <v>105</v>
      </c>
      <c r="L5" s="26" t="s">
        <v>107</v>
      </c>
      <c r="M5" s="15">
        <v>5.0</v>
      </c>
      <c r="N5" s="22" t="s">
        <v>109</v>
      </c>
      <c r="O5" s="14" t="s">
        <v>481</v>
      </c>
      <c r="P5" s="27" t="s">
        <v>113</v>
      </c>
      <c r="Q5" s="14" t="s">
        <v>482</v>
      </c>
      <c r="R5" s="14" t="s">
        <v>483</v>
      </c>
      <c r="S5" s="14" t="s">
        <v>164</v>
      </c>
      <c r="T5" s="38">
        <v>1.0</v>
      </c>
      <c r="U5" s="31"/>
      <c r="V5" s="31"/>
      <c r="W5" s="31"/>
      <c r="X5" s="39">
        <f>IF(T5="","",SUMPRODUCT(('02_점수산정참고표'!$A$2:$A$314=$B5)*('02_점수산정참고표'!$C$2:$C$314=T5)*'02_점수산정참고표'!$E$2:$E$314))</f>
        <v>0</v>
      </c>
      <c r="Y5" s="22" t="s">
        <v>505</v>
      </c>
      <c r="Z5" s="22" t="s">
        <v>510</v>
      </c>
      <c r="AA5" s="50" t="s">
        <v>514</v>
      </c>
      <c r="AB5" s="44" t="s">
        <v>381</v>
      </c>
      <c r="AC5" s="45" t="s">
        <v>517</v>
      </c>
      <c r="AD5" s="46" t="s">
        <v>518</v>
      </c>
      <c r="AE5" s="47" t="s">
        <v>294</v>
      </c>
    </row>
    <row r="6" ht="150.0" customHeight="1">
      <c r="A6" s="57">
        <v>5.0</v>
      </c>
      <c r="B6" s="59" t="s">
        <v>120</v>
      </c>
      <c r="C6" s="60" t="s">
        <v>86</v>
      </c>
      <c r="D6" s="61" t="s">
        <v>88</v>
      </c>
      <c r="E6" s="60" t="s">
        <v>563</v>
      </c>
      <c r="F6" s="59" t="s">
        <v>121</v>
      </c>
      <c r="G6" s="60" t="s">
        <v>567</v>
      </c>
      <c r="H6" s="59" t="s">
        <v>568</v>
      </c>
      <c r="I6" s="60" t="s">
        <v>104</v>
      </c>
      <c r="J6" s="59" t="s">
        <v>105</v>
      </c>
      <c r="K6" s="59" t="s">
        <v>105</v>
      </c>
      <c r="L6" s="63" t="s">
        <v>570</v>
      </c>
      <c r="M6" s="57">
        <v>5.0</v>
      </c>
      <c r="N6" s="60" t="s">
        <v>579</v>
      </c>
      <c r="O6" s="60" t="s">
        <v>584</v>
      </c>
      <c r="P6" s="64" t="s">
        <v>395</v>
      </c>
      <c r="Q6" s="59" t="s">
        <v>593</v>
      </c>
      <c r="R6" s="59" t="s">
        <v>595</v>
      </c>
      <c r="S6" s="59" t="s">
        <v>164</v>
      </c>
      <c r="T6" s="38">
        <v>1.0</v>
      </c>
      <c r="U6" s="65"/>
      <c r="V6" s="65"/>
      <c r="W6" s="65"/>
      <c r="X6" s="66">
        <f>IF(T6="","",SUMPRODUCT(('02_점수산정참고표'!$A$2:$A$314=$B6)*('02_점수산정참고표'!$C$2:$C$314=T6)*'02_점수산정참고표'!$E$2:$E$314))</f>
        <v>0</v>
      </c>
      <c r="Y6" s="67" t="s">
        <v>641</v>
      </c>
      <c r="Z6" s="67" t="s">
        <v>651</v>
      </c>
      <c r="AA6" s="68" t="s">
        <v>659</v>
      </c>
      <c r="AB6" s="69" t="s">
        <v>381</v>
      </c>
      <c r="AC6" s="70" t="s">
        <v>672</v>
      </c>
      <c r="AD6" s="71" t="s">
        <v>676</v>
      </c>
      <c r="AE6" s="72" t="s">
        <v>680</v>
      </c>
    </row>
    <row r="7" ht="236.25" customHeight="1">
      <c r="A7" s="73">
        <v>6.0</v>
      </c>
      <c r="B7" s="74" t="s">
        <v>132</v>
      </c>
      <c r="C7" s="75" t="s">
        <v>86</v>
      </c>
      <c r="D7" s="76" t="s">
        <v>459</v>
      </c>
      <c r="E7" s="75" t="s">
        <v>704</v>
      </c>
      <c r="F7" s="75" t="s">
        <v>133</v>
      </c>
      <c r="G7" s="75" t="s">
        <v>706</v>
      </c>
      <c r="H7" s="75" t="s">
        <v>707</v>
      </c>
      <c r="I7" s="75" t="s">
        <v>104</v>
      </c>
      <c r="J7" s="74" t="s">
        <v>105</v>
      </c>
      <c r="K7" s="74" t="s">
        <v>105</v>
      </c>
      <c r="L7" s="77" t="s">
        <v>107</v>
      </c>
      <c r="M7" s="78">
        <v>5.0</v>
      </c>
      <c r="N7" s="75" t="s">
        <v>109</v>
      </c>
      <c r="O7" s="79" t="s">
        <v>718</v>
      </c>
      <c r="P7" s="80" t="s">
        <v>113</v>
      </c>
      <c r="Q7" s="74" t="s">
        <v>724</v>
      </c>
      <c r="R7" s="74" t="s">
        <v>725</v>
      </c>
      <c r="S7" s="74" t="s">
        <v>164</v>
      </c>
      <c r="T7" s="81">
        <v>2.0</v>
      </c>
      <c r="U7" s="82"/>
      <c r="V7" s="82"/>
      <c r="W7" s="82"/>
      <c r="X7" s="83">
        <f>IF(T7="","",SUMPRODUCT(('02_점수산정참고표'!$A$2:$A$314=$B7)*('02_점수산정참고표'!$C$2:$C$314=T7)*'02_점수산정참고표'!$E$2:$E$314))</f>
        <v>25</v>
      </c>
      <c r="Y7" s="75" t="s">
        <v>751</v>
      </c>
      <c r="Z7" s="84" t="s">
        <v>754</v>
      </c>
      <c r="AA7" s="85" t="s">
        <v>764</v>
      </c>
      <c r="AB7" s="44" t="s">
        <v>381</v>
      </c>
      <c r="AC7" s="86" t="s">
        <v>771</v>
      </c>
      <c r="AD7" s="87" t="s">
        <v>777</v>
      </c>
      <c r="AE7" s="88" t="s">
        <v>294</v>
      </c>
    </row>
    <row r="8" ht="91.5" customHeight="1">
      <c r="A8" s="11">
        <v>7.0</v>
      </c>
      <c r="B8" s="9" t="s">
        <v>139</v>
      </c>
      <c r="C8" s="12" t="s">
        <v>86</v>
      </c>
      <c r="D8" s="89" t="s">
        <v>459</v>
      </c>
      <c r="E8" s="12" t="s">
        <v>704</v>
      </c>
      <c r="F8" s="12" t="s">
        <v>140</v>
      </c>
      <c r="G8" s="12" t="s">
        <v>792</v>
      </c>
      <c r="H8" s="12" t="s">
        <v>793</v>
      </c>
      <c r="I8" s="12" t="s">
        <v>104</v>
      </c>
      <c r="J8" s="9" t="s">
        <v>105</v>
      </c>
      <c r="K8" s="9" t="s">
        <v>105</v>
      </c>
      <c r="L8" s="16" t="s">
        <v>570</v>
      </c>
      <c r="M8" s="11">
        <v>5.0</v>
      </c>
      <c r="N8" s="12" t="s">
        <v>579</v>
      </c>
      <c r="O8" s="12" t="s">
        <v>798</v>
      </c>
      <c r="P8" s="27" t="s">
        <v>113</v>
      </c>
      <c r="Q8" s="9" t="s">
        <v>800</v>
      </c>
      <c r="R8" s="9" t="s">
        <v>801</v>
      </c>
      <c r="S8" s="9" t="s">
        <v>164</v>
      </c>
      <c r="T8" s="30">
        <v>3.0</v>
      </c>
      <c r="U8" s="31"/>
      <c r="V8" s="31"/>
      <c r="W8" s="31"/>
      <c r="X8" s="32">
        <f>IF(T8="","",SUMPRODUCT(('02_점수산정참고표'!$A$2:$A$314=$B8)*('02_점수산정참고표'!$C$2:$C$314=T8)*'02_점수산정참고표'!$E$2:$E$314))</f>
        <v>50</v>
      </c>
      <c r="Y8" s="12" t="s">
        <v>821</v>
      </c>
      <c r="Z8" s="12" t="s">
        <v>823</v>
      </c>
      <c r="AA8" s="90" t="s">
        <v>830</v>
      </c>
      <c r="AB8" s="34" t="s">
        <v>280</v>
      </c>
      <c r="AC8" s="35" t="s">
        <v>836</v>
      </c>
      <c r="AD8" s="46" t="s">
        <v>839</v>
      </c>
      <c r="AE8" s="91" t="s">
        <v>680</v>
      </c>
    </row>
    <row r="9" ht="102.75" customHeight="1">
      <c r="A9" s="11">
        <v>8.0</v>
      </c>
      <c r="B9" s="14" t="s">
        <v>157</v>
      </c>
      <c r="C9" s="22" t="s">
        <v>86</v>
      </c>
      <c r="D9" s="89" t="s">
        <v>459</v>
      </c>
      <c r="E9" s="22" t="s">
        <v>846</v>
      </c>
      <c r="F9" s="22" t="s">
        <v>158</v>
      </c>
      <c r="G9" s="22" t="s">
        <v>849</v>
      </c>
      <c r="H9" s="22" t="s">
        <v>852</v>
      </c>
      <c r="I9" s="22" t="s">
        <v>312</v>
      </c>
      <c r="J9" s="22" t="s">
        <v>853</v>
      </c>
      <c r="K9" s="22" t="s">
        <v>854</v>
      </c>
      <c r="L9" s="26" t="s">
        <v>107</v>
      </c>
      <c r="M9" s="15">
        <v>3.0</v>
      </c>
      <c r="N9" s="22" t="s">
        <v>321</v>
      </c>
      <c r="O9" s="14" t="s">
        <v>859</v>
      </c>
      <c r="P9" s="92" t="s">
        <v>395</v>
      </c>
      <c r="Q9" s="14" t="s">
        <v>870</v>
      </c>
      <c r="R9" s="14" t="s">
        <v>872</v>
      </c>
      <c r="S9" s="14" t="s">
        <v>164</v>
      </c>
      <c r="T9" s="30">
        <v>3.0</v>
      </c>
      <c r="U9" s="31"/>
      <c r="V9" s="31"/>
      <c r="W9" s="31"/>
      <c r="X9" s="39">
        <f>IF(T9="","",SUMPRODUCT(('02_점수산정참고표'!$A$2:$A$314=$B9)*('02_점수산정참고표'!$C$2:$C$314=T9)*'02_점수산정참고표'!$E$2:$E$314))</f>
        <v>100</v>
      </c>
      <c r="Y9" s="14" t="s">
        <v>887</v>
      </c>
      <c r="Z9" s="22" t="s">
        <v>889</v>
      </c>
      <c r="AA9" s="93" t="s">
        <v>894</v>
      </c>
      <c r="AB9" s="44" t="s">
        <v>381</v>
      </c>
      <c r="AC9" s="86" t="s">
        <v>921</v>
      </c>
      <c r="AD9" s="46" t="s">
        <v>922</v>
      </c>
      <c r="AE9" s="91" t="s">
        <v>393</v>
      </c>
    </row>
    <row r="10" ht="140.25" customHeight="1">
      <c r="A10" s="11">
        <v>9.0</v>
      </c>
      <c r="B10" s="14" t="s">
        <v>166</v>
      </c>
      <c r="C10" s="22" t="s">
        <v>86</v>
      </c>
      <c r="D10" s="89" t="s">
        <v>459</v>
      </c>
      <c r="E10" s="22" t="s">
        <v>846</v>
      </c>
      <c r="F10" s="22" t="s">
        <v>167</v>
      </c>
      <c r="G10" s="22" t="s">
        <v>931</v>
      </c>
      <c r="H10" s="22" t="s">
        <v>935</v>
      </c>
      <c r="I10" s="22" t="s">
        <v>104</v>
      </c>
      <c r="J10" s="14" t="s">
        <v>105</v>
      </c>
      <c r="K10" s="14" t="s">
        <v>105</v>
      </c>
      <c r="L10" s="26" t="s">
        <v>570</v>
      </c>
      <c r="M10" s="15">
        <v>5.0</v>
      </c>
      <c r="N10" s="12" t="s">
        <v>579</v>
      </c>
      <c r="O10" s="22" t="s">
        <v>942</v>
      </c>
      <c r="P10" s="92" t="s">
        <v>395</v>
      </c>
      <c r="Q10" s="14" t="s">
        <v>943</v>
      </c>
      <c r="R10" s="14" t="s">
        <v>944</v>
      </c>
      <c r="S10" s="14" t="s">
        <v>164</v>
      </c>
      <c r="T10" s="30">
        <v>2.0</v>
      </c>
      <c r="U10" s="31"/>
      <c r="V10" s="31"/>
      <c r="W10" s="31"/>
      <c r="X10" s="39">
        <f>IF(T10="","",SUMPRODUCT(('02_점수산정참고표'!$A$2:$A$314=$B10)*('02_점수산정참고표'!$C$2:$C$314=T10)*'02_점수산정참고표'!$E$2:$E$314))</f>
        <v>25</v>
      </c>
      <c r="Y10" s="22" t="s">
        <v>970</v>
      </c>
      <c r="Z10" s="96" t="s">
        <v>973</v>
      </c>
      <c r="AA10" s="99" t="s">
        <v>1012</v>
      </c>
      <c r="AB10" s="34" t="s">
        <v>280</v>
      </c>
      <c r="AC10" s="35" t="s">
        <v>1059</v>
      </c>
      <c r="AD10" s="46" t="s">
        <v>1061</v>
      </c>
      <c r="AE10" s="91" t="s">
        <v>680</v>
      </c>
    </row>
    <row r="11" ht="138.75" customHeight="1">
      <c r="A11" s="11">
        <v>10.0</v>
      </c>
      <c r="B11" s="9" t="s">
        <v>177</v>
      </c>
      <c r="C11" s="12" t="s">
        <v>86</v>
      </c>
      <c r="D11" s="89" t="s">
        <v>459</v>
      </c>
      <c r="E11" s="12" t="s">
        <v>1068</v>
      </c>
      <c r="F11" s="12" t="s">
        <v>179</v>
      </c>
      <c r="G11" s="12" t="s">
        <v>1072</v>
      </c>
      <c r="H11" s="12" t="s">
        <v>1074</v>
      </c>
      <c r="I11" s="22" t="s">
        <v>312</v>
      </c>
      <c r="J11" s="12" t="s">
        <v>853</v>
      </c>
      <c r="K11" s="12" t="s">
        <v>1075</v>
      </c>
      <c r="L11" s="16" t="s">
        <v>107</v>
      </c>
      <c r="M11" s="11">
        <v>3.0</v>
      </c>
      <c r="N11" s="12" t="s">
        <v>321</v>
      </c>
      <c r="O11" s="9" t="s">
        <v>1080</v>
      </c>
      <c r="P11" s="27" t="s">
        <v>113</v>
      </c>
      <c r="Q11" s="9" t="s">
        <v>1081</v>
      </c>
      <c r="R11" s="9" t="s">
        <v>1082</v>
      </c>
      <c r="S11" s="9" t="s">
        <v>164</v>
      </c>
      <c r="T11" s="30">
        <v>3.0</v>
      </c>
      <c r="U11" s="31"/>
      <c r="V11" s="31"/>
      <c r="W11" s="31"/>
      <c r="X11" s="32">
        <f>IF(T11="","",SUMPRODUCT(('02_점수산정참고표'!$A$2:$A$314=$B11)*('02_점수산정참고표'!$C$2:$C$314=T11)*'02_점수산정참고표'!$E$2:$E$314))</f>
        <v>100</v>
      </c>
      <c r="Y11" s="12" t="s">
        <v>1090</v>
      </c>
      <c r="Z11" s="12" t="s">
        <v>1091</v>
      </c>
      <c r="AA11" s="101" t="s">
        <v>1092</v>
      </c>
      <c r="AB11" s="44" t="s">
        <v>381</v>
      </c>
      <c r="AC11" s="86" t="s">
        <v>1093</v>
      </c>
      <c r="AD11" s="46" t="s">
        <v>1094</v>
      </c>
      <c r="AE11" s="91" t="s">
        <v>393</v>
      </c>
    </row>
    <row r="12" ht="115.5" customHeight="1">
      <c r="A12" s="11">
        <v>11.0</v>
      </c>
      <c r="B12" s="9" t="s">
        <v>196</v>
      </c>
      <c r="C12" s="12" t="s">
        <v>86</v>
      </c>
      <c r="D12" s="89" t="s">
        <v>459</v>
      </c>
      <c r="E12" s="12" t="s">
        <v>1095</v>
      </c>
      <c r="F12" s="12" t="s">
        <v>197</v>
      </c>
      <c r="G12" s="12" t="s">
        <v>1096</v>
      </c>
      <c r="H12" s="12" t="s">
        <v>1097</v>
      </c>
      <c r="I12" s="22" t="s">
        <v>312</v>
      </c>
      <c r="J12" s="12" t="s">
        <v>853</v>
      </c>
      <c r="K12" s="12" t="s">
        <v>1098</v>
      </c>
      <c r="L12" s="16" t="s">
        <v>107</v>
      </c>
      <c r="M12" s="11">
        <v>3.0</v>
      </c>
      <c r="N12" s="12" t="s">
        <v>321</v>
      </c>
      <c r="O12" s="9" t="s">
        <v>1099</v>
      </c>
      <c r="P12" s="62" t="s">
        <v>402</v>
      </c>
      <c r="Q12" s="9" t="s">
        <v>1100</v>
      </c>
      <c r="R12" s="9" t="s">
        <v>1101</v>
      </c>
      <c r="S12" s="9" t="s">
        <v>164</v>
      </c>
      <c r="T12" s="30">
        <v>1.0</v>
      </c>
      <c r="U12" s="31"/>
      <c r="V12" s="31"/>
      <c r="W12" s="31"/>
      <c r="X12" s="32">
        <f>IF(T12="","",SUMPRODUCT(('02_점수산정참고표'!$A$2:$A$314=$B12)*('02_점수산정참고표'!$C$2:$C$314=T12)*'02_점수산정참고표'!$E$2:$E$314))</f>
        <v>0</v>
      </c>
      <c r="Y12" s="9" t="s">
        <v>1102</v>
      </c>
      <c r="Z12" s="12" t="s">
        <v>1103</v>
      </c>
      <c r="AA12" s="101" t="s">
        <v>1104</v>
      </c>
      <c r="AB12" s="44" t="s">
        <v>381</v>
      </c>
      <c r="AC12" s="102" t="s">
        <v>1105</v>
      </c>
      <c r="AD12" s="46" t="s">
        <v>1106</v>
      </c>
      <c r="AE12" s="91" t="s">
        <v>393</v>
      </c>
    </row>
    <row r="13" ht="99.75" customHeight="1">
      <c r="A13" s="11">
        <v>12.0</v>
      </c>
      <c r="B13" s="9" t="s">
        <v>216</v>
      </c>
      <c r="C13" s="12" t="s">
        <v>86</v>
      </c>
      <c r="D13" s="89" t="s">
        <v>459</v>
      </c>
      <c r="E13" s="12" t="s">
        <v>1107</v>
      </c>
      <c r="F13" s="12" t="s">
        <v>217</v>
      </c>
      <c r="G13" s="12" t="s">
        <v>1108</v>
      </c>
      <c r="H13" s="12" t="s">
        <v>1109</v>
      </c>
      <c r="I13" s="22" t="s">
        <v>312</v>
      </c>
      <c r="J13" s="12" t="s">
        <v>853</v>
      </c>
      <c r="K13" s="12" t="s">
        <v>1110</v>
      </c>
      <c r="L13" s="16" t="s">
        <v>107</v>
      </c>
      <c r="M13" s="11">
        <v>3.0</v>
      </c>
      <c r="N13" s="12" t="s">
        <v>321</v>
      </c>
      <c r="O13" s="9" t="s">
        <v>1111</v>
      </c>
      <c r="P13" s="62" t="s">
        <v>402</v>
      </c>
      <c r="Q13" s="9" t="s">
        <v>1100</v>
      </c>
      <c r="R13" s="9" t="s">
        <v>1112</v>
      </c>
      <c r="S13" s="9" t="s">
        <v>164</v>
      </c>
      <c r="T13" s="30">
        <v>1.0</v>
      </c>
      <c r="U13" s="31"/>
      <c r="V13" s="31"/>
      <c r="W13" s="31"/>
      <c r="X13" s="32">
        <f>IF(T13="","",SUMPRODUCT(('02_점수산정참고표'!$A$2:$A$314=$B13)*('02_점수산정참고표'!$C$2:$C$314=T13)*'02_점수산정참고표'!$E$2:$E$314))</f>
        <v>0</v>
      </c>
      <c r="Y13" s="12" t="s">
        <v>1113</v>
      </c>
      <c r="Z13" s="12" t="s">
        <v>1114</v>
      </c>
      <c r="AA13" s="101" t="s">
        <v>1115</v>
      </c>
      <c r="AB13" s="44" t="s">
        <v>381</v>
      </c>
      <c r="AC13" s="86" t="s">
        <v>1116</v>
      </c>
      <c r="AD13" s="46" t="s">
        <v>1117</v>
      </c>
      <c r="AE13" s="91" t="s">
        <v>393</v>
      </c>
    </row>
    <row r="14" ht="129.0" customHeight="1">
      <c r="A14" s="11">
        <v>13.0</v>
      </c>
      <c r="B14" s="9" t="s">
        <v>238</v>
      </c>
      <c r="C14" s="12" t="s">
        <v>86</v>
      </c>
      <c r="D14" s="89" t="s">
        <v>459</v>
      </c>
      <c r="E14" s="12" t="s">
        <v>1118</v>
      </c>
      <c r="F14" s="12" t="s">
        <v>240</v>
      </c>
      <c r="G14" s="12" t="s">
        <v>1119</v>
      </c>
      <c r="H14" s="12" t="s">
        <v>1120</v>
      </c>
      <c r="I14" s="22" t="s">
        <v>312</v>
      </c>
      <c r="J14" s="12" t="s">
        <v>853</v>
      </c>
      <c r="K14" s="12" t="s">
        <v>1121</v>
      </c>
      <c r="L14" s="16" t="s">
        <v>107</v>
      </c>
      <c r="M14" s="11">
        <v>3.0</v>
      </c>
      <c r="N14" s="12" t="s">
        <v>321</v>
      </c>
      <c r="O14" s="9" t="s">
        <v>1122</v>
      </c>
      <c r="P14" s="62" t="s">
        <v>402</v>
      </c>
      <c r="Q14" s="9" t="s">
        <v>1123</v>
      </c>
      <c r="R14" s="9" t="s">
        <v>1124</v>
      </c>
      <c r="S14" s="9" t="s">
        <v>164</v>
      </c>
      <c r="T14" s="30">
        <v>1.0</v>
      </c>
      <c r="U14" s="31"/>
      <c r="V14" s="31"/>
      <c r="W14" s="31"/>
      <c r="X14" s="32">
        <f>IF(T14="","",SUMPRODUCT(('02_점수산정참고표'!$A$2:$A$314=$B14)*('02_점수산정참고표'!$C$2:$C$314=T14)*'02_점수산정참고표'!$E$2:$E$314))</f>
        <v>0</v>
      </c>
      <c r="Y14" s="12" t="s">
        <v>1126</v>
      </c>
      <c r="Z14" s="12" t="s">
        <v>1127</v>
      </c>
      <c r="AA14" s="99" t="s">
        <v>1128</v>
      </c>
      <c r="AB14" s="44" t="s">
        <v>381</v>
      </c>
      <c r="AC14" s="35" t="s">
        <v>1129</v>
      </c>
      <c r="AD14" s="46" t="s">
        <v>1130</v>
      </c>
      <c r="AE14" s="91" t="s">
        <v>393</v>
      </c>
    </row>
    <row r="15" ht="91.5" customHeight="1">
      <c r="A15" s="11">
        <v>14.0</v>
      </c>
      <c r="B15" s="14" t="s">
        <v>248</v>
      </c>
      <c r="C15" s="22" t="s">
        <v>86</v>
      </c>
      <c r="D15" s="89" t="s">
        <v>459</v>
      </c>
      <c r="E15" s="22" t="s">
        <v>1118</v>
      </c>
      <c r="F15" s="22" t="s">
        <v>249</v>
      </c>
      <c r="G15" s="22" t="s">
        <v>1131</v>
      </c>
      <c r="H15" s="22" t="s">
        <v>1132</v>
      </c>
      <c r="I15" s="22" t="s">
        <v>312</v>
      </c>
      <c r="J15" s="22" t="s">
        <v>853</v>
      </c>
      <c r="K15" s="22" t="s">
        <v>1133</v>
      </c>
      <c r="L15" s="26" t="s">
        <v>107</v>
      </c>
      <c r="M15" s="15">
        <v>3.0</v>
      </c>
      <c r="N15" s="22" t="s">
        <v>321</v>
      </c>
      <c r="O15" s="14" t="s">
        <v>1134</v>
      </c>
      <c r="P15" s="62" t="s">
        <v>402</v>
      </c>
      <c r="Q15" s="14" t="s">
        <v>1123</v>
      </c>
      <c r="R15" s="14" t="s">
        <v>1135</v>
      </c>
      <c r="S15" s="14" t="s">
        <v>164</v>
      </c>
      <c r="T15" s="30">
        <v>1.0</v>
      </c>
      <c r="U15" s="31"/>
      <c r="V15" s="31"/>
      <c r="W15" s="31"/>
      <c r="X15" s="39">
        <f>IF(T15="","",SUMPRODUCT(('02_점수산정참고표'!$A$2:$A$314=$B15)*('02_점수산정참고표'!$C$2:$C$314=T15)*'02_점수산정참고표'!$E$2:$E$314))</f>
        <v>0</v>
      </c>
      <c r="Y15" s="22" t="s">
        <v>1137</v>
      </c>
      <c r="Z15" s="22" t="s">
        <v>1138</v>
      </c>
      <c r="AA15" s="99" t="s">
        <v>1140</v>
      </c>
      <c r="AB15" s="44" t="s">
        <v>381</v>
      </c>
      <c r="AC15" s="86" t="s">
        <v>1141</v>
      </c>
      <c r="AD15" s="46" t="s">
        <v>1142</v>
      </c>
      <c r="AE15" s="91" t="s">
        <v>393</v>
      </c>
    </row>
    <row r="16" ht="91.5" customHeight="1">
      <c r="A16" s="11">
        <v>15.0</v>
      </c>
      <c r="B16" s="9" t="s">
        <v>1143</v>
      </c>
      <c r="C16" s="12" t="s">
        <v>86</v>
      </c>
      <c r="D16" s="89" t="s">
        <v>459</v>
      </c>
      <c r="E16" s="12" t="s">
        <v>1144</v>
      </c>
      <c r="F16" s="12" t="s">
        <v>1144</v>
      </c>
      <c r="G16" s="12" t="s">
        <v>1145</v>
      </c>
      <c r="H16" s="12" t="s">
        <v>1146</v>
      </c>
      <c r="I16" s="22" t="s">
        <v>312</v>
      </c>
      <c r="J16" s="12" t="s">
        <v>853</v>
      </c>
      <c r="K16" s="9" t="s">
        <v>1147</v>
      </c>
      <c r="L16" s="16" t="s">
        <v>1148</v>
      </c>
      <c r="M16" s="11">
        <v>3.0</v>
      </c>
      <c r="N16" s="12" t="s">
        <v>1149</v>
      </c>
      <c r="O16" s="12" t="s">
        <v>1150</v>
      </c>
      <c r="P16" s="27" t="s">
        <v>113</v>
      </c>
      <c r="Q16" s="9" t="s">
        <v>1151</v>
      </c>
      <c r="R16" s="9" t="s">
        <v>1152</v>
      </c>
      <c r="S16" s="9" t="s">
        <v>164</v>
      </c>
      <c r="T16" s="105" t="s">
        <v>1153</v>
      </c>
      <c r="U16" s="38">
        <v>0.0</v>
      </c>
      <c r="V16" s="30">
        <v>0.0</v>
      </c>
      <c r="W16" s="38">
        <v>0.0</v>
      </c>
      <c r="X16" s="32">
        <f>MAX(0,100-(N(U16)*50+N(V16)*30+N(W16)*10))</f>
        <v>100</v>
      </c>
      <c r="Y16" s="12" t="s">
        <v>1155</v>
      </c>
      <c r="Z16" s="12" t="s">
        <v>1156</v>
      </c>
      <c r="AA16" s="106" t="s">
        <v>1157</v>
      </c>
      <c r="AB16" s="34" t="s">
        <v>280</v>
      </c>
      <c r="AC16" s="35" t="s">
        <v>1158</v>
      </c>
      <c r="AD16" s="46" t="s">
        <v>1159</v>
      </c>
      <c r="AE16" s="91" t="s">
        <v>1160</v>
      </c>
    </row>
    <row r="17" ht="138.0" customHeight="1">
      <c r="A17" s="11">
        <v>16.0</v>
      </c>
      <c r="B17" s="9" t="s">
        <v>269</v>
      </c>
      <c r="C17" s="12" t="s">
        <v>86</v>
      </c>
      <c r="D17" s="89" t="s">
        <v>459</v>
      </c>
      <c r="E17" s="12" t="s">
        <v>1161</v>
      </c>
      <c r="F17" s="12" t="s">
        <v>270</v>
      </c>
      <c r="G17" s="12" t="s">
        <v>1162</v>
      </c>
      <c r="H17" s="12" t="s">
        <v>1163</v>
      </c>
      <c r="I17" s="12" t="s">
        <v>1164</v>
      </c>
      <c r="J17" s="9" t="s">
        <v>105</v>
      </c>
      <c r="K17" s="9" t="s">
        <v>105</v>
      </c>
      <c r="L17" s="16" t="s">
        <v>107</v>
      </c>
      <c r="M17" s="11">
        <v>5.0</v>
      </c>
      <c r="N17" s="12" t="s">
        <v>109</v>
      </c>
      <c r="O17" s="9" t="s">
        <v>1165</v>
      </c>
      <c r="P17" s="92" t="s">
        <v>395</v>
      </c>
      <c r="Q17" s="9" t="s">
        <v>1166</v>
      </c>
      <c r="R17" s="9" t="s">
        <v>1167</v>
      </c>
      <c r="S17" s="9" t="s">
        <v>164</v>
      </c>
      <c r="T17" s="30">
        <v>1.0</v>
      </c>
      <c r="U17" s="31"/>
      <c r="V17" s="31"/>
      <c r="W17" s="31"/>
      <c r="X17" s="32">
        <f>IF(T17="","",SUMPRODUCT(('02_점수산정참고표'!$A$2:$A$314=$B17)*('02_점수산정참고표'!$C$2:$C$314=T17)*'02_점수산정참고표'!$E$2:$E$314))</f>
        <v>0</v>
      </c>
      <c r="Y17" s="9" t="s">
        <v>1169</v>
      </c>
      <c r="Z17" s="12" t="s">
        <v>1170</v>
      </c>
      <c r="AA17" s="107" t="s">
        <v>1171</v>
      </c>
      <c r="AB17" s="44" t="s">
        <v>381</v>
      </c>
      <c r="AC17" s="45" t="s">
        <v>1172</v>
      </c>
      <c r="AD17" s="46" t="s">
        <v>1173</v>
      </c>
      <c r="AE17" s="91" t="s">
        <v>294</v>
      </c>
    </row>
    <row r="18" ht="91.5" customHeight="1">
      <c r="A18" s="57">
        <v>17.0</v>
      </c>
      <c r="B18" s="59" t="s">
        <v>1174</v>
      </c>
      <c r="C18" s="60" t="s">
        <v>86</v>
      </c>
      <c r="D18" s="108" t="s">
        <v>459</v>
      </c>
      <c r="E18" s="60" t="s">
        <v>1161</v>
      </c>
      <c r="F18" s="60" t="s">
        <v>1176</v>
      </c>
      <c r="G18" s="60" t="s">
        <v>1177</v>
      </c>
      <c r="H18" s="60" t="s">
        <v>1179</v>
      </c>
      <c r="I18" s="60" t="s">
        <v>1164</v>
      </c>
      <c r="J18" s="60" t="s">
        <v>853</v>
      </c>
      <c r="K18" s="59" t="s">
        <v>1180</v>
      </c>
      <c r="L18" s="63" t="s">
        <v>1182</v>
      </c>
      <c r="M18" s="57"/>
      <c r="N18" s="60" t="s">
        <v>1183</v>
      </c>
      <c r="O18" s="60" t="s">
        <v>1184</v>
      </c>
      <c r="P18" s="64" t="s">
        <v>395</v>
      </c>
      <c r="Q18" s="59" t="s">
        <v>1185</v>
      </c>
      <c r="R18" s="59" t="s">
        <v>1186</v>
      </c>
      <c r="S18" s="59" t="s">
        <v>164</v>
      </c>
      <c r="T18" s="109" t="s">
        <v>1187</v>
      </c>
      <c r="U18" s="65"/>
      <c r="V18" s="65"/>
      <c r="W18" s="65"/>
      <c r="X18" s="110">
        <v>0.0</v>
      </c>
      <c r="Y18" s="67" t="s">
        <v>1188</v>
      </c>
      <c r="Z18" s="67" t="s">
        <v>1189</v>
      </c>
      <c r="AA18" s="111" t="s">
        <v>1190</v>
      </c>
      <c r="AB18" s="44" t="s">
        <v>381</v>
      </c>
      <c r="AC18" s="70" t="s">
        <v>1191</v>
      </c>
      <c r="AD18" s="112" t="s">
        <v>1192</v>
      </c>
      <c r="AE18" s="113" t="s">
        <v>1193</v>
      </c>
    </row>
    <row r="19" ht="91.5" customHeight="1">
      <c r="A19" s="73">
        <v>18.0</v>
      </c>
      <c r="B19" s="114" t="s">
        <v>1052</v>
      </c>
      <c r="C19" s="115" t="s">
        <v>86</v>
      </c>
      <c r="D19" s="116" t="s">
        <v>493</v>
      </c>
      <c r="E19" s="115" t="s">
        <v>1194</v>
      </c>
      <c r="F19" s="115" t="s">
        <v>1195</v>
      </c>
      <c r="G19" s="115" t="s">
        <v>1196</v>
      </c>
      <c r="H19" s="115" t="s">
        <v>1197</v>
      </c>
      <c r="I19" s="115" t="s">
        <v>104</v>
      </c>
      <c r="J19" s="114" t="s">
        <v>105</v>
      </c>
      <c r="K19" s="114" t="s">
        <v>105</v>
      </c>
      <c r="L19" s="117" t="s">
        <v>1182</v>
      </c>
      <c r="M19" s="73"/>
      <c r="N19" s="115" t="s">
        <v>1198</v>
      </c>
      <c r="O19" s="115" t="s">
        <v>1199</v>
      </c>
      <c r="P19" s="118" t="s">
        <v>395</v>
      </c>
      <c r="Q19" s="114" t="s">
        <v>1200</v>
      </c>
      <c r="R19" s="114" t="s">
        <v>1201</v>
      </c>
      <c r="S19" s="114" t="s">
        <v>164</v>
      </c>
      <c r="T19" s="119" t="s">
        <v>1187</v>
      </c>
      <c r="U19" s="82"/>
      <c r="V19" s="82"/>
      <c r="W19" s="82"/>
      <c r="X19" s="120">
        <v>50.0</v>
      </c>
      <c r="Y19" s="114" t="s">
        <v>1202</v>
      </c>
      <c r="Z19" s="121" t="s">
        <v>1203</v>
      </c>
      <c r="AA19" s="122" t="s">
        <v>1204</v>
      </c>
      <c r="AB19" s="44" t="s">
        <v>381</v>
      </c>
      <c r="AC19" s="123" t="s">
        <v>1205</v>
      </c>
      <c r="AD19" s="87" t="s">
        <v>1206</v>
      </c>
      <c r="AE19" s="88" t="s">
        <v>1207</v>
      </c>
    </row>
    <row r="20" ht="91.5" customHeight="1">
      <c r="A20" s="11">
        <v>19.0</v>
      </c>
      <c r="B20" s="14" t="s">
        <v>701</v>
      </c>
      <c r="C20" s="22" t="s">
        <v>86</v>
      </c>
      <c r="D20" s="124" t="s">
        <v>493</v>
      </c>
      <c r="E20" s="22" t="s">
        <v>1194</v>
      </c>
      <c r="F20" s="22" t="s">
        <v>703</v>
      </c>
      <c r="G20" s="22" t="s">
        <v>1208</v>
      </c>
      <c r="H20" s="22" t="s">
        <v>1209</v>
      </c>
      <c r="I20" s="22" t="s">
        <v>1210</v>
      </c>
      <c r="J20" s="14" t="s">
        <v>105</v>
      </c>
      <c r="K20" s="14" t="s">
        <v>105</v>
      </c>
      <c r="L20" s="26" t="s">
        <v>107</v>
      </c>
      <c r="M20" s="15">
        <v>5.0</v>
      </c>
      <c r="N20" s="22" t="s">
        <v>109</v>
      </c>
      <c r="O20" s="14" t="s">
        <v>1211</v>
      </c>
      <c r="P20" s="27" t="s">
        <v>113</v>
      </c>
      <c r="Q20" s="14" t="s">
        <v>1212</v>
      </c>
      <c r="R20" s="22" t="s">
        <v>1213</v>
      </c>
      <c r="S20" s="14" t="s">
        <v>164</v>
      </c>
      <c r="T20" s="38">
        <v>1.0</v>
      </c>
      <c r="U20" s="31"/>
      <c r="V20" s="31"/>
      <c r="W20" s="31"/>
      <c r="X20" s="39">
        <f>IF(T20="","",SUMPRODUCT(('02_점수산정참고표'!$A$2:$A$314=$B20)*('02_점수산정참고표'!$C$2:$C$314=T20)*'02_점수산정참고표'!$E$2:$E$314))</f>
        <v>0</v>
      </c>
      <c r="Y20" s="22" t="s">
        <v>1214</v>
      </c>
      <c r="Z20" s="22" t="s">
        <v>1215</v>
      </c>
      <c r="AA20" s="96" t="s">
        <v>1216</v>
      </c>
      <c r="AB20" s="44" t="s">
        <v>381</v>
      </c>
      <c r="AC20" s="125" t="s">
        <v>1217</v>
      </c>
      <c r="AD20" s="46" t="s">
        <v>1218</v>
      </c>
      <c r="AE20" s="91" t="s">
        <v>294</v>
      </c>
    </row>
    <row r="21" ht="91.5" customHeight="1">
      <c r="A21" s="11">
        <v>20.0</v>
      </c>
      <c r="B21" s="9" t="s">
        <v>209</v>
      </c>
      <c r="C21" s="12" t="s">
        <v>86</v>
      </c>
      <c r="D21" s="124" t="s">
        <v>493</v>
      </c>
      <c r="E21" s="12" t="s">
        <v>1194</v>
      </c>
      <c r="F21" s="12" t="s">
        <v>719</v>
      </c>
      <c r="G21" s="12" t="s">
        <v>1219</v>
      </c>
      <c r="H21" s="12" t="s">
        <v>1220</v>
      </c>
      <c r="I21" s="12" t="s">
        <v>1210</v>
      </c>
      <c r="J21" s="9" t="s">
        <v>105</v>
      </c>
      <c r="K21" s="9" t="s">
        <v>105</v>
      </c>
      <c r="L21" s="16" t="s">
        <v>107</v>
      </c>
      <c r="M21" s="11">
        <v>5.0</v>
      </c>
      <c r="N21" s="12" t="s">
        <v>109</v>
      </c>
      <c r="O21" s="9" t="s">
        <v>1221</v>
      </c>
      <c r="P21" s="62" t="s">
        <v>402</v>
      </c>
      <c r="Q21" s="9" t="s">
        <v>1222</v>
      </c>
      <c r="R21" s="12" t="s">
        <v>1223</v>
      </c>
      <c r="S21" s="9" t="s">
        <v>164</v>
      </c>
      <c r="T21" s="38">
        <v>1.0</v>
      </c>
      <c r="U21" s="31"/>
      <c r="V21" s="31"/>
      <c r="W21" s="31"/>
      <c r="X21" s="32">
        <f>IF(T21="","",SUMPRODUCT(('02_점수산정참고표'!$A$2:$A$314=$B21)*('02_점수산정참고표'!$C$2:$C$314=T21)*'02_점수산정참고표'!$E$2:$E$314))</f>
        <v>0</v>
      </c>
      <c r="Y21" s="12" t="s">
        <v>1224</v>
      </c>
      <c r="Z21" s="12" t="s">
        <v>1225</v>
      </c>
      <c r="AA21" s="42" t="s">
        <v>1226</v>
      </c>
      <c r="AB21" s="44" t="s">
        <v>381</v>
      </c>
      <c r="AC21" s="52" t="s">
        <v>1227</v>
      </c>
      <c r="AD21" s="46" t="s">
        <v>1228</v>
      </c>
      <c r="AE21" s="91" t="s">
        <v>294</v>
      </c>
    </row>
    <row r="22" ht="91.5" customHeight="1">
      <c r="A22" s="11">
        <v>21.0</v>
      </c>
      <c r="B22" s="14" t="s">
        <v>227</v>
      </c>
      <c r="C22" s="22" t="s">
        <v>86</v>
      </c>
      <c r="D22" s="124" t="s">
        <v>493</v>
      </c>
      <c r="E22" s="22" t="s">
        <v>1194</v>
      </c>
      <c r="F22" s="22" t="s">
        <v>736</v>
      </c>
      <c r="G22" s="22" t="s">
        <v>1229</v>
      </c>
      <c r="H22" s="22" t="s">
        <v>1220</v>
      </c>
      <c r="I22" s="22" t="s">
        <v>1210</v>
      </c>
      <c r="J22" s="14" t="s">
        <v>105</v>
      </c>
      <c r="K22" s="22" t="s">
        <v>1230</v>
      </c>
      <c r="L22" s="26" t="s">
        <v>107</v>
      </c>
      <c r="M22" s="15">
        <v>5.0</v>
      </c>
      <c r="N22" s="22" t="s">
        <v>109</v>
      </c>
      <c r="O22" s="14" t="s">
        <v>1231</v>
      </c>
      <c r="P22" s="27" t="s">
        <v>113</v>
      </c>
      <c r="Q22" s="14" t="s">
        <v>1232</v>
      </c>
      <c r="R22" s="14" t="s">
        <v>1233</v>
      </c>
      <c r="S22" s="14" t="s">
        <v>164</v>
      </c>
      <c r="T22" s="30">
        <v>1.0</v>
      </c>
      <c r="U22" s="31"/>
      <c r="V22" s="31"/>
      <c r="W22" s="31"/>
      <c r="X22" s="39">
        <f>IF(T22="","",SUMPRODUCT(('02_점수산정참고표'!$A$2:$A$314=$B22)*('02_점수산정참고표'!$C$2:$C$314=T22)*'02_점수산정참고표'!$E$2:$E$314))</f>
        <v>0</v>
      </c>
      <c r="Y22" s="22" t="s">
        <v>1234</v>
      </c>
      <c r="Z22" s="22" t="s">
        <v>1235</v>
      </c>
      <c r="AA22" s="42" t="s">
        <v>1236</v>
      </c>
      <c r="AB22" s="44" t="s">
        <v>381</v>
      </c>
      <c r="AC22" s="125" t="s">
        <v>1237</v>
      </c>
      <c r="AD22" s="46" t="s">
        <v>1238</v>
      </c>
      <c r="AE22" s="91" t="s">
        <v>294</v>
      </c>
    </row>
    <row r="23" ht="91.5" customHeight="1">
      <c r="A23" s="11">
        <v>22.0</v>
      </c>
      <c r="B23" s="9" t="s">
        <v>697</v>
      </c>
      <c r="C23" s="12" t="s">
        <v>86</v>
      </c>
      <c r="D23" s="124" t="s">
        <v>493</v>
      </c>
      <c r="E23" s="12" t="s">
        <v>1194</v>
      </c>
      <c r="F23" s="12" t="s">
        <v>747</v>
      </c>
      <c r="G23" s="12" t="s">
        <v>1239</v>
      </c>
      <c r="H23" s="12" t="s">
        <v>1240</v>
      </c>
      <c r="I23" s="12" t="s">
        <v>104</v>
      </c>
      <c r="J23" s="9" t="s">
        <v>105</v>
      </c>
      <c r="K23" s="9" t="s">
        <v>105</v>
      </c>
      <c r="L23" s="16" t="s">
        <v>107</v>
      </c>
      <c r="M23" s="11">
        <v>3.0</v>
      </c>
      <c r="N23" s="12" t="s">
        <v>321</v>
      </c>
      <c r="O23" s="9" t="s">
        <v>1241</v>
      </c>
      <c r="P23" s="92" t="s">
        <v>395</v>
      </c>
      <c r="Q23" s="9" t="s">
        <v>1242</v>
      </c>
      <c r="R23" s="12" t="s">
        <v>1243</v>
      </c>
      <c r="S23" s="9" t="s">
        <v>164</v>
      </c>
      <c r="T23" s="30">
        <v>1.0</v>
      </c>
      <c r="U23" s="31"/>
      <c r="V23" s="31"/>
      <c r="W23" s="31"/>
      <c r="X23" s="32">
        <f>IF(T23="","",SUMPRODUCT(('02_점수산정참고표'!$A$2:$A$314=$B23)*('02_점수산정참고표'!$C$2:$C$314=T23)*'02_점수산정참고표'!$E$2:$E$314))</f>
        <v>0</v>
      </c>
      <c r="Y23" s="12" t="s">
        <v>1244</v>
      </c>
      <c r="Z23" s="12" t="s">
        <v>1245</v>
      </c>
      <c r="AA23" s="42" t="s">
        <v>1246</v>
      </c>
      <c r="AB23" s="34" t="s">
        <v>280</v>
      </c>
      <c r="AC23" s="52" t="s">
        <v>1247</v>
      </c>
      <c r="AD23" s="46" t="s">
        <v>1248</v>
      </c>
      <c r="AE23" s="91" t="s">
        <v>393</v>
      </c>
    </row>
    <row r="24" ht="91.5" customHeight="1">
      <c r="A24" s="11">
        <v>23.0</v>
      </c>
      <c r="B24" s="14" t="s">
        <v>757</v>
      </c>
      <c r="C24" s="22" t="s">
        <v>86</v>
      </c>
      <c r="D24" s="124" t="s">
        <v>493</v>
      </c>
      <c r="E24" s="22" t="s">
        <v>1249</v>
      </c>
      <c r="F24" s="22" t="s">
        <v>758</v>
      </c>
      <c r="G24" s="22" t="s">
        <v>1250</v>
      </c>
      <c r="H24" s="22" t="s">
        <v>1251</v>
      </c>
      <c r="I24" s="22" t="s">
        <v>104</v>
      </c>
      <c r="J24" s="14" t="s">
        <v>105</v>
      </c>
      <c r="K24" s="22" t="s">
        <v>1252</v>
      </c>
      <c r="L24" s="26" t="s">
        <v>107</v>
      </c>
      <c r="M24" s="15">
        <v>5.0</v>
      </c>
      <c r="N24" s="22" t="s">
        <v>109</v>
      </c>
      <c r="O24" s="14" t="s">
        <v>1253</v>
      </c>
      <c r="P24" s="27" t="s">
        <v>113</v>
      </c>
      <c r="Q24" s="14" t="s">
        <v>1254</v>
      </c>
      <c r="R24" s="14" t="s">
        <v>1255</v>
      </c>
      <c r="S24" s="14" t="s">
        <v>164</v>
      </c>
      <c r="T24" s="30">
        <v>5.0</v>
      </c>
      <c r="U24" s="31"/>
      <c r="V24" s="31"/>
      <c r="W24" s="31"/>
      <c r="X24" s="39">
        <f>IF(T24="","",SUMPRODUCT(('02_점수산정참고표'!$A$2:$A$314=$B24)*('02_점수산정참고표'!$C$2:$C$314=T24)*'02_점수산정참고표'!$E$2:$E$314))</f>
        <v>100</v>
      </c>
      <c r="Y24" s="22" t="s">
        <v>1256</v>
      </c>
      <c r="Z24" s="22" t="s">
        <v>1257</v>
      </c>
      <c r="AA24" s="96" t="s">
        <v>1258</v>
      </c>
      <c r="AB24" s="126" t="s">
        <v>1259</v>
      </c>
      <c r="AC24" s="125" t="s">
        <v>1260</v>
      </c>
      <c r="AD24" s="46" t="s">
        <v>1261</v>
      </c>
      <c r="AE24" s="91" t="s">
        <v>294</v>
      </c>
    </row>
    <row r="25" ht="91.5" customHeight="1">
      <c r="A25" s="11">
        <v>24.0</v>
      </c>
      <c r="B25" s="9" t="s">
        <v>775</v>
      </c>
      <c r="C25" s="12" t="s">
        <v>86</v>
      </c>
      <c r="D25" s="124" t="s">
        <v>493</v>
      </c>
      <c r="E25" s="12" t="s">
        <v>1249</v>
      </c>
      <c r="F25" s="12" t="s">
        <v>776</v>
      </c>
      <c r="G25" s="12" t="s">
        <v>1262</v>
      </c>
      <c r="H25" s="12" t="s">
        <v>1251</v>
      </c>
      <c r="I25" s="12" t="s">
        <v>104</v>
      </c>
      <c r="J25" s="9" t="s">
        <v>105</v>
      </c>
      <c r="K25" s="12" t="s">
        <v>1263</v>
      </c>
      <c r="L25" s="16" t="s">
        <v>107</v>
      </c>
      <c r="M25" s="11">
        <v>5.0</v>
      </c>
      <c r="N25" s="12" t="s">
        <v>109</v>
      </c>
      <c r="O25" s="9" t="s">
        <v>1264</v>
      </c>
      <c r="P25" s="62" t="s">
        <v>402</v>
      </c>
      <c r="Q25" s="9" t="s">
        <v>1222</v>
      </c>
      <c r="R25" s="12" t="s">
        <v>1223</v>
      </c>
      <c r="S25" s="9" t="s">
        <v>164</v>
      </c>
      <c r="T25" s="30">
        <v>5.0</v>
      </c>
      <c r="U25" s="31"/>
      <c r="V25" s="31"/>
      <c r="W25" s="31"/>
      <c r="X25" s="32">
        <f>IF(T25="","",SUMPRODUCT(('02_점수산정참고표'!$A$2:$A$314=$B25)*('02_점수산정참고표'!$C$2:$C$314=T25)*'02_점수산정참고표'!$E$2:$E$314))</f>
        <v>100</v>
      </c>
      <c r="Y25" s="12" t="s">
        <v>1265</v>
      </c>
      <c r="Z25" s="12" t="s">
        <v>1266</v>
      </c>
      <c r="AA25" s="96" t="s">
        <v>1267</v>
      </c>
      <c r="AB25" s="126" t="s">
        <v>1259</v>
      </c>
      <c r="AC25" s="52" t="s">
        <v>1268</v>
      </c>
      <c r="AD25" s="46" t="s">
        <v>1269</v>
      </c>
      <c r="AE25" s="91" t="s">
        <v>294</v>
      </c>
    </row>
    <row r="26" ht="91.5" customHeight="1">
      <c r="A26" s="11">
        <v>25.0</v>
      </c>
      <c r="B26" s="14" t="s">
        <v>789</v>
      </c>
      <c r="C26" s="22" t="s">
        <v>86</v>
      </c>
      <c r="D26" s="124" t="s">
        <v>493</v>
      </c>
      <c r="E26" s="22" t="s">
        <v>1249</v>
      </c>
      <c r="F26" s="22" t="s">
        <v>791</v>
      </c>
      <c r="G26" s="22" t="s">
        <v>1270</v>
      </c>
      <c r="H26" s="22" t="s">
        <v>1271</v>
      </c>
      <c r="I26" s="22" t="s">
        <v>104</v>
      </c>
      <c r="J26" s="14" t="s">
        <v>105</v>
      </c>
      <c r="K26" s="14" t="s">
        <v>105</v>
      </c>
      <c r="L26" s="26" t="s">
        <v>570</v>
      </c>
      <c r="M26" s="15">
        <v>5.0</v>
      </c>
      <c r="N26" s="12" t="s">
        <v>579</v>
      </c>
      <c r="O26" s="22" t="s">
        <v>1272</v>
      </c>
      <c r="P26" s="27" t="s">
        <v>113</v>
      </c>
      <c r="Q26" s="14" t="s">
        <v>1273</v>
      </c>
      <c r="R26" s="22" t="s">
        <v>1223</v>
      </c>
      <c r="S26" s="14" t="s">
        <v>164</v>
      </c>
      <c r="T26" s="30">
        <v>1.0</v>
      </c>
      <c r="U26" s="31"/>
      <c r="V26" s="31"/>
      <c r="W26" s="31"/>
      <c r="X26" s="39">
        <f>IF(T26="","",SUMPRODUCT(('02_점수산정참고표'!$A$2:$A$314=$B26)*('02_점수산정참고표'!$C$2:$C$314=T26)*'02_점수산정참고표'!$E$2:$E$314))</f>
        <v>0</v>
      </c>
      <c r="Y26" s="22" t="s">
        <v>1274</v>
      </c>
      <c r="Z26" s="22" t="s">
        <v>1275</v>
      </c>
      <c r="AA26" s="96" t="s">
        <v>1276</v>
      </c>
      <c r="AB26" s="44" t="s">
        <v>381</v>
      </c>
      <c r="AC26" s="125" t="s">
        <v>1277</v>
      </c>
      <c r="AD26" s="46" t="s">
        <v>1278</v>
      </c>
      <c r="AE26" s="91" t="s">
        <v>680</v>
      </c>
    </row>
    <row r="27" ht="91.5" customHeight="1">
      <c r="A27" s="11">
        <v>26.0</v>
      </c>
      <c r="B27" s="9" t="s">
        <v>806</v>
      </c>
      <c r="C27" s="12" t="s">
        <v>86</v>
      </c>
      <c r="D27" s="124" t="s">
        <v>493</v>
      </c>
      <c r="E27" s="12" t="s">
        <v>1249</v>
      </c>
      <c r="F27" s="12" t="s">
        <v>807</v>
      </c>
      <c r="G27" s="12" t="s">
        <v>1279</v>
      </c>
      <c r="H27" s="12" t="s">
        <v>1251</v>
      </c>
      <c r="I27" s="12" t="s">
        <v>1210</v>
      </c>
      <c r="J27" s="9" t="s">
        <v>105</v>
      </c>
      <c r="K27" s="12" t="s">
        <v>1280</v>
      </c>
      <c r="L27" s="16" t="s">
        <v>107</v>
      </c>
      <c r="M27" s="11">
        <v>3.0</v>
      </c>
      <c r="N27" s="12" t="s">
        <v>321</v>
      </c>
      <c r="O27" s="9" t="s">
        <v>1281</v>
      </c>
      <c r="P27" s="62" t="s">
        <v>402</v>
      </c>
      <c r="Q27" s="9" t="s">
        <v>1222</v>
      </c>
      <c r="R27" s="12" t="s">
        <v>1223</v>
      </c>
      <c r="S27" s="9" t="s">
        <v>164</v>
      </c>
      <c r="T27" s="30">
        <v>1.0</v>
      </c>
      <c r="U27" s="31"/>
      <c r="V27" s="31"/>
      <c r="W27" s="31"/>
      <c r="X27" s="32">
        <f>IF(T27="","",SUMPRODUCT(('02_점수산정참고표'!$A$2:$A$314=$B27)*('02_점수산정참고표'!$C$2:$C$314=T27)*'02_점수산정참고표'!$E$2:$E$314))</f>
        <v>0</v>
      </c>
      <c r="Y27" s="12" t="s">
        <v>1282</v>
      </c>
      <c r="Z27" s="12" t="s">
        <v>1283</v>
      </c>
      <c r="AA27" s="96" t="s">
        <v>1284</v>
      </c>
      <c r="AB27" s="44" t="s">
        <v>381</v>
      </c>
      <c r="AC27" s="52" t="s">
        <v>1285</v>
      </c>
      <c r="AD27" s="46" t="s">
        <v>1286</v>
      </c>
      <c r="AE27" s="91" t="s">
        <v>393</v>
      </c>
    </row>
    <row r="28" ht="91.5" customHeight="1">
      <c r="A28" s="11">
        <v>27.0</v>
      </c>
      <c r="B28" s="14" t="s">
        <v>78</v>
      </c>
      <c r="C28" s="22" t="s">
        <v>86</v>
      </c>
      <c r="D28" s="124" t="s">
        <v>493</v>
      </c>
      <c r="E28" s="22" t="s">
        <v>1287</v>
      </c>
      <c r="F28" s="22" t="s">
        <v>816</v>
      </c>
      <c r="G28" s="22" t="s">
        <v>1288</v>
      </c>
      <c r="H28" s="22" t="s">
        <v>1289</v>
      </c>
      <c r="I28" s="22" t="s">
        <v>104</v>
      </c>
      <c r="J28" s="14" t="s">
        <v>105</v>
      </c>
      <c r="K28" s="14" t="s">
        <v>105</v>
      </c>
      <c r="L28" s="26" t="s">
        <v>107</v>
      </c>
      <c r="M28" s="15">
        <v>5.0</v>
      </c>
      <c r="N28" s="22" t="s">
        <v>109</v>
      </c>
      <c r="O28" s="14" t="s">
        <v>1290</v>
      </c>
      <c r="P28" s="62" t="s">
        <v>402</v>
      </c>
      <c r="Q28" s="14" t="s">
        <v>1291</v>
      </c>
      <c r="R28" s="22" t="s">
        <v>1223</v>
      </c>
      <c r="S28" s="14" t="s">
        <v>164</v>
      </c>
      <c r="T28" s="30">
        <v>4.0</v>
      </c>
      <c r="U28" s="31"/>
      <c r="V28" s="31"/>
      <c r="W28" s="31"/>
      <c r="X28" s="39">
        <f>IF(T28="","",SUMPRODUCT(('02_점수산정참고표'!$A$2:$A$314=$B28)*('02_점수산정참고표'!$C$2:$C$314=T28)*'02_점수산정참고표'!$E$2:$E$314))</f>
        <v>75</v>
      </c>
      <c r="Y28" s="22" t="s">
        <v>1292</v>
      </c>
      <c r="Z28" s="22" t="s">
        <v>1293</v>
      </c>
      <c r="AA28" s="96" t="s">
        <v>1294</v>
      </c>
      <c r="AB28" s="44" t="s">
        <v>381</v>
      </c>
      <c r="AC28" s="125" t="s">
        <v>1295</v>
      </c>
      <c r="AD28" s="46" t="s">
        <v>1296</v>
      </c>
      <c r="AE28" s="91" t="s">
        <v>294</v>
      </c>
    </row>
    <row r="29" ht="91.5" customHeight="1">
      <c r="A29" s="11">
        <v>28.0</v>
      </c>
      <c r="B29" s="9" t="s">
        <v>175</v>
      </c>
      <c r="C29" s="12" t="s">
        <v>86</v>
      </c>
      <c r="D29" s="124" t="s">
        <v>493</v>
      </c>
      <c r="E29" s="12" t="s">
        <v>1287</v>
      </c>
      <c r="F29" s="12" t="s">
        <v>173</v>
      </c>
      <c r="G29" s="12" t="s">
        <v>1297</v>
      </c>
      <c r="H29" s="12" t="s">
        <v>1298</v>
      </c>
      <c r="I29" s="12" t="s">
        <v>104</v>
      </c>
      <c r="J29" s="9" t="s">
        <v>105</v>
      </c>
      <c r="K29" s="9" t="s">
        <v>105</v>
      </c>
      <c r="L29" s="16" t="s">
        <v>570</v>
      </c>
      <c r="M29" s="11">
        <v>5.0</v>
      </c>
      <c r="N29" s="12" t="s">
        <v>579</v>
      </c>
      <c r="O29" s="12" t="s">
        <v>1299</v>
      </c>
      <c r="P29" s="62" t="s">
        <v>402</v>
      </c>
      <c r="Q29" s="9" t="s">
        <v>1222</v>
      </c>
      <c r="R29" s="12" t="s">
        <v>1223</v>
      </c>
      <c r="S29" s="9" t="s">
        <v>164</v>
      </c>
      <c r="T29" s="30">
        <v>2.0</v>
      </c>
      <c r="U29" s="31"/>
      <c r="V29" s="31"/>
      <c r="W29" s="31"/>
      <c r="X29" s="32">
        <f>IF(T29="","",SUMPRODUCT(('02_점수산정참고표'!$A$2:$A$314=$B29)*('02_점수산정참고표'!$C$2:$C$314=T29)*'02_점수산정참고표'!$E$2:$E$314))</f>
        <v>25</v>
      </c>
      <c r="Y29" s="12" t="s">
        <v>1300</v>
      </c>
      <c r="Z29" s="12" t="s">
        <v>1301</v>
      </c>
      <c r="AA29" s="96" t="s">
        <v>1302</v>
      </c>
      <c r="AB29" s="44" t="s">
        <v>381</v>
      </c>
      <c r="AC29" s="52" t="s">
        <v>1303</v>
      </c>
      <c r="AD29" s="46" t="s">
        <v>1304</v>
      </c>
      <c r="AE29" s="91" t="s">
        <v>680</v>
      </c>
    </row>
    <row r="30" ht="91.5" customHeight="1">
      <c r="A30" s="11">
        <v>29.0</v>
      </c>
      <c r="B30" s="14" t="s">
        <v>168</v>
      </c>
      <c r="C30" s="22" t="s">
        <v>86</v>
      </c>
      <c r="D30" s="124" t="s">
        <v>493</v>
      </c>
      <c r="E30" s="22" t="s">
        <v>1287</v>
      </c>
      <c r="F30" s="22" t="s">
        <v>1305</v>
      </c>
      <c r="G30" s="22" t="s">
        <v>1306</v>
      </c>
      <c r="H30" s="22" t="s">
        <v>1307</v>
      </c>
      <c r="I30" s="22" t="s">
        <v>104</v>
      </c>
      <c r="J30" s="14" t="s">
        <v>105</v>
      </c>
      <c r="K30" s="14" t="s">
        <v>105</v>
      </c>
      <c r="L30" s="26" t="s">
        <v>1182</v>
      </c>
      <c r="M30" s="15"/>
      <c r="N30" s="22" t="s">
        <v>1308</v>
      </c>
      <c r="O30" s="22" t="s">
        <v>1309</v>
      </c>
      <c r="P30" s="62" t="s">
        <v>402</v>
      </c>
      <c r="Q30" s="14" t="s">
        <v>1222</v>
      </c>
      <c r="R30" s="22" t="s">
        <v>1223</v>
      </c>
      <c r="S30" s="14" t="s">
        <v>164</v>
      </c>
      <c r="T30" s="105" t="s">
        <v>1187</v>
      </c>
      <c r="U30" s="31"/>
      <c r="V30" s="31"/>
      <c r="W30" s="31"/>
      <c r="X30" s="127">
        <v>40.0</v>
      </c>
      <c r="Y30" s="22" t="s">
        <v>1310</v>
      </c>
      <c r="Z30" s="22" t="s">
        <v>1311</v>
      </c>
      <c r="AA30" s="96" t="s">
        <v>1312</v>
      </c>
      <c r="AB30" s="44" t="s">
        <v>381</v>
      </c>
      <c r="AC30" s="125" t="s">
        <v>1313</v>
      </c>
      <c r="AD30" s="46" t="s">
        <v>1314</v>
      </c>
      <c r="AE30" s="91" t="s">
        <v>1315</v>
      </c>
    </row>
    <row r="31" ht="161.25" customHeight="1">
      <c r="A31" s="11">
        <v>30.0</v>
      </c>
      <c r="B31" s="9" t="s">
        <v>182</v>
      </c>
      <c r="C31" s="12" t="s">
        <v>86</v>
      </c>
      <c r="D31" s="124" t="s">
        <v>493</v>
      </c>
      <c r="E31" s="12" t="s">
        <v>1287</v>
      </c>
      <c r="F31" s="12" t="s">
        <v>847</v>
      </c>
      <c r="G31" s="12" t="s">
        <v>1316</v>
      </c>
      <c r="H31" s="12" t="s">
        <v>1317</v>
      </c>
      <c r="I31" s="12" t="s">
        <v>104</v>
      </c>
      <c r="J31" s="9" t="s">
        <v>105</v>
      </c>
      <c r="K31" s="9" t="s">
        <v>105</v>
      </c>
      <c r="L31" s="16" t="s">
        <v>107</v>
      </c>
      <c r="M31" s="11">
        <v>3.0</v>
      </c>
      <c r="N31" s="12" t="s">
        <v>321</v>
      </c>
      <c r="O31" s="9" t="s">
        <v>1318</v>
      </c>
      <c r="P31" s="62" t="s">
        <v>402</v>
      </c>
      <c r="Q31" s="9" t="s">
        <v>1222</v>
      </c>
      <c r="R31" s="12" t="s">
        <v>1319</v>
      </c>
      <c r="S31" s="9" t="s">
        <v>164</v>
      </c>
      <c r="T31" s="38">
        <v>3.0</v>
      </c>
      <c r="U31" s="31"/>
      <c r="V31" s="31"/>
      <c r="W31" s="31"/>
      <c r="X31" s="32">
        <f>IF(T31="","",SUMPRODUCT(('02_점수산정참고표'!$A$2:$A$314=$B31)*('02_점수산정참고표'!$C$2:$C$314=T31)*'02_점수산정참고표'!$E$2:$E$314))</f>
        <v>100</v>
      </c>
      <c r="Y31" s="12" t="s">
        <v>1320</v>
      </c>
      <c r="Z31" s="12" t="s">
        <v>1321</v>
      </c>
      <c r="AA31" s="96" t="s">
        <v>1322</v>
      </c>
      <c r="AB31" s="126" t="s">
        <v>1259</v>
      </c>
      <c r="AC31" s="52" t="s">
        <v>1323</v>
      </c>
      <c r="AD31" s="46" t="s">
        <v>1324</v>
      </c>
      <c r="AE31" s="91" t="s">
        <v>393</v>
      </c>
    </row>
    <row r="32" ht="172.5" customHeight="1">
      <c r="A32" s="11">
        <v>31.0</v>
      </c>
      <c r="B32" s="14" t="s">
        <v>201</v>
      </c>
      <c r="C32" s="22" t="s">
        <v>86</v>
      </c>
      <c r="D32" s="124" t="s">
        <v>493</v>
      </c>
      <c r="E32" s="22" t="s">
        <v>1325</v>
      </c>
      <c r="F32" s="22" t="s">
        <v>861</v>
      </c>
      <c r="G32" s="22" t="s">
        <v>1326</v>
      </c>
      <c r="H32" s="22" t="s">
        <v>1327</v>
      </c>
      <c r="I32" s="22" t="s">
        <v>104</v>
      </c>
      <c r="J32" s="14" t="s">
        <v>105</v>
      </c>
      <c r="K32" s="14" t="s">
        <v>105</v>
      </c>
      <c r="L32" s="26" t="s">
        <v>570</v>
      </c>
      <c r="M32" s="15">
        <v>5.0</v>
      </c>
      <c r="N32" s="12" t="s">
        <v>579</v>
      </c>
      <c r="O32" s="22" t="s">
        <v>1328</v>
      </c>
      <c r="P32" s="27" t="s">
        <v>113</v>
      </c>
      <c r="Q32" s="14" t="s">
        <v>1329</v>
      </c>
      <c r="R32" s="14" t="s">
        <v>1330</v>
      </c>
      <c r="S32" s="14" t="s">
        <v>164</v>
      </c>
      <c r="T32" s="38">
        <v>1.0</v>
      </c>
      <c r="U32" s="31"/>
      <c r="V32" s="31"/>
      <c r="W32" s="31"/>
      <c r="X32" s="39">
        <f>IF(T32="","",SUMPRODUCT(('02_점수산정참고표'!$A$2:$A$314=$B32)*('02_점수산정참고표'!$C$2:$C$314=T32)*'02_점수산정참고표'!$E$2:$E$314))</f>
        <v>0</v>
      </c>
      <c r="Y32" s="22" t="s">
        <v>1331</v>
      </c>
      <c r="Z32" s="22" t="s">
        <v>1332</v>
      </c>
      <c r="AA32" s="96" t="s">
        <v>1333</v>
      </c>
      <c r="AB32" s="44" t="s">
        <v>381</v>
      </c>
      <c r="AC32" s="125" t="s">
        <v>1334</v>
      </c>
      <c r="AD32" s="46" t="s">
        <v>1335</v>
      </c>
      <c r="AE32" s="91" t="s">
        <v>680</v>
      </c>
    </row>
    <row r="33" ht="145.5" customHeight="1">
      <c r="A33" s="11">
        <v>32.0</v>
      </c>
      <c r="B33" s="9" t="s">
        <v>236</v>
      </c>
      <c r="C33" s="12" t="s">
        <v>86</v>
      </c>
      <c r="D33" s="124" t="s">
        <v>493</v>
      </c>
      <c r="E33" s="12" t="s">
        <v>1336</v>
      </c>
      <c r="F33" s="12" t="s">
        <v>880</v>
      </c>
      <c r="G33" s="12" t="s">
        <v>1337</v>
      </c>
      <c r="H33" s="12" t="s">
        <v>1338</v>
      </c>
      <c r="I33" s="12" t="s">
        <v>104</v>
      </c>
      <c r="J33" s="9" t="s">
        <v>105</v>
      </c>
      <c r="K33" s="9" t="s">
        <v>105</v>
      </c>
      <c r="L33" s="16" t="s">
        <v>107</v>
      </c>
      <c r="M33" s="11">
        <v>5.0</v>
      </c>
      <c r="N33" s="12" t="s">
        <v>109</v>
      </c>
      <c r="O33" s="9" t="s">
        <v>1339</v>
      </c>
      <c r="P33" s="27" t="s">
        <v>113</v>
      </c>
      <c r="Q33" s="9" t="s">
        <v>1340</v>
      </c>
      <c r="R33" s="12" t="s">
        <v>1341</v>
      </c>
      <c r="S33" s="9" t="s">
        <v>164</v>
      </c>
      <c r="T33" s="38">
        <v>4.0</v>
      </c>
      <c r="U33" s="31"/>
      <c r="V33" s="31"/>
      <c r="W33" s="31"/>
      <c r="X33" s="32">
        <f>IF(T33="","",SUMPRODUCT(('02_점수산정참고표'!$A$2:$A$314=$B33)*('02_점수산정참고표'!$C$2:$C$314=T33)*'02_점수산정참고표'!$E$2:$E$314))</f>
        <v>75</v>
      </c>
      <c r="Y33" s="12" t="s">
        <v>1342</v>
      </c>
      <c r="Z33" s="12" t="s">
        <v>1343</v>
      </c>
      <c r="AA33" s="128" t="s">
        <v>1344</v>
      </c>
      <c r="AB33" s="44" t="s">
        <v>381</v>
      </c>
      <c r="AC33" s="125" t="s">
        <v>1345</v>
      </c>
      <c r="AD33" s="46" t="s">
        <v>1346</v>
      </c>
      <c r="AE33" s="91" t="s">
        <v>294</v>
      </c>
    </row>
    <row r="34" ht="151.5" customHeight="1">
      <c r="A34" s="11">
        <v>33.0</v>
      </c>
      <c r="B34" s="14" t="s">
        <v>243</v>
      </c>
      <c r="C34" s="22" t="s">
        <v>86</v>
      </c>
      <c r="D34" s="124" t="s">
        <v>493</v>
      </c>
      <c r="E34" s="22" t="s">
        <v>1336</v>
      </c>
      <c r="F34" s="22" t="s">
        <v>891</v>
      </c>
      <c r="G34" s="22" t="s">
        <v>1347</v>
      </c>
      <c r="H34" s="22" t="s">
        <v>1348</v>
      </c>
      <c r="I34" s="22" t="s">
        <v>104</v>
      </c>
      <c r="J34" s="14" t="s">
        <v>105</v>
      </c>
      <c r="K34" s="14" t="s">
        <v>105</v>
      </c>
      <c r="L34" s="26" t="s">
        <v>107</v>
      </c>
      <c r="M34" s="15">
        <v>3.0</v>
      </c>
      <c r="N34" s="22" t="s">
        <v>321</v>
      </c>
      <c r="O34" s="14" t="s">
        <v>1349</v>
      </c>
      <c r="P34" s="27" t="s">
        <v>113</v>
      </c>
      <c r="Q34" s="14" t="s">
        <v>1350</v>
      </c>
      <c r="R34" s="14" t="s">
        <v>1351</v>
      </c>
      <c r="S34" s="14" t="s">
        <v>164</v>
      </c>
      <c r="T34" s="38">
        <v>3.0</v>
      </c>
      <c r="U34" s="31"/>
      <c r="V34" s="31"/>
      <c r="W34" s="31"/>
      <c r="X34" s="39">
        <f>IF(T34="","",SUMPRODUCT(('02_점수산정참고표'!$A$2:$A$314=$B34)*('02_점수산정참고표'!$C$2:$C$314=T34)*'02_점수산정참고표'!$E$2:$E$314))</f>
        <v>100</v>
      </c>
      <c r="Y34" s="22" t="s">
        <v>1352</v>
      </c>
      <c r="Z34" s="22" t="s">
        <v>1353</v>
      </c>
      <c r="AA34" s="128" t="s">
        <v>1354</v>
      </c>
      <c r="AB34" s="126" t="s">
        <v>1259</v>
      </c>
      <c r="AC34" s="129" t="s">
        <v>1355</v>
      </c>
      <c r="AD34" s="46" t="s">
        <v>1356</v>
      </c>
      <c r="AE34" s="91" t="s">
        <v>393</v>
      </c>
    </row>
    <row r="35" ht="171.75" customHeight="1">
      <c r="A35" s="11">
        <v>34.0</v>
      </c>
      <c r="B35" s="9" t="s">
        <v>1357</v>
      </c>
      <c r="C35" s="12" t="s">
        <v>86</v>
      </c>
      <c r="D35" s="124" t="s">
        <v>493</v>
      </c>
      <c r="E35" s="12" t="s">
        <v>1358</v>
      </c>
      <c r="F35" s="12" t="s">
        <v>1358</v>
      </c>
      <c r="G35" s="12" t="s">
        <v>1359</v>
      </c>
      <c r="H35" s="12" t="s">
        <v>1146</v>
      </c>
      <c r="I35" s="22" t="s">
        <v>312</v>
      </c>
      <c r="J35" s="9" t="s">
        <v>105</v>
      </c>
      <c r="K35" s="9" t="s">
        <v>1360</v>
      </c>
      <c r="L35" s="16" t="s">
        <v>1148</v>
      </c>
      <c r="M35" s="11">
        <v>3.0</v>
      </c>
      <c r="N35" s="12" t="s">
        <v>1149</v>
      </c>
      <c r="O35" s="12" t="s">
        <v>1361</v>
      </c>
      <c r="P35" s="27" t="s">
        <v>113</v>
      </c>
      <c r="Q35" s="9" t="s">
        <v>1329</v>
      </c>
      <c r="R35" s="9" t="s">
        <v>725</v>
      </c>
      <c r="S35" s="9" t="s">
        <v>164</v>
      </c>
      <c r="T35" s="105" t="s">
        <v>1153</v>
      </c>
      <c r="U35" s="38">
        <v>0.0</v>
      </c>
      <c r="V35" s="38">
        <v>1.0</v>
      </c>
      <c r="W35" s="38">
        <v>0.0</v>
      </c>
      <c r="X35" s="32">
        <f>MAX(0,100-(N(U35)*50+N(V35)*30+N(W35)*10))</f>
        <v>70</v>
      </c>
      <c r="Y35" s="12" t="s">
        <v>1362</v>
      </c>
      <c r="Z35" s="12" t="s">
        <v>1363</v>
      </c>
      <c r="AA35" s="128" t="s">
        <v>1364</v>
      </c>
      <c r="AB35" s="44" t="s">
        <v>381</v>
      </c>
      <c r="AC35" s="52" t="s">
        <v>1365</v>
      </c>
      <c r="AD35" s="46" t="s">
        <v>1366</v>
      </c>
      <c r="AE35" s="91" t="s">
        <v>1160</v>
      </c>
    </row>
    <row r="36" ht="159.75" customHeight="1">
      <c r="A36" s="11">
        <v>35.0</v>
      </c>
      <c r="B36" s="14" t="s">
        <v>194</v>
      </c>
      <c r="C36" s="22" t="s">
        <v>1154</v>
      </c>
      <c r="D36" s="124" t="s">
        <v>493</v>
      </c>
      <c r="E36" s="22" t="s">
        <v>1367</v>
      </c>
      <c r="F36" s="22" t="s">
        <v>1034</v>
      </c>
      <c r="G36" s="22" t="s">
        <v>1368</v>
      </c>
      <c r="H36" s="22" t="s">
        <v>1146</v>
      </c>
      <c r="I36" s="22" t="s">
        <v>1369</v>
      </c>
      <c r="J36" s="14" t="s">
        <v>105</v>
      </c>
      <c r="K36" s="14" t="s">
        <v>105</v>
      </c>
      <c r="L36" s="26" t="s">
        <v>570</v>
      </c>
      <c r="M36" s="15">
        <v>5.0</v>
      </c>
      <c r="N36" s="12" t="s">
        <v>579</v>
      </c>
      <c r="O36" s="22" t="s">
        <v>1370</v>
      </c>
      <c r="P36" s="27" t="s">
        <v>113</v>
      </c>
      <c r="Q36" s="14" t="s">
        <v>1371</v>
      </c>
      <c r="R36" s="14" t="s">
        <v>1372</v>
      </c>
      <c r="S36" s="14" t="s">
        <v>1373</v>
      </c>
      <c r="T36" s="38">
        <v>1.0</v>
      </c>
      <c r="U36" s="31"/>
      <c r="V36" s="31"/>
      <c r="W36" s="31"/>
      <c r="X36" s="39">
        <f>IF(T36="","",SUMPRODUCT(('02_점수산정참고표'!$A$2:$A$314=$B36)*('02_점수산정참고표'!$C$2:$C$314=T36)*'02_점수산정참고표'!$E$2:$E$314))</f>
        <v>0</v>
      </c>
      <c r="Y36" s="22" t="s">
        <v>1374</v>
      </c>
      <c r="Z36" s="22" t="s">
        <v>1375</v>
      </c>
      <c r="AA36" s="128" t="s">
        <v>1376</v>
      </c>
      <c r="AB36" s="44" t="s">
        <v>381</v>
      </c>
      <c r="AC36" s="125" t="s">
        <v>1377</v>
      </c>
      <c r="AD36" s="46" t="s">
        <v>1378</v>
      </c>
      <c r="AE36" s="91" t="s">
        <v>680</v>
      </c>
    </row>
    <row r="37" ht="216.75" customHeight="1">
      <c r="A37" s="57">
        <v>36.0</v>
      </c>
      <c r="B37" s="59" t="s">
        <v>1379</v>
      </c>
      <c r="C37" s="60" t="s">
        <v>1154</v>
      </c>
      <c r="D37" s="130" t="s">
        <v>493</v>
      </c>
      <c r="E37" s="60" t="s">
        <v>1325</v>
      </c>
      <c r="F37" s="60" t="s">
        <v>1380</v>
      </c>
      <c r="G37" s="60" t="s">
        <v>1381</v>
      </c>
      <c r="H37" s="60" t="s">
        <v>1382</v>
      </c>
      <c r="I37" s="60" t="s">
        <v>1383</v>
      </c>
      <c r="J37" s="60" t="s">
        <v>1384</v>
      </c>
      <c r="K37" s="59" t="s">
        <v>105</v>
      </c>
      <c r="L37" s="63" t="s">
        <v>1148</v>
      </c>
      <c r="M37" s="57">
        <v>3.0</v>
      </c>
      <c r="N37" s="60" t="s">
        <v>1385</v>
      </c>
      <c r="O37" s="60" t="s">
        <v>1386</v>
      </c>
      <c r="P37" s="131" t="s">
        <v>113</v>
      </c>
      <c r="Q37" s="59" t="s">
        <v>1329</v>
      </c>
      <c r="R37" s="59" t="s">
        <v>1387</v>
      </c>
      <c r="S37" s="59" t="s">
        <v>1373</v>
      </c>
      <c r="T37" s="109" t="s">
        <v>1153</v>
      </c>
      <c r="U37" s="132">
        <v>0.0</v>
      </c>
      <c r="V37" s="132">
        <v>0.0</v>
      </c>
      <c r="W37" s="133">
        <v>0.0</v>
      </c>
      <c r="X37" s="134">
        <f>MAX(0,100-(N(U37)*50+N(V37)*30+N(W37)*10))</f>
        <v>100</v>
      </c>
      <c r="Y37" s="67" t="s">
        <v>1388</v>
      </c>
      <c r="Z37" s="12" t="s">
        <v>1389</v>
      </c>
      <c r="AA37" s="128" t="s">
        <v>1390</v>
      </c>
      <c r="AB37" s="44" t="s">
        <v>381</v>
      </c>
      <c r="AC37" s="52" t="s">
        <v>1391</v>
      </c>
      <c r="AD37" s="112" t="s">
        <v>1392</v>
      </c>
      <c r="AE37" s="113" t="s">
        <v>1160</v>
      </c>
    </row>
    <row r="38" ht="63.0" customHeight="1">
      <c r="A38" s="73">
        <v>37.0</v>
      </c>
      <c r="B38" s="75" t="s">
        <v>1047</v>
      </c>
      <c r="C38" s="75" t="s">
        <v>1168</v>
      </c>
      <c r="D38" s="76" t="s">
        <v>459</v>
      </c>
      <c r="E38" s="75" t="s">
        <v>1393</v>
      </c>
      <c r="F38" s="75" t="s">
        <v>1048</v>
      </c>
      <c r="G38" s="75" t="s">
        <v>1394</v>
      </c>
      <c r="H38" s="74" t="s">
        <v>1395</v>
      </c>
      <c r="I38" s="75" t="s">
        <v>312</v>
      </c>
      <c r="J38" s="75" t="s">
        <v>853</v>
      </c>
      <c r="K38" s="74" t="s">
        <v>1396</v>
      </c>
      <c r="L38" s="77" t="s">
        <v>107</v>
      </c>
      <c r="M38" s="78">
        <v>3.0</v>
      </c>
      <c r="N38" s="75" t="s">
        <v>321</v>
      </c>
      <c r="O38" s="74" t="s">
        <v>1397</v>
      </c>
      <c r="P38" s="135" t="s">
        <v>402</v>
      </c>
      <c r="Q38" s="74" t="s">
        <v>1398</v>
      </c>
      <c r="R38" s="74" t="s">
        <v>1399</v>
      </c>
      <c r="S38" s="74" t="s">
        <v>1400</v>
      </c>
      <c r="T38" s="136"/>
      <c r="U38" s="82"/>
      <c r="V38" s="82"/>
      <c r="W38" s="82"/>
      <c r="X38" s="137" t="s">
        <v>1401</v>
      </c>
      <c r="Y38" s="74" t="s">
        <v>1402</v>
      </c>
      <c r="Z38" s="138"/>
      <c r="AA38" s="75"/>
      <c r="AB38" s="139"/>
      <c r="AC38" s="138"/>
      <c r="AD38" s="87" t="s">
        <v>1403</v>
      </c>
      <c r="AE38" s="88" t="s">
        <v>393</v>
      </c>
    </row>
    <row r="39" ht="63.0" customHeight="1">
      <c r="A39" s="11">
        <v>38.0</v>
      </c>
      <c r="B39" s="12" t="s">
        <v>1057</v>
      </c>
      <c r="C39" s="12" t="s">
        <v>1168</v>
      </c>
      <c r="D39" s="89" t="s">
        <v>459</v>
      </c>
      <c r="E39" s="12" t="s">
        <v>1095</v>
      </c>
      <c r="F39" s="12" t="s">
        <v>1058</v>
      </c>
      <c r="G39" s="12" t="s">
        <v>1404</v>
      </c>
      <c r="H39" s="9" t="s">
        <v>1395</v>
      </c>
      <c r="I39" s="22" t="s">
        <v>312</v>
      </c>
      <c r="J39" s="12" t="s">
        <v>853</v>
      </c>
      <c r="K39" s="12" t="s">
        <v>1405</v>
      </c>
      <c r="L39" s="16" t="s">
        <v>107</v>
      </c>
      <c r="M39" s="11">
        <v>3.0</v>
      </c>
      <c r="N39" s="12" t="s">
        <v>321</v>
      </c>
      <c r="O39" s="9" t="s">
        <v>1406</v>
      </c>
      <c r="P39" s="62" t="s">
        <v>402</v>
      </c>
      <c r="Q39" s="9" t="s">
        <v>1407</v>
      </c>
      <c r="R39" s="9" t="s">
        <v>1408</v>
      </c>
      <c r="S39" s="9" t="s">
        <v>1400</v>
      </c>
      <c r="T39" s="38"/>
      <c r="U39" s="31"/>
      <c r="V39" s="31"/>
      <c r="W39" s="31"/>
      <c r="X39" s="32" t="s">
        <v>1401</v>
      </c>
      <c r="Y39" s="12" t="s">
        <v>1409</v>
      </c>
      <c r="Z39" s="140"/>
      <c r="AA39" s="12"/>
      <c r="AB39" s="141"/>
      <c r="AC39" s="140"/>
      <c r="AD39" s="46" t="s">
        <v>1410</v>
      </c>
      <c r="AE39" s="91" t="s">
        <v>393</v>
      </c>
    </row>
    <row r="40" ht="63.0" customHeight="1">
      <c r="A40" s="11">
        <v>39.0</v>
      </c>
      <c r="B40" s="22" t="s">
        <v>1064</v>
      </c>
      <c r="C40" s="22" t="s">
        <v>1168</v>
      </c>
      <c r="D40" s="89" t="s">
        <v>459</v>
      </c>
      <c r="E40" s="22" t="s">
        <v>1095</v>
      </c>
      <c r="F40" s="22" t="s">
        <v>1065</v>
      </c>
      <c r="G40" s="22" t="s">
        <v>1411</v>
      </c>
      <c r="H40" s="14" t="s">
        <v>1395</v>
      </c>
      <c r="I40" s="22" t="s">
        <v>312</v>
      </c>
      <c r="J40" s="22" t="s">
        <v>853</v>
      </c>
      <c r="K40" s="22" t="s">
        <v>1412</v>
      </c>
      <c r="L40" s="26" t="s">
        <v>107</v>
      </c>
      <c r="M40" s="15">
        <v>3.0</v>
      </c>
      <c r="N40" s="22" t="s">
        <v>321</v>
      </c>
      <c r="O40" s="14" t="s">
        <v>1413</v>
      </c>
      <c r="P40" s="62" t="s">
        <v>402</v>
      </c>
      <c r="Q40" s="14" t="s">
        <v>1407</v>
      </c>
      <c r="R40" s="14" t="s">
        <v>1414</v>
      </c>
      <c r="S40" s="14" t="s">
        <v>1400</v>
      </c>
      <c r="T40" s="38"/>
      <c r="U40" s="31"/>
      <c r="V40" s="31"/>
      <c r="W40" s="31"/>
      <c r="X40" s="32" t="s">
        <v>1401</v>
      </c>
      <c r="Y40" s="22" t="s">
        <v>1415</v>
      </c>
      <c r="Z40" s="142"/>
      <c r="AA40" s="22"/>
      <c r="AB40" s="143"/>
      <c r="AC40" s="142"/>
      <c r="AD40" s="46" t="s">
        <v>1416</v>
      </c>
      <c r="AE40" s="91" t="s">
        <v>393</v>
      </c>
    </row>
    <row r="41" ht="63.0" customHeight="1">
      <c r="A41" s="11">
        <v>40.0</v>
      </c>
      <c r="B41" s="12" t="s">
        <v>1070</v>
      </c>
      <c r="C41" s="12" t="s">
        <v>1168</v>
      </c>
      <c r="D41" s="89" t="s">
        <v>459</v>
      </c>
      <c r="E41" s="12" t="s">
        <v>1118</v>
      </c>
      <c r="F41" s="12" t="s">
        <v>1071</v>
      </c>
      <c r="G41" s="12" t="s">
        <v>1417</v>
      </c>
      <c r="H41" s="9" t="s">
        <v>1418</v>
      </c>
      <c r="I41" s="22" t="s">
        <v>312</v>
      </c>
      <c r="J41" s="12" t="s">
        <v>853</v>
      </c>
      <c r="K41" s="12" t="s">
        <v>1419</v>
      </c>
      <c r="L41" s="16" t="s">
        <v>107</v>
      </c>
      <c r="M41" s="11">
        <v>3.0</v>
      </c>
      <c r="N41" s="12" t="s">
        <v>321</v>
      </c>
      <c r="O41" s="9" t="s">
        <v>1420</v>
      </c>
      <c r="P41" s="62" t="s">
        <v>402</v>
      </c>
      <c r="Q41" s="9" t="s">
        <v>1421</v>
      </c>
      <c r="R41" s="9" t="s">
        <v>1399</v>
      </c>
      <c r="S41" s="9" t="s">
        <v>1400</v>
      </c>
      <c r="T41" s="38"/>
      <c r="U41" s="31"/>
      <c r="V41" s="31"/>
      <c r="W41" s="31"/>
      <c r="X41" s="32" t="s">
        <v>1401</v>
      </c>
      <c r="Y41" s="9" t="s">
        <v>1422</v>
      </c>
      <c r="Z41" s="140"/>
      <c r="AA41" s="12"/>
      <c r="AB41" s="141"/>
      <c r="AC41" s="140"/>
      <c r="AD41" s="46" t="s">
        <v>1423</v>
      </c>
      <c r="AE41" s="91" t="s">
        <v>393</v>
      </c>
    </row>
    <row r="42" ht="63.0" customHeight="1">
      <c r="A42" s="11">
        <v>41.0</v>
      </c>
      <c r="B42" s="22" t="s">
        <v>1077</v>
      </c>
      <c r="C42" s="22" t="s">
        <v>1168</v>
      </c>
      <c r="D42" s="89" t="s">
        <v>459</v>
      </c>
      <c r="E42" s="22" t="s">
        <v>1118</v>
      </c>
      <c r="F42" s="22" t="s">
        <v>1078</v>
      </c>
      <c r="G42" s="22" t="s">
        <v>1424</v>
      </c>
      <c r="H42" s="14" t="s">
        <v>1425</v>
      </c>
      <c r="I42" s="22" t="s">
        <v>312</v>
      </c>
      <c r="J42" s="22" t="s">
        <v>853</v>
      </c>
      <c r="K42" s="22" t="s">
        <v>1426</v>
      </c>
      <c r="L42" s="26" t="s">
        <v>107</v>
      </c>
      <c r="M42" s="15">
        <v>3.0</v>
      </c>
      <c r="N42" s="22" t="s">
        <v>321</v>
      </c>
      <c r="O42" s="14" t="s">
        <v>1427</v>
      </c>
      <c r="P42" s="62" t="s">
        <v>402</v>
      </c>
      <c r="Q42" s="14" t="s">
        <v>1407</v>
      </c>
      <c r="R42" s="14" t="s">
        <v>1399</v>
      </c>
      <c r="S42" s="14" t="s">
        <v>1400</v>
      </c>
      <c r="T42" s="38"/>
      <c r="U42" s="31"/>
      <c r="V42" s="31"/>
      <c r="W42" s="31"/>
      <c r="X42" s="32" t="s">
        <v>1401</v>
      </c>
      <c r="Y42" s="22" t="s">
        <v>1428</v>
      </c>
      <c r="Z42" s="142"/>
      <c r="AA42" s="22"/>
      <c r="AB42" s="143"/>
      <c r="AC42" s="142"/>
      <c r="AD42" s="46" t="s">
        <v>1429</v>
      </c>
      <c r="AE42" s="91" t="s">
        <v>393</v>
      </c>
    </row>
    <row r="43" ht="63.0" customHeight="1">
      <c r="A43" s="11">
        <v>42.0</v>
      </c>
      <c r="B43" s="12" t="s">
        <v>1430</v>
      </c>
      <c r="C43" s="12" t="s">
        <v>1168</v>
      </c>
      <c r="D43" s="124" t="s">
        <v>493</v>
      </c>
      <c r="E43" s="12" t="s">
        <v>1325</v>
      </c>
      <c r="F43" s="12" t="s">
        <v>1431</v>
      </c>
      <c r="G43" s="12" t="s">
        <v>1432</v>
      </c>
      <c r="H43" s="9" t="s">
        <v>1433</v>
      </c>
      <c r="I43" s="22" t="s">
        <v>312</v>
      </c>
      <c r="J43" s="12" t="s">
        <v>853</v>
      </c>
      <c r="K43" s="9" t="s">
        <v>1434</v>
      </c>
      <c r="L43" s="16" t="s">
        <v>1148</v>
      </c>
      <c r="M43" s="11">
        <v>3.0</v>
      </c>
      <c r="N43" s="12" t="s">
        <v>1435</v>
      </c>
      <c r="O43" s="12" t="s">
        <v>1436</v>
      </c>
      <c r="P43" s="62" t="s">
        <v>402</v>
      </c>
      <c r="Q43" s="9" t="s">
        <v>1437</v>
      </c>
      <c r="R43" s="9" t="s">
        <v>1438</v>
      </c>
      <c r="S43" s="9" t="s">
        <v>1400</v>
      </c>
      <c r="T43" s="105" t="s">
        <v>1153</v>
      </c>
      <c r="U43" s="38">
        <v>0.0</v>
      </c>
      <c r="V43" s="38">
        <v>0.0</v>
      </c>
      <c r="W43" s="38">
        <v>0.0</v>
      </c>
      <c r="X43" s="32" t="s">
        <v>1401</v>
      </c>
      <c r="Y43" s="12" t="s">
        <v>1439</v>
      </c>
      <c r="Z43" s="140"/>
      <c r="AA43" s="12"/>
      <c r="AB43" s="141"/>
      <c r="AC43" s="140"/>
      <c r="AD43" s="46" t="s">
        <v>1440</v>
      </c>
      <c r="AE43" s="91" t="s">
        <v>1160</v>
      </c>
    </row>
    <row r="44" ht="14.25" customHeight="1">
      <c r="AA44" s="144"/>
      <c r="AB44" s="145"/>
    </row>
    <row r="45" ht="14.25" customHeight="1">
      <c r="AA45" s="144"/>
      <c r="AB45" s="145"/>
    </row>
    <row r="46" ht="14.25" customHeight="1">
      <c r="AA46" s="144"/>
      <c r="AB46" s="145"/>
    </row>
    <row r="47" ht="14.25" customHeight="1">
      <c r="AA47" s="144"/>
      <c r="AB47" s="145"/>
    </row>
    <row r="48" ht="14.25" customHeight="1">
      <c r="AA48" s="144"/>
      <c r="AB48" s="145"/>
    </row>
    <row r="49" ht="14.25" customHeight="1">
      <c r="AA49" s="144"/>
      <c r="AB49" s="145"/>
    </row>
    <row r="50" ht="14.25" customHeight="1">
      <c r="AA50" s="144"/>
      <c r="AB50" s="145"/>
    </row>
    <row r="51" ht="14.25" customHeight="1">
      <c r="AA51" s="144"/>
      <c r="AB51" s="145"/>
    </row>
    <row r="52" ht="14.25" customHeight="1">
      <c r="AA52" s="144"/>
      <c r="AB52" s="145"/>
    </row>
    <row r="53" ht="14.25" customHeight="1">
      <c r="AA53" s="144"/>
      <c r="AB53" s="145"/>
    </row>
    <row r="54" ht="14.25" customHeight="1">
      <c r="AA54" s="144"/>
      <c r="AB54" s="145"/>
    </row>
    <row r="55" ht="14.25" customHeight="1">
      <c r="AA55" s="144"/>
      <c r="AB55" s="145"/>
    </row>
    <row r="56" ht="14.25" customHeight="1">
      <c r="AA56" s="144"/>
      <c r="AB56" s="145"/>
    </row>
    <row r="57" ht="14.25" customHeight="1">
      <c r="AA57" s="144"/>
      <c r="AB57" s="145"/>
    </row>
    <row r="58" ht="14.25" customHeight="1">
      <c r="AA58" s="144"/>
      <c r="AB58" s="145"/>
    </row>
    <row r="59" ht="14.25" customHeight="1">
      <c r="AA59" s="144"/>
      <c r="AB59" s="145"/>
    </row>
    <row r="60" ht="14.25" customHeight="1">
      <c r="AA60" s="144"/>
      <c r="AB60" s="145"/>
    </row>
    <row r="61" ht="14.25" customHeight="1">
      <c r="AA61" s="144"/>
      <c r="AB61" s="145"/>
    </row>
    <row r="62" ht="14.25" customHeight="1">
      <c r="AA62" s="144"/>
      <c r="AB62" s="145"/>
    </row>
    <row r="63" ht="14.25" customHeight="1">
      <c r="AA63" s="144"/>
      <c r="AB63" s="145"/>
    </row>
    <row r="64" ht="14.25" customHeight="1">
      <c r="AA64" s="144"/>
      <c r="AB64" s="145"/>
    </row>
    <row r="65" ht="14.25" customHeight="1">
      <c r="AA65" s="144"/>
      <c r="AB65" s="145"/>
    </row>
    <row r="66" ht="14.25" customHeight="1">
      <c r="AA66" s="144"/>
      <c r="AB66" s="145"/>
    </row>
    <row r="67" ht="14.25" customHeight="1">
      <c r="AA67" s="144"/>
      <c r="AB67" s="145"/>
    </row>
    <row r="68" ht="14.25" customHeight="1">
      <c r="AA68" s="144"/>
      <c r="AB68" s="145"/>
    </row>
    <row r="69" ht="14.25" customHeight="1">
      <c r="AA69" s="144"/>
      <c r="AB69" s="145"/>
    </row>
    <row r="70" ht="14.25" customHeight="1">
      <c r="AA70" s="144"/>
      <c r="AB70" s="145"/>
    </row>
    <row r="71" ht="14.25" customHeight="1">
      <c r="AA71" s="144"/>
      <c r="AB71" s="145"/>
    </row>
    <row r="72" ht="14.25" customHeight="1">
      <c r="AA72" s="144"/>
      <c r="AB72" s="145"/>
    </row>
    <row r="73" ht="14.25" customHeight="1">
      <c r="AA73" s="144"/>
      <c r="AB73" s="145"/>
    </row>
    <row r="74" ht="14.25" customHeight="1">
      <c r="AA74" s="144"/>
      <c r="AB74" s="145"/>
    </row>
    <row r="75" ht="14.25" customHeight="1">
      <c r="AA75" s="144"/>
      <c r="AB75" s="145"/>
    </row>
    <row r="76" ht="14.25" customHeight="1">
      <c r="AA76" s="144"/>
      <c r="AB76" s="145"/>
    </row>
    <row r="77" ht="14.25" customHeight="1">
      <c r="AA77" s="144"/>
      <c r="AB77" s="145"/>
    </row>
    <row r="78" ht="14.25" customHeight="1">
      <c r="AA78" s="144"/>
      <c r="AB78" s="145"/>
    </row>
    <row r="79" ht="14.25" customHeight="1">
      <c r="AA79" s="144"/>
      <c r="AB79" s="145"/>
    </row>
    <row r="80" ht="14.25" customHeight="1">
      <c r="AA80" s="144"/>
      <c r="AB80" s="145"/>
    </row>
    <row r="81" ht="14.25" customHeight="1">
      <c r="AA81" s="144"/>
      <c r="AB81" s="145"/>
    </row>
    <row r="82" ht="14.25" customHeight="1">
      <c r="AA82" s="144"/>
      <c r="AB82" s="145"/>
    </row>
    <row r="83" ht="14.25" customHeight="1">
      <c r="AA83" s="144"/>
      <c r="AB83" s="145"/>
    </row>
    <row r="84" ht="14.25" customHeight="1">
      <c r="AA84" s="144"/>
      <c r="AB84" s="145"/>
    </row>
    <row r="85" ht="14.25" customHeight="1">
      <c r="AA85" s="144"/>
      <c r="AB85" s="145"/>
    </row>
    <row r="86" ht="14.25" customHeight="1">
      <c r="AA86" s="144"/>
      <c r="AB86" s="145"/>
    </row>
    <row r="87" ht="14.25" customHeight="1">
      <c r="AA87" s="144"/>
      <c r="AB87" s="145"/>
    </row>
    <row r="88" ht="14.25" customHeight="1">
      <c r="AA88" s="144"/>
      <c r="AB88" s="145"/>
    </row>
    <row r="89" ht="14.25" customHeight="1">
      <c r="AA89" s="144"/>
      <c r="AB89" s="145"/>
    </row>
    <row r="90" ht="14.25" customHeight="1">
      <c r="AA90" s="144"/>
      <c r="AB90" s="145"/>
    </row>
    <row r="91" ht="14.25" customHeight="1">
      <c r="AA91" s="144"/>
      <c r="AB91" s="145"/>
    </row>
    <row r="92" ht="14.25" customHeight="1">
      <c r="AA92" s="144"/>
      <c r="AB92" s="145"/>
    </row>
    <row r="93" ht="14.25" customHeight="1">
      <c r="AA93" s="144"/>
      <c r="AB93" s="145"/>
    </row>
    <row r="94" ht="14.25" customHeight="1">
      <c r="AA94" s="144"/>
      <c r="AB94" s="145"/>
    </row>
    <row r="95" ht="14.25" customHeight="1">
      <c r="AA95" s="144"/>
      <c r="AB95" s="145"/>
    </row>
    <row r="96" ht="14.25" customHeight="1">
      <c r="AA96" s="144"/>
      <c r="AB96" s="145"/>
    </row>
    <row r="97" ht="14.25" customHeight="1">
      <c r="AA97" s="144"/>
      <c r="AB97" s="145"/>
    </row>
    <row r="98" ht="14.25" customHeight="1">
      <c r="AA98" s="144"/>
      <c r="AB98" s="145"/>
    </row>
    <row r="99" ht="14.25" customHeight="1">
      <c r="AA99" s="144"/>
      <c r="AB99" s="145"/>
    </row>
    <row r="100" ht="14.25" customHeight="1">
      <c r="AA100" s="144"/>
      <c r="AB100" s="145"/>
    </row>
    <row r="101" ht="14.25" customHeight="1">
      <c r="AA101" s="144"/>
      <c r="AB101" s="145"/>
    </row>
    <row r="102" ht="14.25" customHeight="1">
      <c r="AA102" s="144"/>
      <c r="AB102" s="145"/>
    </row>
    <row r="103" ht="14.25" customHeight="1">
      <c r="AA103" s="144"/>
      <c r="AB103" s="145"/>
    </row>
    <row r="104" ht="14.25" customHeight="1">
      <c r="AA104" s="144"/>
      <c r="AB104" s="145"/>
    </row>
    <row r="105" ht="14.25" customHeight="1">
      <c r="AA105" s="144"/>
      <c r="AB105" s="145"/>
    </row>
    <row r="106" ht="14.25" customHeight="1">
      <c r="AA106" s="144"/>
      <c r="AB106" s="145"/>
    </row>
    <row r="107" ht="14.25" customHeight="1">
      <c r="AA107" s="144"/>
      <c r="AB107" s="145"/>
    </row>
    <row r="108" ht="14.25" customHeight="1">
      <c r="AA108" s="144"/>
      <c r="AB108" s="145"/>
    </row>
    <row r="109" ht="14.25" customHeight="1">
      <c r="AA109" s="144"/>
      <c r="AB109" s="145"/>
    </row>
    <row r="110" ht="14.25" customHeight="1">
      <c r="AA110" s="144"/>
      <c r="AB110" s="145"/>
    </row>
    <row r="111" ht="14.25" customHeight="1">
      <c r="AA111" s="144"/>
      <c r="AB111" s="145"/>
    </row>
    <row r="112" ht="14.25" customHeight="1">
      <c r="AA112" s="144"/>
      <c r="AB112" s="145"/>
    </row>
    <row r="113" ht="14.25" customHeight="1">
      <c r="AA113" s="144"/>
      <c r="AB113" s="145"/>
    </row>
    <row r="114" ht="14.25" customHeight="1">
      <c r="AA114" s="144"/>
      <c r="AB114" s="145"/>
    </row>
    <row r="115" ht="14.25" customHeight="1">
      <c r="AA115" s="144"/>
      <c r="AB115" s="145"/>
    </row>
    <row r="116" ht="14.25" customHeight="1">
      <c r="AA116" s="144"/>
      <c r="AB116" s="145"/>
    </row>
    <row r="117" ht="14.25" customHeight="1">
      <c r="AA117" s="144"/>
      <c r="AB117" s="145"/>
    </row>
    <row r="118" ht="14.25" customHeight="1">
      <c r="AA118" s="144"/>
      <c r="AB118" s="145"/>
    </row>
    <row r="119" ht="14.25" customHeight="1">
      <c r="AA119" s="144"/>
      <c r="AB119" s="145"/>
    </row>
    <row r="120" ht="14.25" customHeight="1">
      <c r="AA120" s="144"/>
      <c r="AB120" s="145"/>
    </row>
    <row r="121" ht="14.25" customHeight="1">
      <c r="AA121" s="144"/>
      <c r="AB121" s="145"/>
    </row>
    <row r="122" ht="14.25" customHeight="1">
      <c r="AA122" s="144"/>
      <c r="AB122" s="145"/>
    </row>
    <row r="123" ht="14.25" customHeight="1">
      <c r="AA123" s="144"/>
      <c r="AB123" s="145"/>
    </row>
    <row r="124" ht="14.25" customHeight="1">
      <c r="AA124" s="144"/>
      <c r="AB124" s="145"/>
    </row>
    <row r="125" ht="14.25" customHeight="1">
      <c r="AA125" s="144"/>
      <c r="AB125" s="145"/>
    </row>
    <row r="126" ht="14.25" customHeight="1">
      <c r="AA126" s="144"/>
      <c r="AB126" s="145"/>
    </row>
    <row r="127" ht="14.25" customHeight="1">
      <c r="AA127" s="144"/>
      <c r="AB127" s="145"/>
    </row>
    <row r="128" ht="14.25" customHeight="1">
      <c r="AA128" s="144"/>
      <c r="AB128" s="145"/>
    </row>
    <row r="129" ht="14.25" customHeight="1">
      <c r="AA129" s="144"/>
      <c r="AB129" s="145"/>
    </row>
    <row r="130" ht="14.25" customHeight="1">
      <c r="AA130" s="144"/>
      <c r="AB130" s="145"/>
    </row>
    <row r="131" ht="14.25" customHeight="1">
      <c r="AA131" s="144"/>
      <c r="AB131" s="145"/>
    </row>
    <row r="132" ht="14.25" customHeight="1">
      <c r="AA132" s="144"/>
      <c r="AB132" s="145"/>
    </row>
    <row r="133" ht="14.25" customHeight="1">
      <c r="AA133" s="144"/>
      <c r="AB133" s="145"/>
    </row>
    <row r="134" ht="14.25" customHeight="1">
      <c r="AA134" s="144"/>
      <c r="AB134" s="145"/>
    </row>
    <row r="135" ht="14.25" customHeight="1">
      <c r="AA135" s="144"/>
      <c r="AB135" s="145"/>
    </row>
    <row r="136" ht="14.25" customHeight="1">
      <c r="AA136" s="144"/>
      <c r="AB136" s="145"/>
    </row>
    <row r="137" ht="14.25" customHeight="1">
      <c r="AA137" s="144"/>
      <c r="AB137" s="145"/>
    </row>
    <row r="138" ht="14.25" customHeight="1">
      <c r="AA138" s="144"/>
      <c r="AB138" s="145"/>
    </row>
    <row r="139" ht="14.25" customHeight="1">
      <c r="AA139" s="144"/>
      <c r="AB139" s="145"/>
    </row>
    <row r="140" ht="14.25" customHeight="1">
      <c r="AA140" s="144"/>
      <c r="AB140" s="145"/>
    </row>
    <row r="141" ht="14.25" customHeight="1">
      <c r="AA141" s="144"/>
      <c r="AB141" s="145"/>
    </row>
    <row r="142" ht="14.25" customHeight="1">
      <c r="AA142" s="144"/>
      <c r="AB142" s="145"/>
    </row>
    <row r="143" ht="14.25" customHeight="1">
      <c r="AA143" s="144"/>
      <c r="AB143" s="145"/>
    </row>
    <row r="144" ht="14.25" customHeight="1">
      <c r="AA144" s="144"/>
      <c r="AB144" s="145"/>
    </row>
    <row r="145" ht="14.25" customHeight="1">
      <c r="AA145" s="144"/>
      <c r="AB145" s="145"/>
    </row>
    <row r="146" ht="14.25" customHeight="1">
      <c r="AA146" s="144"/>
      <c r="AB146" s="145"/>
    </row>
    <row r="147" ht="14.25" customHeight="1">
      <c r="AA147" s="144"/>
      <c r="AB147" s="145"/>
    </row>
    <row r="148" ht="14.25" customHeight="1">
      <c r="AA148" s="144"/>
      <c r="AB148" s="145"/>
    </row>
    <row r="149" ht="14.25" customHeight="1">
      <c r="AA149" s="144"/>
      <c r="AB149" s="145"/>
    </row>
    <row r="150" ht="14.25" customHeight="1">
      <c r="AA150" s="144"/>
      <c r="AB150" s="145"/>
    </row>
    <row r="151" ht="14.25" customHeight="1">
      <c r="AA151" s="144"/>
      <c r="AB151" s="145"/>
    </row>
    <row r="152" ht="14.25" customHeight="1">
      <c r="AA152" s="144"/>
      <c r="AB152" s="145"/>
    </row>
    <row r="153" ht="14.25" customHeight="1">
      <c r="AA153" s="144"/>
      <c r="AB153" s="145"/>
    </row>
    <row r="154" ht="14.25" customHeight="1">
      <c r="AA154" s="144"/>
      <c r="AB154" s="145"/>
    </row>
    <row r="155" ht="14.25" customHeight="1">
      <c r="AA155" s="144"/>
      <c r="AB155" s="145"/>
    </row>
    <row r="156" ht="14.25" customHeight="1">
      <c r="AA156" s="144"/>
      <c r="AB156" s="145"/>
    </row>
    <row r="157" ht="14.25" customHeight="1">
      <c r="AA157" s="144"/>
      <c r="AB157" s="145"/>
    </row>
    <row r="158" ht="14.25" customHeight="1">
      <c r="AA158" s="144"/>
      <c r="AB158" s="145"/>
    </row>
    <row r="159" ht="14.25" customHeight="1">
      <c r="AA159" s="144"/>
      <c r="AB159" s="145"/>
    </row>
    <row r="160" ht="14.25" customHeight="1">
      <c r="AA160" s="144"/>
      <c r="AB160" s="145"/>
    </row>
    <row r="161" ht="14.25" customHeight="1">
      <c r="AA161" s="144"/>
      <c r="AB161" s="145"/>
    </row>
    <row r="162" ht="14.25" customHeight="1">
      <c r="AA162" s="144"/>
      <c r="AB162" s="145"/>
    </row>
    <row r="163" ht="14.25" customHeight="1">
      <c r="AA163" s="144"/>
      <c r="AB163" s="145"/>
    </row>
    <row r="164" ht="14.25" customHeight="1">
      <c r="AA164" s="144"/>
      <c r="AB164" s="145"/>
    </row>
    <row r="165" ht="14.25" customHeight="1">
      <c r="AA165" s="144"/>
      <c r="AB165" s="145"/>
    </row>
    <row r="166" ht="14.25" customHeight="1">
      <c r="AA166" s="144"/>
      <c r="AB166" s="145"/>
    </row>
    <row r="167" ht="14.25" customHeight="1">
      <c r="AA167" s="144"/>
      <c r="AB167" s="145"/>
    </row>
    <row r="168" ht="14.25" customHeight="1">
      <c r="AA168" s="144"/>
      <c r="AB168" s="145"/>
    </row>
    <row r="169" ht="14.25" customHeight="1">
      <c r="AA169" s="144"/>
      <c r="AB169" s="145"/>
    </row>
    <row r="170" ht="14.25" customHeight="1">
      <c r="AA170" s="144"/>
      <c r="AB170" s="145"/>
    </row>
    <row r="171" ht="14.25" customHeight="1">
      <c r="AA171" s="144"/>
      <c r="AB171" s="145"/>
    </row>
    <row r="172" ht="14.25" customHeight="1">
      <c r="AA172" s="144"/>
      <c r="AB172" s="145"/>
    </row>
    <row r="173" ht="14.25" customHeight="1">
      <c r="AA173" s="144"/>
      <c r="AB173" s="145"/>
    </row>
    <row r="174" ht="14.25" customHeight="1">
      <c r="AA174" s="144"/>
      <c r="AB174" s="145"/>
    </row>
    <row r="175" ht="14.25" customHeight="1">
      <c r="AA175" s="144"/>
      <c r="AB175" s="145"/>
    </row>
    <row r="176" ht="14.25" customHeight="1">
      <c r="AA176" s="144"/>
      <c r="AB176" s="145"/>
    </row>
    <row r="177" ht="14.25" customHeight="1">
      <c r="AA177" s="144"/>
      <c r="AB177" s="145"/>
    </row>
    <row r="178" ht="14.25" customHeight="1">
      <c r="AA178" s="144"/>
      <c r="AB178" s="145"/>
    </row>
    <row r="179" ht="14.25" customHeight="1">
      <c r="AA179" s="144"/>
      <c r="AB179" s="145"/>
    </row>
    <row r="180" ht="14.25" customHeight="1">
      <c r="AA180" s="144"/>
      <c r="AB180" s="145"/>
    </row>
    <row r="181" ht="14.25" customHeight="1">
      <c r="AA181" s="144"/>
      <c r="AB181" s="145"/>
    </row>
    <row r="182" ht="14.25" customHeight="1">
      <c r="AA182" s="144"/>
      <c r="AB182" s="145"/>
    </row>
    <row r="183" ht="14.25" customHeight="1">
      <c r="AA183" s="144"/>
      <c r="AB183" s="145"/>
    </row>
    <row r="184" ht="14.25" customHeight="1">
      <c r="AA184" s="144"/>
      <c r="AB184" s="145"/>
    </row>
    <row r="185" ht="14.25" customHeight="1">
      <c r="AA185" s="144"/>
      <c r="AB185" s="145"/>
    </row>
    <row r="186" ht="14.25" customHeight="1">
      <c r="AA186" s="144"/>
      <c r="AB186" s="145"/>
    </row>
    <row r="187" ht="14.25" customHeight="1">
      <c r="AA187" s="144"/>
      <c r="AB187" s="145"/>
    </row>
    <row r="188" ht="14.25" customHeight="1">
      <c r="AA188" s="144"/>
      <c r="AB188" s="145"/>
    </row>
    <row r="189" ht="14.25" customHeight="1">
      <c r="AA189" s="144"/>
      <c r="AB189" s="145"/>
    </row>
    <row r="190" ht="14.25" customHeight="1">
      <c r="AA190" s="144"/>
      <c r="AB190" s="145"/>
    </row>
    <row r="191" ht="14.25" customHeight="1">
      <c r="AA191" s="144"/>
      <c r="AB191" s="145"/>
    </row>
    <row r="192" ht="14.25" customHeight="1">
      <c r="AA192" s="144"/>
      <c r="AB192" s="145"/>
    </row>
    <row r="193" ht="14.25" customHeight="1">
      <c r="AA193" s="144"/>
      <c r="AB193" s="145"/>
    </row>
    <row r="194" ht="14.25" customHeight="1">
      <c r="AA194" s="144"/>
      <c r="AB194" s="145"/>
    </row>
    <row r="195" ht="14.25" customHeight="1">
      <c r="AA195" s="144"/>
      <c r="AB195" s="145"/>
    </row>
    <row r="196" ht="14.25" customHeight="1">
      <c r="AA196" s="144"/>
      <c r="AB196" s="145"/>
    </row>
    <row r="197" ht="14.25" customHeight="1">
      <c r="AA197" s="144"/>
      <c r="AB197" s="145"/>
    </row>
    <row r="198" ht="14.25" customHeight="1">
      <c r="AA198" s="144"/>
      <c r="AB198" s="145"/>
    </row>
    <row r="199" ht="14.25" customHeight="1">
      <c r="AA199" s="144"/>
      <c r="AB199" s="145"/>
    </row>
    <row r="200" ht="14.25" customHeight="1">
      <c r="AA200" s="144"/>
      <c r="AB200" s="145"/>
    </row>
    <row r="201" ht="14.25" customHeight="1">
      <c r="AA201" s="144"/>
      <c r="AB201" s="145"/>
    </row>
    <row r="202" ht="14.25" customHeight="1">
      <c r="AA202" s="144"/>
      <c r="AB202" s="145"/>
    </row>
    <row r="203" ht="14.25" customHeight="1">
      <c r="AA203" s="144"/>
      <c r="AB203" s="145"/>
    </row>
    <row r="204" ht="14.25" customHeight="1">
      <c r="AA204" s="144"/>
      <c r="AB204" s="145"/>
    </row>
    <row r="205" ht="14.25" customHeight="1">
      <c r="AA205" s="144"/>
      <c r="AB205" s="145"/>
    </row>
    <row r="206" ht="14.25" customHeight="1">
      <c r="AA206" s="144"/>
      <c r="AB206" s="145"/>
    </row>
    <row r="207" ht="14.25" customHeight="1">
      <c r="AA207" s="144"/>
      <c r="AB207" s="145"/>
    </row>
    <row r="208" ht="14.25" customHeight="1">
      <c r="AA208" s="144"/>
      <c r="AB208" s="145"/>
    </row>
    <row r="209" ht="14.25" customHeight="1">
      <c r="AA209" s="144"/>
      <c r="AB209" s="145"/>
    </row>
    <row r="210" ht="14.25" customHeight="1">
      <c r="AA210" s="144"/>
      <c r="AB210" s="145"/>
    </row>
    <row r="211" ht="14.25" customHeight="1">
      <c r="AA211" s="144"/>
      <c r="AB211" s="145"/>
    </row>
    <row r="212" ht="14.25" customHeight="1">
      <c r="AA212" s="144"/>
      <c r="AB212" s="145"/>
    </row>
    <row r="213" ht="14.25" customHeight="1">
      <c r="AA213" s="144"/>
      <c r="AB213" s="145"/>
    </row>
    <row r="214" ht="14.25" customHeight="1">
      <c r="AA214" s="144"/>
      <c r="AB214" s="145"/>
    </row>
    <row r="215" ht="14.25" customHeight="1">
      <c r="AA215" s="144"/>
      <c r="AB215" s="145"/>
    </row>
    <row r="216" ht="14.25" customHeight="1">
      <c r="AA216" s="144"/>
      <c r="AB216" s="145"/>
    </row>
    <row r="217" ht="14.25" customHeight="1">
      <c r="AA217" s="144"/>
      <c r="AB217" s="145"/>
    </row>
    <row r="218" ht="14.25" customHeight="1">
      <c r="AA218" s="144"/>
      <c r="AB218" s="145"/>
    </row>
    <row r="219" ht="14.25" customHeight="1">
      <c r="AA219" s="144"/>
      <c r="AB219" s="145"/>
    </row>
    <row r="220" ht="14.25" customHeight="1">
      <c r="AA220" s="144"/>
      <c r="AB220" s="145"/>
    </row>
    <row r="221" ht="14.25" customHeight="1">
      <c r="AA221" s="144"/>
      <c r="AB221" s="145"/>
    </row>
    <row r="222" ht="14.25" customHeight="1">
      <c r="AA222" s="144"/>
      <c r="AB222" s="145"/>
    </row>
    <row r="223" ht="14.25" customHeight="1">
      <c r="AA223" s="144"/>
      <c r="AB223" s="145"/>
    </row>
    <row r="224" ht="14.25" customHeight="1">
      <c r="AA224" s="144"/>
      <c r="AB224" s="145"/>
    </row>
    <row r="225" ht="14.25" customHeight="1">
      <c r="AA225" s="144"/>
      <c r="AB225" s="145"/>
    </row>
    <row r="226" ht="14.25" customHeight="1">
      <c r="AA226" s="144"/>
      <c r="AB226" s="145"/>
    </row>
    <row r="227" ht="14.25" customHeight="1">
      <c r="AA227" s="144"/>
      <c r="AB227" s="145"/>
    </row>
    <row r="228" ht="14.25" customHeight="1">
      <c r="AA228" s="144"/>
      <c r="AB228" s="145"/>
    </row>
    <row r="229" ht="14.25" customHeight="1">
      <c r="AA229" s="144"/>
      <c r="AB229" s="145"/>
    </row>
    <row r="230" ht="14.25" customHeight="1">
      <c r="AA230" s="144"/>
      <c r="AB230" s="145"/>
    </row>
    <row r="231" ht="14.25" customHeight="1">
      <c r="AA231" s="144"/>
      <c r="AB231" s="145"/>
    </row>
    <row r="232" ht="14.25" customHeight="1">
      <c r="AA232" s="144"/>
      <c r="AB232" s="145"/>
    </row>
    <row r="233" ht="14.25" customHeight="1">
      <c r="AA233" s="144"/>
      <c r="AB233" s="145"/>
    </row>
    <row r="234" ht="14.25" customHeight="1">
      <c r="AA234" s="144"/>
      <c r="AB234" s="145"/>
    </row>
    <row r="235" ht="14.25" customHeight="1">
      <c r="AA235" s="144"/>
      <c r="AB235" s="145"/>
    </row>
    <row r="236" ht="14.25" customHeight="1">
      <c r="AA236" s="144"/>
      <c r="AB236" s="145"/>
    </row>
    <row r="237" ht="14.25" customHeight="1">
      <c r="AA237" s="144"/>
      <c r="AB237" s="145"/>
    </row>
    <row r="238" ht="14.25" customHeight="1">
      <c r="AA238" s="144"/>
      <c r="AB238" s="145"/>
    </row>
    <row r="239" ht="14.25" customHeight="1">
      <c r="AA239" s="144"/>
      <c r="AB239" s="145"/>
    </row>
    <row r="240" ht="14.25" customHeight="1">
      <c r="AA240" s="144"/>
      <c r="AB240" s="145"/>
    </row>
    <row r="241" ht="14.25" customHeight="1">
      <c r="AA241" s="144"/>
      <c r="AB241" s="145"/>
    </row>
    <row r="242" ht="14.25" customHeight="1">
      <c r="AA242" s="144"/>
      <c r="AB242" s="145"/>
    </row>
    <row r="243" ht="14.25" customHeight="1">
      <c r="AA243" s="144"/>
      <c r="AB243" s="145"/>
    </row>
    <row r="244" ht="14.25" customHeight="1">
      <c r="AA244" s="144"/>
      <c r="AB244" s="145"/>
    </row>
    <row r="245" ht="14.25" customHeight="1">
      <c r="AA245" s="144"/>
      <c r="AB245" s="145"/>
    </row>
    <row r="246" ht="14.25" customHeight="1">
      <c r="AA246" s="144"/>
      <c r="AB246" s="145"/>
    </row>
    <row r="247" ht="14.25" customHeight="1">
      <c r="AA247" s="144"/>
      <c r="AB247" s="145"/>
    </row>
    <row r="248" ht="14.25" customHeight="1">
      <c r="AA248" s="144"/>
      <c r="AB248" s="145"/>
    </row>
    <row r="249" ht="14.25" customHeight="1">
      <c r="AA249" s="144"/>
      <c r="AB249" s="145"/>
    </row>
    <row r="250" ht="14.25" customHeight="1">
      <c r="AA250" s="144"/>
      <c r="AB250" s="145"/>
    </row>
    <row r="251" ht="14.25" customHeight="1">
      <c r="AA251" s="144"/>
      <c r="AB251" s="145"/>
    </row>
    <row r="252" ht="14.25" customHeight="1">
      <c r="AA252" s="144"/>
      <c r="AB252" s="145"/>
    </row>
    <row r="253" ht="14.25" customHeight="1">
      <c r="AA253" s="144"/>
      <c r="AB253" s="145"/>
    </row>
    <row r="254" ht="14.25" customHeight="1">
      <c r="AA254" s="144"/>
      <c r="AB254" s="145"/>
    </row>
    <row r="255" ht="14.25" customHeight="1">
      <c r="AA255" s="144"/>
      <c r="AB255" s="145"/>
    </row>
    <row r="256" ht="14.25" customHeight="1">
      <c r="AA256" s="144"/>
      <c r="AB256" s="145"/>
    </row>
    <row r="257" ht="14.25" customHeight="1">
      <c r="AA257" s="144"/>
      <c r="AB257" s="145"/>
    </row>
    <row r="258" ht="14.25" customHeight="1">
      <c r="AA258" s="144"/>
      <c r="AB258" s="145"/>
    </row>
    <row r="259" ht="14.25" customHeight="1">
      <c r="AA259" s="144"/>
      <c r="AB259" s="145"/>
    </row>
    <row r="260" ht="14.25" customHeight="1">
      <c r="AA260" s="144"/>
      <c r="AB260" s="145"/>
    </row>
    <row r="261" ht="14.25" customHeight="1">
      <c r="AA261" s="144"/>
      <c r="AB261" s="145"/>
    </row>
    <row r="262" ht="14.25" customHeight="1">
      <c r="AA262" s="144"/>
      <c r="AB262" s="145"/>
    </row>
    <row r="263" ht="14.25" customHeight="1">
      <c r="AA263" s="144"/>
      <c r="AB263" s="145"/>
    </row>
    <row r="264" ht="14.25" customHeight="1">
      <c r="AA264" s="144"/>
      <c r="AB264" s="145"/>
    </row>
    <row r="265" ht="14.25" customHeight="1">
      <c r="AA265" s="144"/>
      <c r="AB265" s="145"/>
    </row>
    <row r="266" ht="14.25" customHeight="1">
      <c r="AA266" s="144"/>
      <c r="AB266" s="145"/>
    </row>
    <row r="267" ht="14.25" customHeight="1">
      <c r="AA267" s="144"/>
      <c r="AB267" s="145"/>
    </row>
    <row r="268" ht="14.25" customHeight="1">
      <c r="AA268" s="144"/>
      <c r="AB268" s="145"/>
    </row>
    <row r="269" ht="14.25" customHeight="1">
      <c r="AA269" s="144"/>
      <c r="AB269" s="145"/>
    </row>
    <row r="270" ht="14.25" customHeight="1">
      <c r="AA270" s="144"/>
      <c r="AB270" s="145"/>
    </row>
    <row r="271" ht="14.25" customHeight="1">
      <c r="AA271" s="144"/>
      <c r="AB271" s="145"/>
    </row>
    <row r="272" ht="14.25" customHeight="1">
      <c r="AA272" s="144"/>
      <c r="AB272" s="145"/>
    </row>
    <row r="273" ht="14.25" customHeight="1">
      <c r="AA273" s="144"/>
      <c r="AB273" s="145"/>
    </row>
    <row r="274" ht="14.25" customHeight="1">
      <c r="AA274" s="144"/>
      <c r="AB274" s="145"/>
    </row>
    <row r="275" ht="14.25" customHeight="1">
      <c r="AA275" s="144"/>
      <c r="AB275" s="145"/>
    </row>
    <row r="276" ht="14.25" customHeight="1">
      <c r="AA276" s="144"/>
      <c r="AB276" s="145"/>
    </row>
    <row r="277" ht="14.25" customHeight="1">
      <c r="AA277" s="144"/>
      <c r="AB277" s="145"/>
    </row>
    <row r="278" ht="14.25" customHeight="1">
      <c r="AA278" s="144"/>
      <c r="AB278" s="145"/>
    </row>
    <row r="279" ht="14.25" customHeight="1">
      <c r="AA279" s="144"/>
      <c r="AB279" s="145"/>
    </row>
    <row r="280" ht="14.25" customHeight="1">
      <c r="AA280" s="144"/>
      <c r="AB280" s="145"/>
    </row>
    <row r="281" ht="14.25" customHeight="1">
      <c r="AA281" s="144"/>
      <c r="AB281" s="145"/>
    </row>
    <row r="282" ht="14.25" customHeight="1">
      <c r="AA282" s="144"/>
      <c r="AB282" s="145"/>
    </row>
    <row r="283" ht="14.25" customHeight="1">
      <c r="AA283" s="144"/>
      <c r="AB283" s="145"/>
    </row>
    <row r="284" ht="14.25" customHeight="1">
      <c r="AA284" s="144"/>
      <c r="AB284" s="145"/>
    </row>
    <row r="285" ht="14.25" customHeight="1">
      <c r="AA285" s="144"/>
      <c r="AB285" s="145"/>
    </row>
    <row r="286" ht="14.25" customHeight="1">
      <c r="AA286" s="144"/>
      <c r="AB286" s="145"/>
    </row>
    <row r="287" ht="14.25" customHeight="1">
      <c r="AA287" s="144"/>
      <c r="AB287" s="145"/>
    </row>
    <row r="288" ht="14.25" customHeight="1">
      <c r="AA288" s="144"/>
      <c r="AB288" s="145"/>
    </row>
    <row r="289" ht="14.25" customHeight="1">
      <c r="AA289" s="144"/>
      <c r="AB289" s="145"/>
    </row>
    <row r="290" ht="14.25" customHeight="1">
      <c r="AA290" s="144"/>
      <c r="AB290" s="145"/>
    </row>
    <row r="291" ht="14.25" customHeight="1">
      <c r="AA291" s="144"/>
      <c r="AB291" s="145"/>
    </row>
    <row r="292" ht="14.25" customHeight="1">
      <c r="AA292" s="144"/>
      <c r="AB292" s="145"/>
    </row>
    <row r="293" ht="14.25" customHeight="1">
      <c r="AA293" s="144"/>
      <c r="AB293" s="145"/>
    </row>
    <row r="294" ht="14.25" customHeight="1">
      <c r="AA294" s="144"/>
      <c r="AB294" s="145"/>
    </row>
    <row r="295" ht="14.25" customHeight="1">
      <c r="AA295" s="144"/>
      <c r="AB295" s="145"/>
    </row>
    <row r="296" ht="14.25" customHeight="1">
      <c r="AA296" s="144"/>
      <c r="AB296" s="145"/>
    </row>
    <row r="297" ht="14.25" customHeight="1">
      <c r="AA297" s="144"/>
      <c r="AB297" s="145"/>
    </row>
    <row r="298" ht="14.25" customHeight="1">
      <c r="AA298" s="144"/>
      <c r="AB298" s="145"/>
    </row>
    <row r="299" ht="14.25" customHeight="1">
      <c r="AA299" s="144"/>
      <c r="AB299" s="145"/>
    </row>
    <row r="300" ht="14.25" customHeight="1">
      <c r="AA300" s="144"/>
      <c r="AB300" s="145"/>
    </row>
    <row r="301" ht="14.25" customHeight="1">
      <c r="AA301" s="144"/>
      <c r="AB301" s="145"/>
    </row>
    <row r="302" ht="14.25" customHeight="1">
      <c r="AA302" s="144"/>
      <c r="AB302" s="145"/>
    </row>
    <row r="303" ht="14.25" customHeight="1">
      <c r="AA303" s="144"/>
      <c r="AB303" s="145"/>
    </row>
    <row r="304" ht="14.25" customHeight="1">
      <c r="AA304" s="144"/>
      <c r="AB304" s="145"/>
    </row>
    <row r="305" ht="14.25" customHeight="1">
      <c r="AA305" s="144"/>
      <c r="AB305" s="145"/>
    </row>
    <row r="306" ht="14.25" customHeight="1">
      <c r="AA306" s="144"/>
      <c r="AB306" s="145"/>
    </row>
    <row r="307" ht="14.25" customHeight="1">
      <c r="AA307" s="144"/>
      <c r="AB307" s="145"/>
    </row>
    <row r="308" ht="14.25" customHeight="1">
      <c r="AA308" s="144"/>
      <c r="AB308" s="145"/>
    </row>
    <row r="309" ht="14.25" customHeight="1">
      <c r="AA309" s="144"/>
      <c r="AB309" s="145"/>
    </row>
    <row r="310" ht="14.25" customHeight="1">
      <c r="AA310" s="144"/>
      <c r="AB310" s="145"/>
    </row>
    <row r="311" ht="14.25" customHeight="1">
      <c r="AA311" s="144"/>
      <c r="AB311" s="145"/>
    </row>
    <row r="312" ht="14.25" customHeight="1">
      <c r="AA312" s="144"/>
      <c r="AB312" s="145"/>
    </row>
    <row r="313" ht="14.25" customHeight="1">
      <c r="AA313" s="144"/>
      <c r="AB313" s="145"/>
    </row>
    <row r="314" ht="14.25" customHeight="1">
      <c r="AA314" s="144"/>
      <c r="AB314" s="145"/>
    </row>
    <row r="315" ht="14.25" customHeight="1">
      <c r="AA315" s="144"/>
      <c r="AB315" s="145"/>
    </row>
    <row r="316" ht="14.25" customHeight="1">
      <c r="AA316" s="144"/>
      <c r="AB316" s="145"/>
    </row>
    <row r="317" ht="14.25" customHeight="1">
      <c r="AA317" s="144"/>
      <c r="AB317" s="145"/>
    </row>
    <row r="318" ht="14.25" customHeight="1">
      <c r="AA318" s="144"/>
      <c r="AB318" s="145"/>
    </row>
    <row r="319" ht="14.25" customHeight="1">
      <c r="AA319" s="144"/>
      <c r="AB319" s="145"/>
    </row>
    <row r="320" ht="14.25" customHeight="1">
      <c r="AA320" s="144"/>
      <c r="AB320" s="145"/>
    </row>
    <row r="321" ht="14.25" customHeight="1">
      <c r="AA321" s="144"/>
      <c r="AB321" s="145"/>
    </row>
    <row r="322" ht="14.25" customHeight="1">
      <c r="AA322" s="144"/>
      <c r="AB322" s="145"/>
    </row>
    <row r="323" ht="14.25" customHeight="1">
      <c r="AA323" s="144"/>
      <c r="AB323" s="145"/>
    </row>
    <row r="324" ht="14.25" customHeight="1">
      <c r="AA324" s="144"/>
      <c r="AB324" s="145"/>
    </row>
    <row r="325" ht="14.25" customHeight="1">
      <c r="AA325" s="144"/>
      <c r="AB325" s="145"/>
    </row>
    <row r="326" ht="14.25" customHeight="1">
      <c r="AA326" s="144"/>
      <c r="AB326" s="145"/>
    </row>
    <row r="327" ht="14.25" customHeight="1">
      <c r="AA327" s="144"/>
      <c r="AB327" s="145"/>
    </row>
    <row r="328" ht="14.25" customHeight="1">
      <c r="AA328" s="144"/>
      <c r="AB328" s="145"/>
    </row>
    <row r="329" ht="14.25" customHeight="1">
      <c r="AA329" s="144"/>
      <c r="AB329" s="145"/>
    </row>
    <row r="330" ht="14.25" customHeight="1">
      <c r="AA330" s="144"/>
      <c r="AB330" s="145"/>
    </row>
    <row r="331" ht="14.25" customHeight="1">
      <c r="AA331" s="144"/>
      <c r="AB331" s="145"/>
    </row>
    <row r="332" ht="14.25" customHeight="1">
      <c r="AA332" s="144"/>
      <c r="AB332" s="145"/>
    </row>
    <row r="333" ht="14.25" customHeight="1">
      <c r="AA333" s="144"/>
      <c r="AB333" s="145"/>
    </row>
    <row r="334" ht="14.25" customHeight="1">
      <c r="AA334" s="144"/>
      <c r="AB334" s="145"/>
    </row>
    <row r="335" ht="14.25" customHeight="1">
      <c r="AA335" s="144"/>
      <c r="AB335" s="145"/>
    </row>
    <row r="336" ht="14.25" customHeight="1">
      <c r="AA336" s="144"/>
      <c r="AB336" s="145"/>
    </row>
    <row r="337" ht="14.25" customHeight="1">
      <c r="AA337" s="144"/>
      <c r="AB337" s="145"/>
    </row>
    <row r="338" ht="14.25" customHeight="1">
      <c r="AA338" s="144"/>
      <c r="AB338" s="145"/>
    </row>
    <row r="339" ht="14.25" customHeight="1">
      <c r="AA339" s="144"/>
      <c r="AB339" s="145"/>
    </row>
    <row r="340" ht="14.25" customHeight="1">
      <c r="AA340" s="144"/>
      <c r="AB340" s="145"/>
    </row>
    <row r="341" ht="14.25" customHeight="1">
      <c r="AA341" s="144"/>
      <c r="AB341" s="145"/>
    </row>
    <row r="342" ht="14.25" customHeight="1">
      <c r="AA342" s="144"/>
      <c r="AB342" s="145"/>
    </row>
    <row r="343" ht="14.25" customHeight="1">
      <c r="AA343" s="144"/>
      <c r="AB343" s="145"/>
    </row>
    <row r="344" ht="14.25" customHeight="1">
      <c r="AA344" s="144"/>
      <c r="AB344" s="145"/>
    </row>
    <row r="345" ht="14.25" customHeight="1">
      <c r="AA345" s="144"/>
      <c r="AB345" s="145"/>
    </row>
    <row r="346" ht="14.25" customHeight="1">
      <c r="AA346" s="144"/>
      <c r="AB346" s="145"/>
    </row>
    <row r="347" ht="14.25" customHeight="1">
      <c r="AA347" s="144"/>
      <c r="AB347" s="145"/>
    </row>
    <row r="348" ht="14.25" customHeight="1">
      <c r="AA348" s="144"/>
      <c r="AB348" s="145"/>
    </row>
    <row r="349" ht="14.25" customHeight="1">
      <c r="AA349" s="144"/>
      <c r="AB349" s="145"/>
    </row>
    <row r="350" ht="14.25" customHeight="1">
      <c r="AA350" s="144"/>
      <c r="AB350" s="145"/>
    </row>
    <row r="351" ht="14.25" customHeight="1">
      <c r="AA351" s="144"/>
      <c r="AB351" s="145"/>
    </row>
    <row r="352" ht="14.25" customHeight="1">
      <c r="AA352" s="144"/>
      <c r="AB352" s="145"/>
    </row>
    <row r="353" ht="14.25" customHeight="1">
      <c r="AA353" s="144"/>
      <c r="AB353" s="145"/>
    </row>
    <row r="354" ht="14.25" customHeight="1">
      <c r="AA354" s="144"/>
      <c r="AB354" s="145"/>
    </row>
    <row r="355" ht="14.25" customHeight="1">
      <c r="AA355" s="144"/>
      <c r="AB355" s="145"/>
    </row>
    <row r="356" ht="14.25" customHeight="1">
      <c r="AA356" s="144"/>
      <c r="AB356" s="145"/>
    </row>
    <row r="357" ht="14.25" customHeight="1">
      <c r="AA357" s="144"/>
      <c r="AB357" s="145"/>
    </row>
    <row r="358" ht="14.25" customHeight="1">
      <c r="AA358" s="144"/>
      <c r="AB358" s="145"/>
    </row>
    <row r="359" ht="14.25" customHeight="1">
      <c r="AA359" s="144"/>
      <c r="AB359" s="145"/>
    </row>
    <row r="360" ht="14.25" customHeight="1">
      <c r="AA360" s="144"/>
      <c r="AB360" s="145"/>
    </row>
    <row r="361" ht="14.25" customHeight="1">
      <c r="AA361" s="144"/>
      <c r="AB361" s="145"/>
    </row>
    <row r="362" ht="14.25" customHeight="1">
      <c r="AA362" s="144"/>
      <c r="AB362" s="145"/>
    </row>
    <row r="363" ht="14.25" customHeight="1">
      <c r="AA363" s="144"/>
      <c r="AB363" s="145"/>
    </row>
    <row r="364" ht="14.25" customHeight="1">
      <c r="AA364" s="144"/>
      <c r="AB364" s="145"/>
    </row>
    <row r="365" ht="14.25" customHeight="1">
      <c r="AA365" s="144"/>
      <c r="AB365" s="145"/>
    </row>
    <row r="366" ht="14.25" customHeight="1">
      <c r="AA366" s="144"/>
      <c r="AB366" s="145"/>
    </row>
    <row r="367" ht="14.25" customHeight="1">
      <c r="AA367" s="144"/>
      <c r="AB367" s="145"/>
    </row>
    <row r="368" ht="14.25" customHeight="1">
      <c r="AA368" s="144"/>
      <c r="AB368" s="145"/>
    </row>
    <row r="369" ht="14.25" customHeight="1">
      <c r="AA369" s="144"/>
      <c r="AB369" s="145"/>
    </row>
    <row r="370" ht="14.25" customHeight="1">
      <c r="AA370" s="144"/>
      <c r="AB370" s="145"/>
    </row>
    <row r="371" ht="14.25" customHeight="1">
      <c r="AA371" s="144"/>
      <c r="AB371" s="145"/>
    </row>
    <row r="372" ht="14.25" customHeight="1">
      <c r="AA372" s="144"/>
      <c r="AB372" s="145"/>
    </row>
    <row r="373" ht="14.25" customHeight="1">
      <c r="AA373" s="144"/>
      <c r="AB373" s="145"/>
    </row>
    <row r="374" ht="14.25" customHeight="1">
      <c r="AA374" s="144"/>
      <c r="AB374" s="145"/>
    </row>
    <row r="375" ht="14.25" customHeight="1">
      <c r="AA375" s="144"/>
      <c r="AB375" s="145"/>
    </row>
    <row r="376" ht="14.25" customHeight="1">
      <c r="AA376" s="144"/>
      <c r="AB376" s="145"/>
    </row>
    <row r="377" ht="14.25" customHeight="1">
      <c r="AA377" s="144"/>
      <c r="AB377" s="145"/>
    </row>
    <row r="378" ht="14.25" customHeight="1">
      <c r="AA378" s="144"/>
      <c r="AB378" s="145"/>
    </row>
    <row r="379" ht="14.25" customHeight="1">
      <c r="AA379" s="144"/>
      <c r="AB379" s="145"/>
    </row>
    <row r="380" ht="14.25" customHeight="1">
      <c r="AA380" s="144"/>
      <c r="AB380" s="145"/>
    </row>
    <row r="381" ht="14.25" customHeight="1">
      <c r="AA381" s="144"/>
      <c r="AB381" s="145"/>
    </row>
    <row r="382" ht="14.25" customHeight="1">
      <c r="AA382" s="144"/>
      <c r="AB382" s="145"/>
    </row>
    <row r="383" ht="14.25" customHeight="1">
      <c r="AA383" s="144"/>
      <c r="AB383" s="145"/>
    </row>
    <row r="384" ht="14.25" customHeight="1">
      <c r="AA384" s="144"/>
      <c r="AB384" s="145"/>
    </row>
    <row r="385" ht="14.25" customHeight="1">
      <c r="AA385" s="144"/>
      <c r="AB385" s="145"/>
    </row>
    <row r="386" ht="14.25" customHeight="1">
      <c r="AA386" s="144"/>
      <c r="AB386" s="145"/>
    </row>
    <row r="387" ht="14.25" customHeight="1">
      <c r="AA387" s="144"/>
      <c r="AB387" s="145"/>
    </row>
    <row r="388" ht="14.25" customHeight="1">
      <c r="AA388" s="144"/>
      <c r="AB388" s="145"/>
    </row>
    <row r="389" ht="14.25" customHeight="1">
      <c r="AA389" s="144"/>
      <c r="AB389" s="145"/>
    </row>
    <row r="390" ht="14.25" customHeight="1">
      <c r="AA390" s="144"/>
      <c r="AB390" s="145"/>
    </row>
    <row r="391" ht="14.25" customHeight="1">
      <c r="AA391" s="144"/>
      <c r="AB391" s="145"/>
    </row>
    <row r="392" ht="14.25" customHeight="1">
      <c r="AA392" s="144"/>
      <c r="AB392" s="145"/>
    </row>
    <row r="393" ht="14.25" customHeight="1">
      <c r="AA393" s="144"/>
      <c r="AB393" s="145"/>
    </row>
    <row r="394" ht="14.25" customHeight="1">
      <c r="AA394" s="144"/>
      <c r="AB394" s="145"/>
    </row>
    <row r="395" ht="14.25" customHeight="1">
      <c r="AA395" s="144"/>
      <c r="AB395" s="145"/>
    </row>
    <row r="396" ht="14.25" customHeight="1">
      <c r="AA396" s="144"/>
      <c r="AB396" s="145"/>
    </row>
    <row r="397" ht="14.25" customHeight="1">
      <c r="AA397" s="144"/>
      <c r="AB397" s="145"/>
    </row>
    <row r="398" ht="14.25" customHeight="1">
      <c r="AA398" s="144"/>
      <c r="AB398" s="145"/>
    </row>
    <row r="399" ht="14.25" customHeight="1">
      <c r="AA399" s="144"/>
      <c r="AB399" s="145"/>
    </row>
    <row r="400" ht="14.25" customHeight="1">
      <c r="AA400" s="144"/>
      <c r="AB400" s="145"/>
    </row>
    <row r="401" ht="14.25" customHeight="1">
      <c r="AA401" s="144"/>
      <c r="AB401" s="145"/>
    </row>
    <row r="402" ht="14.25" customHeight="1">
      <c r="AA402" s="144"/>
      <c r="AB402" s="145"/>
    </row>
    <row r="403" ht="14.25" customHeight="1">
      <c r="AA403" s="144"/>
      <c r="AB403" s="145"/>
    </row>
    <row r="404" ht="14.25" customHeight="1">
      <c r="AA404" s="144"/>
      <c r="AB404" s="145"/>
    </row>
    <row r="405" ht="14.25" customHeight="1">
      <c r="AA405" s="144"/>
      <c r="AB405" s="145"/>
    </row>
    <row r="406" ht="14.25" customHeight="1">
      <c r="AA406" s="144"/>
      <c r="AB406" s="145"/>
    </row>
    <row r="407" ht="14.25" customHeight="1">
      <c r="AA407" s="144"/>
      <c r="AB407" s="145"/>
    </row>
    <row r="408" ht="14.25" customHeight="1">
      <c r="AA408" s="144"/>
      <c r="AB408" s="145"/>
    </row>
    <row r="409" ht="14.25" customHeight="1">
      <c r="AA409" s="144"/>
      <c r="AB409" s="145"/>
    </row>
    <row r="410" ht="14.25" customHeight="1">
      <c r="AA410" s="144"/>
      <c r="AB410" s="145"/>
    </row>
    <row r="411" ht="14.25" customHeight="1">
      <c r="AA411" s="144"/>
      <c r="AB411" s="145"/>
    </row>
    <row r="412" ht="14.25" customHeight="1">
      <c r="AA412" s="144"/>
      <c r="AB412" s="145"/>
    </row>
    <row r="413" ht="14.25" customHeight="1">
      <c r="AA413" s="144"/>
      <c r="AB413" s="145"/>
    </row>
    <row r="414" ht="14.25" customHeight="1">
      <c r="AA414" s="144"/>
      <c r="AB414" s="145"/>
    </row>
    <row r="415" ht="14.25" customHeight="1">
      <c r="AA415" s="144"/>
      <c r="AB415" s="145"/>
    </row>
    <row r="416" ht="14.25" customHeight="1">
      <c r="AA416" s="144"/>
      <c r="AB416" s="145"/>
    </row>
    <row r="417" ht="14.25" customHeight="1">
      <c r="AA417" s="144"/>
      <c r="AB417" s="145"/>
    </row>
    <row r="418" ht="14.25" customHeight="1">
      <c r="AA418" s="144"/>
      <c r="AB418" s="145"/>
    </row>
    <row r="419" ht="14.25" customHeight="1">
      <c r="AA419" s="144"/>
      <c r="AB419" s="145"/>
    </row>
    <row r="420" ht="14.25" customHeight="1">
      <c r="AA420" s="144"/>
      <c r="AB420" s="145"/>
    </row>
    <row r="421" ht="14.25" customHeight="1">
      <c r="AA421" s="144"/>
      <c r="AB421" s="145"/>
    </row>
    <row r="422" ht="14.25" customHeight="1">
      <c r="AA422" s="144"/>
      <c r="AB422" s="145"/>
    </row>
    <row r="423" ht="14.25" customHeight="1">
      <c r="AA423" s="144"/>
      <c r="AB423" s="145"/>
    </row>
    <row r="424" ht="14.25" customHeight="1">
      <c r="AA424" s="144"/>
      <c r="AB424" s="145"/>
    </row>
    <row r="425" ht="14.25" customHeight="1">
      <c r="AA425" s="144"/>
      <c r="AB425" s="145"/>
    </row>
    <row r="426" ht="14.25" customHeight="1">
      <c r="AA426" s="144"/>
      <c r="AB426" s="145"/>
    </row>
    <row r="427" ht="14.25" customHeight="1">
      <c r="AA427" s="144"/>
      <c r="AB427" s="145"/>
    </row>
    <row r="428" ht="14.25" customHeight="1">
      <c r="AA428" s="144"/>
      <c r="AB428" s="145"/>
    </row>
    <row r="429" ht="14.25" customHeight="1">
      <c r="AA429" s="144"/>
      <c r="AB429" s="145"/>
    </row>
    <row r="430" ht="14.25" customHeight="1">
      <c r="AA430" s="144"/>
      <c r="AB430" s="145"/>
    </row>
    <row r="431" ht="14.25" customHeight="1">
      <c r="AA431" s="144"/>
      <c r="AB431" s="145"/>
    </row>
    <row r="432" ht="14.25" customHeight="1">
      <c r="AA432" s="144"/>
      <c r="AB432" s="145"/>
    </row>
    <row r="433" ht="14.25" customHeight="1">
      <c r="AA433" s="144"/>
      <c r="AB433" s="145"/>
    </row>
    <row r="434" ht="14.25" customHeight="1">
      <c r="AA434" s="144"/>
      <c r="AB434" s="145"/>
    </row>
    <row r="435" ht="14.25" customHeight="1">
      <c r="AA435" s="144"/>
      <c r="AB435" s="145"/>
    </row>
    <row r="436" ht="14.25" customHeight="1">
      <c r="AA436" s="144"/>
      <c r="AB436" s="145"/>
    </row>
    <row r="437" ht="14.25" customHeight="1">
      <c r="AA437" s="144"/>
      <c r="AB437" s="145"/>
    </row>
    <row r="438" ht="14.25" customHeight="1">
      <c r="AA438" s="144"/>
      <c r="AB438" s="145"/>
    </row>
    <row r="439" ht="14.25" customHeight="1">
      <c r="AA439" s="144"/>
      <c r="AB439" s="145"/>
    </row>
    <row r="440" ht="14.25" customHeight="1">
      <c r="AA440" s="144"/>
      <c r="AB440" s="145"/>
    </row>
    <row r="441" ht="14.25" customHeight="1">
      <c r="AA441" s="144"/>
      <c r="AB441" s="145"/>
    </row>
    <row r="442" ht="14.25" customHeight="1">
      <c r="AA442" s="144"/>
      <c r="AB442" s="145"/>
    </row>
    <row r="443" ht="14.25" customHeight="1">
      <c r="AA443" s="144"/>
      <c r="AB443" s="145"/>
    </row>
    <row r="444" ht="14.25" customHeight="1">
      <c r="AA444" s="144"/>
      <c r="AB444" s="145"/>
    </row>
    <row r="445" ht="14.25" customHeight="1">
      <c r="AA445" s="144"/>
      <c r="AB445" s="145"/>
    </row>
    <row r="446" ht="14.25" customHeight="1">
      <c r="AA446" s="144"/>
      <c r="AB446" s="145"/>
    </row>
    <row r="447" ht="14.25" customHeight="1">
      <c r="AA447" s="144"/>
      <c r="AB447" s="145"/>
    </row>
    <row r="448" ht="14.25" customHeight="1">
      <c r="AA448" s="144"/>
      <c r="AB448" s="145"/>
    </row>
    <row r="449" ht="14.25" customHeight="1">
      <c r="AA449" s="144"/>
      <c r="AB449" s="145"/>
    </row>
    <row r="450" ht="14.25" customHeight="1">
      <c r="AA450" s="144"/>
      <c r="AB450" s="145"/>
    </row>
    <row r="451" ht="14.25" customHeight="1">
      <c r="AA451" s="144"/>
      <c r="AB451" s="145"/>
    </row>
    <row r="452" ht="14.25" customHeight="1">
      <c r="AA452" s="144"/>
      <c r="AB452" s="145"/>
    </row>
    <row r="453" ht="14.25" customHeight="1">
      <c r="AA453" s="144"/>
      <c r="AB453" s="145"/>
    </row>
    <row r="454" ht="14.25" customHeight="1">
      <c r="AA454" s="144"/>
      <c r="AB454" s="145"/>
    </row>
    <row r="455" ht="14.25" customHeight="1">
      <c r="AA455" s="144"/>
      <c r="AB455" s="145"/>
    </row>
    <row r="456" ht="14.25" customHeight="1">
      <c r="AA456" s="144"/>
      <c r="AB456" s="145"/>
    </row>
    <row r="457" ht="14.25" customHeight="1">
      <c r="AA457" s="144"/>
      <c r="AB457" s="145"/>
    </row>
    <row r="458" ht="14.25" customHeight="1">
      <c r="AA458" s="144"/>
      <c r="AB458" s="145"/>
    </row>
    <row r="459" ht="14.25" customHeight="1">
      <c r="AA459" s="144"/>
      <c r="AB459" s="145"/>
    </row>
    <row r="460" ht="14.25" customHeight="1">
      <c r="AA460" s="144"/>
      <c r="AB460" s="145"/>
    </row>
    <row r="461" ht="14.25" customHeight="1">
      <c r="AA461" s="144"/>
      <c r="AB461" s="145"/>
    </row>
    <row r="462" ht="14.25" customHeight="1">
      <c r="AA462" s="144"/>
      <c r="AB462" s="145"/>
    </row>
    <row r="463" ht="14.25" customHeight="1">
      <c r="AA463" s="144"/>
      <c r="AB463" s="145"/>
    </row>
    <row r="464" ht="14.25" customHeight="1">
      <c r="AA464" s="144"/>
      <c r="AB464" s="145"/>
    </row>
    <row r="465" ht="14.25" customHeight="1">
      <c r="AA465" s="144"/>
      <c r="AB465" s="145"/>
    </row>
    <row r="466" ht="14.25" customHeight="1">
      <c r="AA466" s="144"/>
      <c r="AB466" s="145"/>
    </row>
    <row r="467" ht="14.25" customHeight="1">
      <c r="AA467" s="144"/>
      <c r="AB467" s="145"/>
    </row>
    <row r="468" ht="14.25" customHeight="1">
      <c r="AA468" s="144"/>
      <c r="AB468" s="145"/>
    </row>
    <row r="469" ht="14.25" customHeight="1">
      <c r="AA469" s="144"/>
      <c r="AB469" s="145"/>
    </row>
    <row r="470" ht="14.25" customHeight="1">
      <c r="AA470" s="144"/>
      <c r="AB470" s="145"/>
    </row>
    <row r="471" ht="14.25" customHeight="1">
      <c r="AA471" s="144"/>
      <c r="AB471" s="145"/>
    </row>
    <row r="472" ht="14.25" customHeight="1">
      <c r="AA472" s="144"/>
      <c r="AB472" s="145"/>
    </row>
    <row r="473" ht="14.25" customHeight="1">
      <c r="AA473" s="144"/>
      <c r="AB473" s="145"/>
    </row>
    <row r="474" ht="14.25" customHeight="1">
      <c r="AA474" s="144"/>
      <c r="AB474" s="145"/>
    </row>
    <row r="475" ht="14.25" customHeight="1">
      <c r="AA475" s="144"/>
      <c r="AB475" s="145"/>
    </row>
    <row r="476" ht="14.25" customHeight="1">
      <c r="AA476" s="144"/>
      <c r="AB476" s="145"/>
    </row>
    <row r="477" ht="14.25" customHeight="1">
      <c r="AA477" s="144"/>
      <c r="AB477" s="145"/>
    </row>
    <row r="478" ht="14.25" customHeight="1">
      <c r="AA478" s="144"/>
      <c r="AB478" s="145"/>
    </row>
    <row r="479" ht="14.25" customHeight="1">
      <c r="AA479" s="144"/>
      <c r="AB479" s="145"/>
    </row>
    <row r="480" ht="14.25" customHeight="1">
      <c r="AA480" s="144"/>
      <c r="AB480" s="145"/>
    </row>
    <row r="481" ht="14.25" customHeight="1">
      <c r="AA481" s="144"/>
      <c r="AB481" s="145"/>
    </row>
    <row r="482" ht="14.25" customHeight="1">
      <c r="AA482" s="144"/>
      <c r="AB482" s="145"/>
    </row>
    <row r="483" ht="14.25" customHeight="1">
      <c r="AA483" s="144"/>
      <c r="AB483" s="145"/>
    </row>
    <row r="484" ht="14.25" customHeight="1">
      <c r="AA484" s="144"/>
      <c r="AB484" s="145"/>
    </row>
    <row r="485" ht="14.25" customHeight="1">
      <c r="AA485" s="144"/>
      <c r="AB485" s="145"/>
    </row>
    <row r="486" ht="14.25" customHeight="1">
      <c r="AA486" s="144"/>
      <c r="AB486" s="145"/>
    </row>
    <row r="487" ht="14.25" customHeight="1">
      <c r="AA487" s="144"/>
      <c r="AB487" s="145"/>
    </row>
    <row r="488" ht="14.25" customHeight="1">
      <c r="AA488" s="144"/>
      <c r="AB488" s="145"/>
    </row>
    <row r="489" ht="14.25" customHeight="1">
      <c r="AA489" s="144"/>
      <c r="AB489" s="145"/>
    </row>
    <row r="490" ht="14.25" customHeight="1">
      <c r="AA490" s="144"/>
      <c r="AB490" s="145"/>
    </row>
    <row r="491" ht="14.25" customHeight="1">
      <c r="AA491" s="144"/>
      <c r="AB491" s="145"/>
    </row>
    <row r="492" ht="14.25" customHeight="1">
      <c r="AA492" s="144"/>
      <c r="AB492" s="145"/>
    </row>
    <row r="493" ht="14.25" customHeight="1">
      <c r="AA493" s="144"/>
      <c r="AB493" s="145"/>
    </row>
    <row r="494" ht="14.25" customHeight="1">
      <c r="AA494" s="144"/>
      <c r="AB494" s="145"/>
    </row>
    <row r="495" ht="14.25" customHeight="1">
      <c r="AA495" s="144"/>
      <c r="AB495" s="145"/>
    </row>
    <row r="496" ht="14.25" customHeight="1">
      <c r="AA496" s="144"/>
      <c r="AB496" s="145"/>
    </row>
    <row r="497" ht="14.25" customHeight="1">
      <c r="AA497" s="144"/>
      <c r="AB497" s="145"/>
    </row>
    <row r="498" ht="14.25" customHeight="1">
      <c r="AA498" s="144"/>
      <c r="AB498" s="145"/>
    </row>
    <row r="499" ht="14.25" customHeight="1">
      <c r="AA499" s="144"/>
      <c r="AB499" s="145"/>
    </row>
    <row r="500" ht="14.25" customHeight="1">
      <c r="AA500" s="144"/>
      <c r="AB500" s="145"/>
    </row>
    <row r="501" ht="14.25" customHeight="1">
      <c r="AA501" s="144"/>
      <c r="AB501" s="145"/>
    </row>
    <row r="502" ht="14.25" customHeight="1">
      <c r="AA502" s="144"/>
      <c r="AB502" s="145"/>
    </row>
    <row r="503" ht="14.25" customHeight="1">
      <c r="AA503" s="144"/>
      <c r="AB503" s="145"/>
    </row>
    <row r="504" ht="14.25" customHeight="1">
      <c r="AA504" s="144"/>
      <c r="AB504" s="145"/>
    </row>
    <row r="505" ht="14.25" customHeight="1">
      <c r="AA505" s="144"/>
      <c r="AB505" s="145"/>
    </row>
    <row r="506" ht="14.25" customHeight="1">
      <c r="AA506" s="144"/>
      <c r="AB506" s="145"/>
    </row>
    <row r="507" ht="14.25" customHeight="1">
      <c r="AA507" s="144"/>
      <c r="AB507" s="145"/>
    </row>
    <row r="508" ht="14.25" customHeight="1">
      <c r="AA508" s="144"/>
      <c r="AB508" s="145"/>
    </row>
    <row r="509" ht="14.25" customHeight="1">
      <c r="AA509" s="144"/>
      <c r="AB509" s="145"/>
    </row>
    <row r="510" ht="14.25" customHeight="1">
      <c r="AA510" s="144"/>
      <c r="AB510" s="145"/>
    </row>
    <row r="511" ht="14.25" customHeight="1">
      <c r="AA511" s="144"/>
      <c r="AB511" s="145"/>
    </row>
    <row r="512" ht="14.25" customHeight="1">
      <c r="AA512" s="144"/>
      <c r="AB512" s="145"/>
    </row>
    <row r="513" ht="14.25" customHeight="1">
      <c r="AA513" s="144"/>
      <c r="AB513" s="145"/>
    </row>
    <row r="514" ht="14.25" customHeight="1">
      <c r="AA514" s="144"/>
      <c r="AB514" s="145"/>
    </row>
    <row r="515" ht="14.25" customHeight="1">
      <c r="AA515" s="144"/>
      <c r="AB515" s="145"/>
    </row>
    <row r="516" ht="14.25" customHeight="1">
      <c r="AA516" s="144"/>
      <c r="AB516" s="145"/>
    </row>
    <row r="517" ht="14.25" customHeight="1">
      <c r="AA517" s="144"/>
      <c r="AB517" s="145"/>
    </row>
    <row r="518" ht="14.25" customHeight="1">
      <c r="AA518" s="144"/>
      <c r="AB518" s="145"/>
    </row>
    <row r="519" ht="14.25" customHeight="1">
      <c r="AA519" s="144"/>
      <c r="AB519" s="145"/>
    </row>
    <row r="520" ht="14.25" customHeight="1">
      <c r="AA520" s="144"/>
      <c r="AB520" s="145"/>
    </row>
    <row r="521" ht="14.25" customHeight="1">
      <c r="AA521" s="144"/>
      <c r="AB521" s="145"/>
    </row>
    <row r="522" ht="14.25" customHeight="1">
      <c r="AA522" s="144"/>
      <c r="AB522" s="145"/>
    </row>
    <row r="523" ht="14.25" customHeight="1">
      <c r="AA523" s="144"/>
      <c r="AB523" s="145"/>
    </row>
    <row r="524" ht="14.25" customHeight="1">
      <c r="AA524" s="144"/>
      <c r="AB524" s="145"/>
    </row>
    <row r="525" ht="14.25" customHeight="1">
      <c r="AA525" s="144"/>
      <c r="AB525" s="145"/>
    </row>
    <row r="526" ht="14.25" customHeight="1">
      <c r="AA526" s="144"/>
      <c r="AB526" s="145"/>
    </row>
    <row r="527" ht="14.25" customHeight="1">
      <c r="AA527" s="144"/>
      <c r="AB527" s="145"/>
    </row>
    <row r="528" ht="14.25" customHeight="1">
      <c r="AA528" s="144"/>
      <c r="AB528" s="145"/>
    </row>
    <row r="529" ht="14.25" customHeight="1">
      <c r="AA529" s="144"/>
      <c r="AB529" s="145"/>
    </row>
    <row r="530" ht="14.25" customHeight="1">
      <c r="AA530" s="144"/>
      <c r="AB530" s="145"/>
    </row>
    <row r="531" ht="14.25" customHeight="1">
      <c r="AA531" s="144"/>
      <c r="AB531" s="145"/>
    </row>
    <row r="532" ht="14.25" customHeight="1">
      <c r="AA532" s="144"/>
      <c r="AB532" s="145"/>
    </row>
    <row r="533" ht="14.25" customHeight="1">
      <c r="AA533" s="144"/>
      <c r="AB533" s="145"/>
    </row>
    <row r="534" ht="14.25" customHeight="1">
      <c r="AA534" s="144"/>
      <c r="AB534" s="145"/>
    </row>
    <row r="535" ht="14.25" customHeight="1">
      <c r="AA535" s="144"/>
      <c r="AB535" s="145"/>
    </row>
    <row r="536" ht="14.25" customHeight="1">
      <c r="AA536" s="144"/>
      <c r="AB536" s="145"/>
    </row>
    <row r="537" ht="14.25" customHeight="1">
      <c r="AA537" s="144"/>
      <c r="AB537" s="145"/>
    </row>
    <row r="538" ht="14.25" customHeight="1">
      <c r="AA538" s="144"/>
      <c r="AB538" s="145"/>
    </row>
    <row r="539" ht="14.25" customHeight="1">
      <c r="AA539" s="144"/>
      <c r="AB539" s="145"/>
    </row>
    <row r="540" ht="14.25" customHeight="1">
      <c r="AA540" s="144"/>
      <c r="AB540" s="145"/>
    </row>
    <row r="541" ht="14.25" customHeight="1">
      <c r="AA541" s="144"/>
      <c r="AB541" s="145"/>
    </row>
    <row r="542" ht="14.25" customHeight="1">
      <c r="AA542" s="144"/>
      <c r="AB542" s="145"/>
    </row>
    <row r="543" ht="14.25" customHeight="1">
      <c r="AA543" s="144"/>
      <c r="AB543" s="145"/>
    </row>
    <row r="544" ht="14.25" customHeight="1">
      <c r="AA544" s="144"/>
      <c r="AB544" s="145"/>
    </row>
    <row r="545" ht="14.25" customHeight="1">
      <c r="AA545" s="144"/>
      <c r="AB545" s="145"/>
    </row>
    <row r="546" ht="14.25" customHeight="1">
      <c r="AA546" s="144"/>
      <c r="AB546" s="145"/>
    </row>
    <row r="547" ht="14.25" customHeight="1">
      <c r="AA547" s="144"/>
      <c r="AB547" s="145"/>
    </row>
    <row r="548" ht="14.25" customHeight="1">
      <c r="AA548" s="144"/>
      <c r="AB548" s="145"/>
    </row>
    <row r="549" ht="14.25" customHeight="1">
      <c r="AA549" s="144"/>
      <c r="AB549" s="145"/>
    </row>
    <row r="550" ht="14.25" customHeight="1">
      <c r="AA550" s="144"/>
      <c r="AB550" s="145"/>
    </row>
    <row r="551" ht="14.25" customHeight="1">
      <c r="AA551" s="144"/>
      <c r="AB551" s="145"/>
    </row>
    <row r="552" ht="14.25" customHeight="1">
      <c r="AA552" s="144"/>
      <c r="AB552" s="145"/>
    </row>
    <row r="553" ht="14.25" customHeight="1">
      <c r="AA553" s="144"/>
      <c r="AB553" s="145"/>
    </row>
    <row r="554" ht="14.25" customHeight="1">
      <c r="AA554" s="144"/>
      <c r="AB554" s="145"/>
    </row>
    <row r="555" ht="14.25" customHeight="1">
      <c r="AA555" s="144"/>
      <c r="AB555" s="145"/>
    </row>
    <row r="556" ht="14.25" customHeight="1">
      <c r="AA556" s="144"/>
      <c r="AB556" s="145"/>
    </row>
    <row r="557" ht="14.25" customHeight="1">
      <c r="AA557" s="144"/>
      <c r="AB557" s="145"/>
    </row>
    <row r="558" ht="14.25" customHeight="1">
      <c r="AA558" s="144"/>
      <c r="AB558" s="145"/>
    </row>
    <row r="559" ht="14.25" customHeight="1">
      <c r="AA559" s="144"/>
      <c r="AB559" s="145"/>
    </row>
    <row r="560" ht="14.25" customHeight="1">
      <c r="AA560" s="144"/>
      <c r="AB560" s="145"/>
    </row>
    <row r="561" ht="14.25" customHeight="1">
      <c r="AA561" s="144"/>
      <c r="AB561" s="145"/>
    </row>
    <row r="562" ht="14.25" customHeight="1">
      <c r="AA562" s="144"/>
      <c r="AB562" s="145"/>
    </row>
    <row r="563" ht="14.25" customHeight="1">
      <c r="AA563" s="144"/>
      <c r="AB563" s="145"/>
    </row>
    <row r="564" ht="14.25" customHeight="1">
      <c r="AA564" s="144"/>
      <c r="AB564" s="145"/>
    </row>
    <row r="565" ht="14.25" customHeight="1">
      <c r="AA565" s="144"/>
      <c r="AB565" s="145"/>
    </row>
    <row r="566" ht="14.25" customHeight="1">
      <c r="AA566" s="144"/>
      <c r="AB566" s="145"/>
    </row>
    <row r="567" ht="14.25" customHeight="1">
      <c r="AA567" s="144"/>
      <c r="AB567" s="145"/>
    </row>
    <row r="568" ht="14.25" customHeight="1">
      <c r="AA568" s="144"/>
      <c r="AB568" s="145"/>
    </row>
    <row r="569" ht="14.25" customHeight="1">
      <c r="AA569" s="144"/>
      <c r="AB569" s="145"/>
    </row>
    <row r="570" ht="14.25" customHeight="1">
      <c r="AA570" s="144"/>
      <c r="AB570" s="145"/>
    </row>
    <row r="571" ht="14.25" customHeight="1">
      <c r="AA571" s="144"/>
      <c r="AB571" s="145"/>
    </row>
    <row r="572" ht="14.25" customHeight="1">
      <c r="AA572" s="144"/>
      <c r="AB572" s="145"/>
    </row>
    <row r="573" ht="14.25" customHeight="1">
      <c r="AA573" s="144"/>
      <c r="AB573" s="145"/>
    </row>
    <row r="574" ht="14.25" customHeight="1">
      <c r="AA574" s="144"/>
      <c r="AB574" s="145"/>
    </row>
    <row r="575" ht="14.25" customHeight="1">
      <c r="AA575" s="144"/>
      <c r="AB575" s="145"/>
    </row>
    <row r="576" ht="14.25" customHeight="1">
      <c r="AA576" s="144"/>
      <c r="AB576" s="145"/>
    </row>
    <row r="577" ht="14.25" customHeight="1">
      <c r="AA577" s="144"/>
      <c r="AB577" s="145"/>
    </row>
    <row r="578" ht="14.25" customHeight="1">
      <c r="AA578" s="144"/>
      <c r="AB578" s="145"/>
    </row>
    <row r="579" ht="14.25" customHeight="1">
      <c r="AA579" s="144"/>
      <c r="AB579" s="145"/>
    </row>
    <row r="580" ht="14.25" customHeight="1">
      <c r="AA580" s="144"/>
      <c r="AB580" s="145"/>
    </row>
    <row r="581" ht="14.25" customHeight="1">
      <c r="AA581" s="144"/>
      <c r="AB581" s="145"/>
    </row>
    <row r="582" ht="14.25" customHeight="1">
      <c r="AA582" s="144"/>
      <c r="AB582" s="145"/>
    </row>
    <row r="583" ht="14.25" customHeight="1">
      <c r="AA583" s="144"/>
      <c r="AB583" s="145"/>
    </row>
    <row r="584" ht="14.25" customHeight="1">
      <c r="AA584" s="144"/>
      <c r="AB584" s="145"/>
    </row>
    <row r="585" ht="14.25" customHeight="1">
      <c r="AA585" s="144"/>
      <c r="AB585" s="145"/>
    </row>
    <row r="586" ht="14.25" customHeight="1">
      <c r="AA586" s="144"/>
      <c r="AB586" s="145"/>
    </row>
    <row r="587" ht="14.25" customHeight="1">
      <c r="AA587" s="144"/>
      <c r="AB587" s="145"/>
    </row>
    <row r="588" ht="14.25" customHeight="1">
      <c r="AA588" s="144"/>
      <c r="AB588" s="145"/>
    </row>
    <row r="589" ht="14.25" customHeight="1">
      <c r="AA589" s="144"/>
      <c r="AB589" s="145"/>
    </row>
    <row r="590" ht="14.25" customHeight="1">
      <c r="AA590" s="144"/>
      <c r="AB590" s="145"/>
    </row>
    <row r="591" ht="14.25" customHeight="1">
      <c r="AA591" s="144"/>
      <c r="AB591" s="145"/>
    </row>
    <row r="592" ht="14.25" customHeight="1">
      <c r="AA592" s="144"/>
      <c r="AB592" s="145"/>
    </row>
    <row r="593" ht="14.25" customHeight="1">
      <c r="AA593" s="144"/>
      <c r="AB593" s="145"/>
    </row>
    <row r="594" ht="14.25" customHeight="1">
      <c r="AA594" s="144"/>
      <c r="AB594" s="145"/>
    </row>
    <row r="595" ht="14.25" customHeight="1">
      <c r="AA595" s="144"/>
      <c r="AB595" s="145"/>
    </row>
    <row r="596" ht="14.25" customHeight="1">
      <c r="AA596" s="144"/>
      <c r="AB596" s="145"/>
    </row>
    <row r="597" ht="14.25" customHeight="1">
      <c r="AA597" s="144"/>
      <c r="AB597" s="145"/>
    </row>
    <row r="598" ht="14.25" customHeight="1">
      <c r="AA598" s="144"/>
      <c r="AB598" s="145"/>
    </row>
    <row r="599" ht="14.25" customHeight="1">
      <c r="AA599" s="144"/>
      <c r="AB599" s="145"/>
    </row>
    <row r="600" ht="14.25" customHeight="1">
      <c r="AA600" s="144"/>
      <c r="AB600" s="145"/>
    </row>
    <row r="601" ht="14.25" customHeight="1">
      <c r="AA601" s="144"/>
      <c r="AB601" s="145"/>
    </row>
    <row r="602" ht="14.25" customHeight="1">
      <c r="AA602" s="144"/>
      <c r="AB602" s="145"/>
    </row>
    <row r="603" ht="14.25" customHeight="1">
      <c r="AA603" s="144"/>
      <c r="AB603" s="145"/>
    </row>
    <row r="604" ht="14.25" customHeight="1">
      <c r="AA604" s="144"/>
      <c r="AB604" s="145"/>
    </row>
    <row r="605" ht="14.25" customHeight="1">
      <c r="AA605" s="144"/>
      <c r="AB605" s="145"/>
    </row>
    <row r="606" ht="14.25" customHeight="1">
      <c r="AA606" s="144"/>
      <c r="AB606" s="145"/>
    </row>
    <row r="607" ht="14.25" customHeight="1">
      <c r="AA607" s="144"/>
      <c r="AB607" s="145"/>
    </row>
    <row r="608" ht="14.25" customHeight="1">
      <c r="AA608" s="144"/>
      <c r="AB608" s="145"/>
    </row>
    <row r="609" ht="14.25" customHeight="1">
      <c r="AA609" s="144"/>
      <c r="AB609" s="145"/>
    </row>
    <row r="610" ht="14.25" customHeight="1">
      <c r="AA610" s="144"/>
      <c r="AB610" s="145"/>
    </row>
    <row r="611" ht="14.25" customHeight="1">
      <c r="AA611" s="144"/>
      <c r="AB611" s="145"/>
    </row>
    <row r="612" ht="14.25" customHeight="1">
      <c r="AA612" s="144"/>
      <c r="AB612" s="145"/>
    </row>
    <row r="613" ht="14.25" customHeight="1">
      <c r="AA613" s="144"/>
      <c r="AB613" s="145"/>
    </row>
    <row r="614" ht="14.25" customHeight="1">
      <c r="AA614" s="144"/>
      <c r="AB614" s="145"/>
    </row>
    <row r="615" ht="14.25" customHeight="1">
      <c r="AA615" s="144"/>
      <c r="AB615" s="145"/>
    </row>
    <row r="616" ht="14.25" customHeight="1">
      <c r="AA616" s="144"/>
      <c r="AB616" s="145"/>
    </row>
    <row r="617" ht="14.25" customHeight="1">
      <c r="AA617" s="144"/>
      <c r="AB617" s="145"/>
    </row>
    <row r="618" ht="14.25" customHeight="1">
      <c r="AA618" s="144"/>
      <c r="AB618" s="145"/>
    </row>
    <row r="619" ht="14.25" customHeight="1">
      <c r="AA619" s="144"/>
      <c r="AB619" s="145"/>
    </row>
    <row r="620" ht="14.25" customHeight="1">
      <c r="AA620" s="144"/>
      <c r="AB620" s="145"/>
    </row>
    <row r="621" ht="14.25" customHeight="1">
      <c r="AA621" s="144"/>
      <c r="AB621" s="145"/>
    </row>
    <row r="622" ht="14.25" customHeight="1">
      <c r="AA622" s="144"/>
      <c r="AB622" s="145"/>
    </row>
    <row r="623" ht="14.25" customHeight="1">
      <c r="AA623" s="144"/>
      <c r="AB623" s="145"/>
    </row>
    <row r="624" ht="14.25" customHeight="1">
      <c r="AA624" s="144"/>
      <c r="AB624" s="145"/>
    </row>
    <row r="625" ht="14.25" customHeight="1">
      <c r="AA625" s="144"/>
      <c r="AB625" s="145"/>
    </row>
    <row r="626" ht="14.25" customHeight="1">
      <c r="AA626" s="144"/>
      <c r="AB626" s="145"/>
    </row>
    <row r="627" ht="14.25" customHeight="1">
      <c r="AA627" s="144"/>
      <c r="AB627" s="145"/>
    </row>
    <row r="628" ht="14.25" customHeight="1">
      <c r="AA628" s="144"/>
      <c r="AB628" s="145"/>
    </row>
    <row r="629" ht="14.25" customHeight="1">
      <c r="AA629" s="144"/>
      <c r="AB629" s="145"/>
    </row>
    <row r="630" ht="14.25" customHeight="1">
      <c r="AA630" s="144"/>
      <c r="AB630" s="145"/>
    </row>
    <row r="631" ht="14.25" customHeight="1">
      <c r="AA631" s="144"/>
      <c r="AB631" s="145"/>
    </row>
    <row r="632" ht="14.25" customHeight="1">
      <c r="AA632" s="144"/>
      <c r="AB632" s="145"/>
    </row>
    <row r="633" ht="14.25" customHeight="1">
      <c r="AA633" s="144"/>
      <c r="AB633" s="145"/>
    </row>
    <row r="634" ht="14.25" customHeight="1">
      <c r="AA634" s="144"/>
      <c r="AB634" s="145"/>
    </row>
    <row r="635" ht="14.25" customHeight="1">
      <c r="AA635" s="144"/>
      <c r="AB635" s="145"/>
    </row>
    <row r="636" ht="14.25" customHeight="1">
      <c r="AA636" s="144"/>
      <c r="AB636" s="145"/>
    </row>
    <row r="637" ht="14.25" customHeight="1">
      <c r="AA637" s="144"/>
      <c r="AB637" s="145"/>
    </row>
    <row r="638" ht="14.25" customHeight="1">
      <c r="AA638" s="144"/>
      <c r="AB638" s="145"/>
    </row>
    <row r="639" ht="14.25" customHeight="1">
      <c r="AA639" s="144"/>
      <c r="AB639" s="145"/>
    </row>
    <row r="640" ht="14.25" customHeight="1">
      <c r="AA640" s="144"/>
      <c r="AB640" s="145"/>
    </row>
    <row r="641" ht="14.25" customHeight="1">
      <c r="AA641" s="144"/>
      <c r="AB641" s="145"/>
    </row>
    <row r="642" ht="14.25" customHeight="1">
      <c r="AA642" s="144"/>
      <c r="AB642" s="145"/>
    </row>
    <row r="643" ht="14.25" customHeight="1">
      <c r="AA643" s="144"/>
      <c r="AB643" s="145"/>
    </row>
    <row r="644" ht="14.25" customHeight="1">
      <c r="AA644" s="144"/>
      <c r="AB644" s="145"/>
    </row>
    <row r="645" ht="14.25" customHeight="1">
      <c r="AA645" s="144"/>
      <c r="AB645" s="145"/>
    </row>
    <row r="646" ht="14.25" customHeight="1">
      <c r="AA646" s="144"/>
      <c r="AB646" s="145"/>
    </row>
    <row r="647" ht="14.25" customHeight="1">
      <c r="AA647" s="144"/>
      <c r="AB647" s="145"/>
    </row>
    <row r="648" ht="14.25" customHeight="1">
      <c r="AA648" s="144"/>
      <c r="AB648" s="145"/>
    </row>
    <row r="649" ht="14.25" customHeight="1">
      <c r="AA649" s="144"/>
      <c r="AB649" s="145"/>
    </row>
    <row r="650" ht="14.25" customHeight="1">
      <c r="AA650" s="144"/>
      <c r="AB650" s="145"/>
    </row>
    <row r="651" ht="14.25" customHeight="1">
      <c r="AA651" s="144"/>
      <c r="AB651" s="145"/>
    </row>
    <row r="652" ht="14.25" customHeight="1">
      <c r="AA652" s="144"/>
      <c r="AB652" s="145"/>
    </row>
    <row r="653" ht="14.25" customHeight="1">
      <c r="AA653" s="144"/>
      <c r="AB653" s="145"/>
    </row>
    <row r="654" ht="14.25" customHeight="1">
      <c r="AA654" s="144"/>
      <c r="AB654" s="145"/>
    </row>
    <row r="655" ht="14.25" customHeight="1">
      <c r="AA655" s="144"/>
      <c r="AB655" s="145"/>
    </row>
    <row r="656" ht="14.25" customHeight="1">
      <c r="AA656" s="144"/>
      <c r="AB656" s="145"/>
    </row>
    <row r="657" ht="14.25" customHeight="1">
      <c r="AA657" s="144"/>
      <c r="AB657" s="145"/>
    </row>
    <row r="658" ht="14.25" customHeight="1">
      <c r="AA658" s="144"/>
      <c r="AB658" s="145"/>
    </row>
    <row r="659" ht="14.25" customHeight="1">
      <c r="AA659" s="144"/>
      <c r="AB659" s="145"/>
    </row>
    <row r="660" ht="14.25" customHeight="1">
      <c r="AA660" s="144"/>
      <c r="AB660" s="145"/>
    </row>
    <row r="661" ht="14.25" customHeight="1">
      <c r="AA661" s="144"/>
      <c r="AB661" s="145"/>
    </row>
    <row r="662" ht="14.25" customHeight="1">
      <c r="AA662" s="144"/>
      <c r="AB662" s="145"/>
    </row>
    <row r="663" ht="14.25" customHeight="1">
      <c r="AA663" s="144"/>
      <c r="AB663" s="145"/>
    </row>
    <row r="664" ht="14.25" customHeight="1">
      <c r="AA664" s="144"/>
      <c r="AB664" s="145"/>
    </row>
    <row r="665" ht="14.25" customHeight="1">
      <c r="AA665" s="144"/>
      <c r="AB665" s="145"/>
    </row>
    <row r="666" ht="14.25" customHeight="1">
      <c r="AA666" s="144"/>
      <c r="AB666" s="145"/>
    </row>
    <row r="667" ht="14.25" customHeight="1">
      <c r="AA667" s="144"/>
      <c r="AB667" s="145"/>
    </row>
    <row r="668" ht="14.25" customHeight="1">
      <c r="AA668" s="144"/>
      <c r="AB668" s="145"/>
    </row>
    <row r="669" ht="14.25" customHeight="1">
      <c r="AA669" s="144"/>
      <c r="AB669" s="145"/>
    </row>
    <row r="670" ht="14.25" customHeight="1">
      <c r="AA670" s="144"/>
      <c r="AB670" s="145"/>
    </row>
    <row r="671" ht="14.25" customHeight="1">
      <c r="AA671" s="144"/>
      <c r="AB671" s="145"/>
    </row>
    <row r="672" ht="14.25" customHeight="1">
      <c r="AA672" s="144"/>
      <c r="AB672" s="145"/>
    </row>
    <row r="673" ht="14.25" customHeight="1">
      <c r="AA673" s="144"/>
      <c r="AB673" s="145"/>
    </row>
    <row r="674" ht="14.25" customHeight="1">
      <c r="AA674" s="144"/>
      <c r="AB674" s="145"/>
    </row>
    <row r="675" ht="14.25" customHeight="1">
      <c r="AA675" s="144"/>
      <c r="AB675" s="145"/>
    </row>
    <row r="676" ht="14.25" customHeight="1">
      <c r="AA676" s="144"/>
      <c r="AB676" s="145"/>
    </row>
    <row r="677" ht="14.25" customHeight="1">
      <c r="AA677" s="144"/>
      <c r="AB677" s="145"/>
    </row>
    <row r="678" ht="14.25" customHeight="1">
      <c r="AA678" s="144"/>
      <c r="AB678" s="145"/>
    </row>
    <row r="679" ht="14.25" customHeight="1">
      <c r="AA679" s="144"/>
      <c r="AB679" s="145"/>
    </row>
    <row r="680" ht="14.25" customHeight="1">
      <c r="AA680" s="144"/>
      <c r="AB680" s="145"/>
    </row>
    <row r="681" ht="14.25" customHeight="1">
      <c r="AA681" s="144"/>
      <c r="AB681" s="145"/>
    </row>
    <row r="682" ht="14.25" customHeight="1">
      <c r="AA682" s="144"/>
      <c r="AB682" s="145"/>
    </row>
    <row r="683" ht="14.25" customHeight="1">
      <c r="AA683" s="144"/>
      <c r="AB683" s="145"/>
    </row>
    <row r="684" ht="14.25" customHeight="1">
      <c r="AA684" s="144"/>
      <c r="AB684" s="145"/>
    </row>
    <row r="685" ht="14.25" customHeight="1">
      <c r="AA685" s="144"/>
      <c r="AB685" s="145"/>
    </row>
    <row r="686" ht="14.25" customHeight="1">
      <c r="AA686" s="144"/>
      <c r="AB686" s="145"/>
    </row>
    <row r="687" ht="14.25" customHeight="1">
      <c r="AA687" s="144"/>
      <c r="AB687" s="145"/>
    </row>
    <row r="688" ht="14.25" customHeight="1">
      <c r="AA688" s="144"/>
      <c r="AB688" s="145"/>
    </row>
    <row r="689" ht="14.25" customHeight="1">
      <c r="AA689" s="144"/>
      <c r="AB689" s="145"/>
    </row>
    <row r="690" ht="14.25" customHeight="1">
      <c r="AA690" s="144"/>
      <c r="AB690" s="145"/>
    </row>
    <row r="691" ht="14.25" customHeight="1">
      <c r="AA691" s="144"/>
      <c r="AB691" s="145"/>
    </row>
    <row r="692" ht="14.25" customHeight="1">
      <c r="AA692" s="144"/>
      <c r="AB692" s="145"/>
    </row>
    <row r="693" ht="14.25" customHeight="1">
      <c r="AA693" s="144"/>
      <c r="AB693" s="145"/>
    </row>
    <row r="694" ht="14.25" customHeight="1">
      <c r="AA694" s="144"/>
      <c r="AB694" s="145"/>
    </row>
    <row r="695" ht="14.25" customHeight="1">
      <c r="AA695" s="144"/>
      <c r="AB695" s="145"/>
    </row>
    <row r="696" ht="14.25" customHeight="1">
      <c r="AA696" s="144"/>
      <c r="AB696" s="145"/>
    </row>
    <row r="697" ht="14.25" customHeight="1">
      <c r="AA697" s="144"/>
      <c r="AB697" s="145"/>
    </row>
    <row r="698" ht="14.25" customHeight="1">
      <c r="AA698" s="144"/>
      <c r="AB698" s="145"/>
    </row>
    <row r="699" ht="14.25" customHeight="1">
      <c r="AA699" s="144"/>
      <c r="AB699" s="145"/>
    </row>
    <row r="700" ht="14.25" customHeight="1">
      <c r="AA700" s="144"/>
      <c r="AB700" s="145"/>
    </row>
    <row r="701" ht="14.25" customHeight="1">
      <c r="AA701" s="144"/>
      <c r="AB701" s="145"/>
    </row>
    <row r="702" ht="14.25" customHeight="1">
      <c r="AA702" s="144"/>
      <c r="AB702" s="145"/>
    </row>
    <row r="703" ht="14.25" customHeight="1">
      <c r="AA703" s="144"/>
      <c r="AB703" s="145"/>
    </row>
    <row r="704" ht="14.25" customHeight="1">
      <c r="AA704" s="144"/>
      <c r="AB704" s="145"/>
    </row>
    <row r="705" ht="14.25" customHeight="1">
      <c r="AA705" s="144"/>
      <c r="AB705" s="145"/>
    </row>
    <row r="706" ht="14.25" customHeight="1">
      <c r="AA706" s="144"/>
      <c r="AB706" s="145"/>
    </row>
    <row r="707" ht="14.25" customHeight="1">
      <c r="AA707" s="144"/>
      <c r="AB707" s="145"/>
    </row>
    <row r="708" ht="14.25" customHeight="1">
      <c r="AA708" s="144"/>
      <c r="AB708" s="145"/>
    </row>
    <row r="709" ht="14.25" customHeight="1">
      <c r="AA709" s="144"/>
      <c r="AB709" s="145"/>
    </row>
    <row r="710" ht="14.25" customHeight="1">
      <c r="AA710" s="144"/>
      <c r="AB710" s="145"/>
    </row>
    <row r="711" ht="14.25" customHeight="1">
      <c r="AA711" s="144"/>
      <c r="AB711" s="145"/>
    </row>
    <row r="712" ht="14.25" customHeight="1">
      <c r="AA712" s="144"/>
      <c r="AB712" s="145"/>
    </row>
    <row r="713" ht="14.25" customHeight="1">
      <c r="AA713" s="144"/>
      <c r="AB713" s="145"/>
    </row>
    <row r="714" ht="14.25" customHeight="1">
      <c r="AA714" s="144"/>
      <c r="AB714" s="145"/>
    </row>
    <row r="715" ht="14.25" customHeight="1">
      <c r="AA715" s="144"/>
      <c r="AB715" s="145"/>
    </row>
    <row r="716" ht="14.25" customHeight="1">
      <c r="AA716" s="144"/>
      <c r="AB716" s="145"/>
    </row>
    <row r="717" ht="14.25" customHeight="1">
      <c r="AA717" s="144"/>
      <c r="AB717" s="145"/>
    </row>
    <row r="718" ht="14.25" customHeight="1">
      <c r="AA718" s="144"/>
      <c r="AB718" s="145"/>
    </row>
    <row r="719" ht="14.25" customHeight="1">
      <c r="AA719" s="144"/>
      <c r="AB719" s="145"/>
    </row>
    <row r="720" ht="14.25" customHeight="1">
      <c r="AA720" s="144"/>
      <c r="AB720" s="145"/>
    </row>
    <row r="721" ht="14.25" customHeight="1">
      <c r="AA721" s="144"/>
      <c r="AB721" s="145"/>
    </row>
    <row r="722" ht="14.25" customHeight="1">
      <c r="AA722" s="144"/>
      <c r="AB722" s="145"/>
    </row>
    <row r="723" ht="14.25" customHeight="1">
      <c r="AA723" s="144"/>
      <c r="AB723" s="145"/>
    </row>
    <row r="724" ht="14.25" customHeight="1">
      <c r="AA724" s="144"/>
      <c r="AB724" s="145"/>
    </row>
    <row r="725" ht="14.25" customHeight="1">
      <c r="AA725" s="144"/>
      <c r="AB725" s="145"/>
    </row>
    <row r="726" ht="14.25" customHeight="1">
      <c r="AA726" s="144"/>
      <c r="AB726" s="145"/>
    </row>
    <row r="727" ht="14.25" customHeight="1">
      <c r="AA727" s="144"/>
      <c r="AB727" s="145"/>
    </row>
    <row r="728" ht="14.25" customHeight="1">
      <c r="AA728" s="144"/>
      <c r="AB728" s="145"/>
    </row>
    <row r="729" ht="14.25" customHeight="1">
      <c r="AA729" s="144"/>
      <c r="AB729" s="145"/>
    </row>
    <row r="730" ht="14.25" customHeight="1">
      <c r="AA730" s="144"/>
      <c r="AB730" s="145"/>
    </row>
    <row r="731" ht="14.25" customHeight="1">
      <c r="AA731" s="144"/>
      <c r="AB731" s="145"/>
    </row>
    <row r="732" ht="14.25" customHeight="1">
      <c r="AA732" s="144"/>
      <c r="AB732" s="145"/>
    </row>
    <row r="733" ht="14.25" customHeight="1">
      <c r="AA733" s="144"/>
      <c r="AB733" s="145"/>
    </row>
    <row r="734" ht="14.25" customHeight="1">
      <c r="AA734" s="144"/>
      <c r="AB734" s="145"/>
    </row>
    <row r="735" ht="14.25" customHeight="1">
      <c r="AA735" s="144"/>
      <c r="AB735" s="145"/>
    </row>
    <row r="736" ht="14.25" customHeight="1">
      <c r="AA736" s="144"/>
      <c r="AB736" s="145"/>
    </row>
    <row r="737" ht="14.25" customHeight="1">
      <c r="AA737" s="144"/>
      <c r="AB737" s="145"/>
    </row>
    <row r="738" ht="14.25" customHeight="1">
      <c r="AA738" s="144"/>
      <c r="AB738" s="145"/>
    </row>
    <row r="739" ht="14.25" customHeight="1">
      <c r="AA739" s="144"/>
      <c r="AB739" s="145"/>
    </row>
    <row r="740" ht="14.25" customHeight="1">
      <c r="AA740" s="144"/>
      <c r="AB740" s="145"/>
    </row>
    <row r="741" ht="14.25" customHeight="1">
      <c r="AA741" s="144"/>
      <c r="AB741" s="145"/>
    </row>
    <row r="742" ht="14.25" customHeight="1">
      <c r="AA742" s="144"/>
      <c r="AB742" s="145"/>
    </row>
    <row r="743" ht="14.25" customHeight="1">
      <c r="AA743" s="144"/>
      <c r="AB743" s="145"/>
    </row>
    <row r="744" ht="14.25" customHeight="1">
      <c r="AA744" s="144"/>
      <c r="AB744" s="145"/>
    </row>
    <row r="745" ht="14.25" customHeight="1">
      <c r="AA745" s="144"/>
      <c r="AB745" s="145"/>
    </row>
    <row r="746" ht="14.25" customHeight="1">
      <c r="AA746" s="144"/>
      <c r="AB746" s="145"/>
    </row>
    <row r="747" ht="14.25" customHeight="1">
      <c r="AA747" s="144"/>
      <c r="AB747" s="145"/>
    </row>
    <row r="748" ht="14.25" customHeight="1">
      <c r="AA748" s="144"/>
      <c r="AB748" s="145"/>
    </row>
    <row r="749" ht="14.25" customHeight="1">
      <c r="AA749" s="144"/>
      <c r="AB749" s="145"/>
    </row>
    <row r="750" ht="14.25" customHeight="1">
      <c r="AA750" s="144"/>
      <c r="AB750" s="145"/>
    </row>
    <row r="751" ht="14.25" customHeight="1">
      <c r="AA751" s="144"/>
      <c r="AB751" s="145"/>
    </row>
    <row r="752" ht="14.25" customHeight="1">
      <c r="AA752" s="144"/>
      <c r="AB752" s="145"/>
    </row>
    <row r="753" ht="14.25" customHeight="1">
      <c r="AA753" s="144"/>
      <c r="AB753" s="145"/>
    </row>
    <row r="754" ht="14.25" customHeight="1">
      <c r="AA754" s="144"/>
      <c r="AB754" s="145"/>
    </row>
    <row r="755" ht="14.25" customHeight="1">
      <c r="AA755" s="144"/>
      <c r="AB755" s="145"/>
    </row>
    <row r="756" ht="14.25" customHeight="1">
      <c r="AA756" s="144"/>
      <c r="AB756" s="145"/>
    </row>
    <row r="757" ht="14.25" customHeight="1">
      <c r="AA757" s="144"/>
      <c r="AB757" s="145"/>
    </row>
    <row r="758" ht="14.25" customHeight="1">
      <c r="AA758" s="144"/>
      <c r="AB758" s="145"/>
    </row>
    <row r="759" ht="14.25" customHeight="1">
      <c r="AA759" s="144"/>
      <c r="AB759" s="145"/>
    </row>
    <row r="760" ht="14.25" customHeight="1">
      <c r="AA760" s="144"/>
      <c r="AB760" s="145"/>
    </row>
    <row r="761" ht="14.25" customHeight="1">
      <c r="AA761" s="144"/>
      <c r="AB761" s="145"/>
    </row>
    <row r="762" ht="14.25" customHeight="1">
      <c r="AA762" s="144"/>
      <c r="AB762" s="145"/>
    </row>
    <row r="763" ht="14.25" customHeight="1">
      <c r="AA763" s="144"/>
      <c r="AB763" s="145"/>
    </row>
    <row r="764" ht="14.25" customHeight="1">
      <c r="AA764" s="144"/>
      <c r="AB764" s="145"/>
    </row>
    <row r="765" ht="14.25" customHeight="1">
      <c r="AA765" s="144"/>
      <c r="AB765" s="145"/>
    </row>
    <row r="766" ht="14.25" customHeight="1">
      <c r="AA766" s="144"/>
      <c r="AB766" s="145"/>
    </row>
    <row r="767" ht="14.25" customHeight="1">
      <c r="AA767" s="144"/>
      <c r="AB767" s="145"/>
    </row>
    <row r="768" ht="14.25" customHeight="1">
      <c r="AA768" s="144"/>
      <c r="AB768" s="145"/>
    </row>
    <row r="769" ht="14.25" customHeight="1">
      <c r="AA769" s="144"/>
      <c r="AB769" s="145"/>
    </row>
    <row r="770" ht="14.25" customHeight="1">
      <c r="AA770" s="144"/>
      <c r="AB770" s="145"/>
    </row>
    <row r="771" ht="14.25" customHeight="1">
      <c r="AA771" s="144"/>
      <c r="AB771" s="145"/>
    </row>
    <row r="772" ht="14.25" customHeight="1">
      <c r="AA772" s="144"/>
      <c r="AB772" s="145"/>
    </row>
    <row r="773" ht="14.25" customHeight="1">
      <c r="AA773" s="144"/>
      <c r="AB773" s="145"/>
    </row>
    <row r="774" ht="14.25" customHeight="1">
      <c r="AA774" s="144"/>
      <c r="AB774" s="145"/>
    </row>
    <row r="775" ht="14.25" customHeight="1">
      <c r="AA775" s="144"/>
      <c r="AB775" s="145"/>
    </row>
    <row r="776" ht="14.25" customHeight="1">
      <c r="AA776" s="144"/>
      <c r="AB776" s="145"/>
    </row>
    <row r="777" ht="14.25" customHeight="1">
      <c r="AA777" s="144"/>
      <c r="AB777" s="145"/>
    </row>
    <row r="778" ht="14.25" customHeight="1">
      <c r="AA778" s="144"/>
      <c r="AB778" s="145"/>
    </row>
    <row r="779" ht="14.25" customHeight="1">
      <c r="AA779" s="144"/>
      <c r="AB779" s="145"/>
    </row>
    <row r="780" ht="14.25" customHeight="1">
      <c r="AA780" s="144"/>
      <c r="AB780" s="145"/>
    </row>
    <row r="781" ht="14.25" customHeight="1">
      <c r="AA781" s="144"/>
      <c r="AB781" s="145"/>
    </row>
    <row r="782" ht="14.25" customHeight="1">
      <c r="AA782" s="144"/>
      <c r="AB782" s="145"/>
    </row>
    <row r="783" ht="14.25" customHeight="1">
      <c r="AA783" s="144"/>
      <c r="AB783" s="145"/>
    </row>
    <row r="784" ht="14.25" customHeight="1">
      <c r="AA784" s="144"/>
      <c r="AB784" s="145"/>
    </row>
    <row r="785" ht="14.25" customHeight="1">
      <c r="AA785" s="144"/>
      <c r="AB785" s="145"/>
    </row>
    <row r="786" ht="14.25" customHeight="1">
      <c r="AA786" s="144"/>
      <c r="AB786" s="145"/>
    </row>
    <row r="787" ht="14.25" customHeight="1">
      <c r="AA787" s="144"/>
      <c r="AB787" s="145"/>
    </row>
    <row r="788" ht="14.25" customHeight="1">
      <c r="AA788" s="144"/>
      <c r="AB788" s="145"/>
    </row>
    <row r="789" ht="14.25" customHeight="1">
      <c r="AA789" s="144"/>
      <c r="AB789" s="145"/>
    </row>
    <row r="790" ht="14.25" customHeight="1">
      <c r="AA790" s="144"/>
      <c r="AB790" s="145"/>
    </row>
    <row r="791" ht="14.25" customHeight="1">
      <c r="AA791" s="144"/>
      <c r="AB791" s="145"/>
    </row>
    <row r="792" ht="14.25" customHeight="1">
      <c r="AA792" s="144"/>
      <c r="AB792" s="145"/>
    </row>
    <row r="793" ht="14.25" customHeight="1">
      <c r="AA793" s="144"/>
      <c r="AB793" s="145"/>
    </row>
    <row r="794" ht="14.25" customHeight="1">
      <c r="AA794" s="144"/>
      <c r="AB794" s="145"/>
    </row>
    <row r="795" ht="14.25" customHeight="1">
      <c r="AA795" s="144"/>
      <c r="AB795" s="145"/>
    </row>
    <row r="796" ht="14.25" customHeight="1">
      <c r="AA796" s="144"/>
      <c r="AB796" s="145"/>
    </row>
    <row r="797" ht="14.25" customHeight="1">
      <c r="AA797" s="144"/>
      <c r="AB797" s="145"/>
    </row>
    <row r="798" ht="14.25" customHeight="1">
      <c r="AA798" s="144"/>
      <c r="AB798" s="145"/>
    </row>
    <row r="799" ht="14.25" customHeight="1">
      <c r="AA799" s="144"/>
      <c r="AB799" s="145"/>
    </row>
    <row r="800" ht="14.25" customHeight="1">
      <c r="AA800" s="144"/>
      <c r="AB800" s="145"/>
    </row>
    <row r="801" ht="14.25" customHeight="1">
      <c r="AA801" s="144"/>
      <c r="AB801" s="145"/>
    </row>
    <row r="802" ht="14.25" customHeight="1">
      <c r="AA802" s="144"/>
      <c r="AB802" s="145"/>
    </row>
    <row r="803" ht="14.25" customHeight="1">
      <c r="AA803" s="144"/>
      <c r="AB803" s="145"/>
    </row>
    <row r="804" ht="14.25" customHeight="1">
      <c r="AA804" s="144"/>
      <c r="AB804" s="145"/>
    </row>
    <row r="805" ht="14.25" customHeight="1">
      <c r="AA805" s="144"/>
      <c r="AB805" s="145"/>
    </row>
    <row r="806" ht="14.25" customHeight="1">
      <c r="AA806" s="144"/>
      <c r="AB806" s="145"/>
    </row>
    <row r="807" ht="14.25" customHeight="1">
      <c r="AA807" s="144"/>
      <c r="AB807" s="145"/>
    </row>
    <row r="808" ht="14.25" customHeight="1">
      <c r="AA808" s="144"/>
      <c r="AB808" s="145"/>
    </row>
    <row r="809" ht="14.25" customHeight="1">
      <c r="AA809" s="144"/>
      <c r="AB809" s="145"/>
    </row>
    <row r="810" ht="14.25" customHeight="1">
      <c r="AA810" s="144"/>
      <c r="AB810" s="145"/>
    </row>
    <row r="811" ht="14.25" customHeight="1">
      <c r="AA811" s="144"/>
      <c r="AB811" s="145"/>
    </row>
    <row r="812" ht="14.25" customHeight="1">
      <c r="AA812" s="144"/>
      <c r="AB812" s="145"/>
    </row>
    <row r="813" ht="14.25" customHeight="1">
      <c r="AA813" s="144"/>
      <c r="AB813" s="145"/>
    </row>
    <row r="814" ht="14.25" customHeight="1">
      <c r="AA814" s="144"/>
      <c r="AB814" s="145"/>
    </row>
    <row r="815" ht="14.25" customHeight="1">
      <c r="AA815" s="144"/>
      <c r="AB815" s="145"/>
    </row>
    <row r="816" ht="14.25" customHeight="1">
      <c r="AA816" s="144"/>
      <c r="AB816" s="145"/>
    </row>
    <row r="817" ht="14.25" customHeight="1">
      <c r="AA817" s="144"/>
      <c r="AB817" s="145"/>
    </row>
    <row r="818" ht="14.25" customHeight="1">
      <c r="AA818" s="144"/>
      <c r="AB818" s="145"/>
    </row>
    <row r="819" ht="14.25" customHeight="1">
      <c r="AA819" s="144"/>
      <c r="AB819" s="145"/>
    </row>
    <row r="820" ht="14.25" customHeight="1">
      <c r="AA820" s="144"/>
      <c r="AB820" s="145"/>
    </row>
    <row r="821" ht="14.25" customHeight="1">
      <c r="AA821" s="144"/>
      <c r="AB821" s="145"/>
    </row>
    <row r="822" ht="14.25" customHeight="1">
      <c r="AA822" s="144"/>
      <c r="AB822" s="145"/>
    </row>
    <row r="823" ht="14.25" customHeight="1">
      <c r="AA823" s="144"/>
      <c r="AB823" s="145"/>
    </row>
    <row r="824" ht="14.25" customHeight="1">
      <c r="AA824" s="144"/>
      <c r="AB824" s="145"/>
    </row>
    <row r="825" ht="14.25" customHeight="1">
      <c r="AA825" s="144"/>
      <c r="AB825" s="145"/>
    </row>
    <row r="826" ht="14.25" customHeight="1">
      <c r="AA826" s="144"/>
      <c r="AB826" s="145"/>
    </row>
    <row r="827" ht="14.25" customHeight="1">
      <c r="AA827" s="144"/>
      <c r="AB827" s="145"/>
    </row>
    <row r="828" ht="14.25" customHeight="1">
      <c r="AA828" s="144"/>
      <c r="AB828" s="145"/>
    </row>
    <row r="829" ht="14.25" customHeight="1">
      <c r="AA829" s="144"/>
      <c r="AB829" s="145"/>
    </row>
    <row r="830" ht="14.25" customHeight="1">
      <c r="AA830" s="144"/>
      <c r="AB830" s="145"/>
    </row>
    <row r="831" ht="14.25" customHeight="1">
      <c r="AA831" s="144"/>
      <c r="AB831" s="145"/>
    </row>
    <row r="832" ht="14.25" customHeight="1">
      <c r="AA832" s="144"/>
      <c r="AB832" s="145"/>
    </row>
    <row r="833" ht="14.25" customHeight="1">
      <c r="AA833" s="144"/>
      <c r="AB833" s="145"/>
    </row>
    <row r="834" ht="14.25" customHeight="1">
      <c r="AA834" s="144"/>
      <c r="AB834" s="145"/>
    </row>
    <row r="835" ht="14.25" customHeight="1">
      <c r="AA835" s="144"/>
      <c r="AB835" s="145"/>
    </row>
    <row r="836" ht="14.25" customHeight="1">
      <c r="AA836" s="144"/>
      <c r="AB836" s="145"/>
    </row>
    <row r="837" ht="14.25" customHeight="1">
      <c r="AA837" s="144"/>
      <c r="AB837" s="145"/>
    </row>
    <row r="838" ht="14.25" customHeight="1">
      <c r="AA838" s="144"/>
      <c r="AB838" s="145"/>
    </row>
    <row r="839" ht="14.25" customHeight="1">
      <c r="AA839" s="144"/>
      <c r="AB839" s="145"/>
    </row>
    <row r="840" ht="14.25" customHeight="1">
      <c r="AA840" s="144"/>
      <c r="AB840" s="145"/>
    </row>
    <row r="841" ht="14.25" customHeight="1">
      <c r="AA841" s="144"/>
      <c r="AB841" s="145"/>
    </row>
    <row r="842" ht="14.25" customHeight="1">
      <c r="AA842" s="144"/>
      <c r="AB842" s="145"/>
    </row>
    <row r="843" ht="14.25" customHeight="1">
      <c r="AA843" s="144"/>
      <c r="AB843" s="145"/>
    </row>
    <row r="844" ht="14.25" customHeight="1">
      <c r="AA844" s="144"/>
      <c r="AB844" s="145"/>
    </row>
    <row r="845" ht="14.25" customHeight="1">
      <c r="AA845" s="144"/>
      <c r="AB845" s="145"/>
    </row>
    <row r="846" ht="14.25" customHeight="1">
      <c r="AA846" s="144"/>
      <c r="AB846" s="145"/>
    </row>
    <row r="847" ht="14.25" customHeight="1">
      <c r="AA847" s="144"/>
      <c r="AB847" s="145"/>
    </row>
    <row r="848" ht="14.25" customHeight="1">
      <c r="AA848" s="144"/>
      <c r="AB848" s="145"/>
    </row>
    <row r="849" ht="14.25" customHeight="1">
      <c r="AA849" s="144"/>
      <c r="AB849" s="145"/>
    </row>
    <row r="850" ht="14.25" customHeight="1">
      <c r="AA850" s="144"/>
      <c r="AB850" s="145"/>
    </row>
    <row r="851" ht="14.25" customHeight="1">
      <c r="AA851" s="144"/>
      <c r="AB851" s="145"/>
    </row>
    <row r="852" ht="14.25" customHeight="1">
      <c r="AA852" s="144"/>
      <c r="AB852" s="145"/>
    </row>
    <row r="853" ht="14.25" customHeight="1">
      <c r="AA853" s="144"/>
      <c r="AB853" s="145"/>
    </row>
    <row r="854" ht="14.25" customHeight="1">
      <c r="AA854" s="144"/>
      <c r="AB854" s="145"/>
    </row>
    <row r="855" ht="14.25" customHeight="1">
      <c r="AA855" s="144"/>
      <c r="AB855" s="145"/>
    </row>
    <row r="856" ht="14.25" customHeight="1">
      <c r="AA856" s="144"/>
      <c r="AB856" s="145"/>
    </row>
    <row r="857" ht="14.25" customHeight="1">
      <c r="AA857" s="144"/>
      <c r="AB857" s="145"/>
    </row>
    <row r="858" ht="14.25" customHeight="1">
      <c r="AA858" s="144"/>
      <c r="AB858" s="145"/>
    </row>
    <row r="859" ht="14.25" customHeight="1">
      <c r="AA859" s="144"/>
      <c r="AB859" s="145"/>
    </row>
    <row r="860" ht="14.25" customHeight="1">
      <c r="AA860" s="144"/>
      <c r="AB860" s="145"/>
    </row>
    <row r="861" ht="14.25" customHeight="1">
      <c r="AA861" s="144"/>
      <c r="AB861" s="145"/>
    </row>
    <row r="862" ht="14.25" customHeight="1">
      <c r="AA862" s="144"/>
      <c r="AB862" s="145"/>
    </row>
    <row r="863" ht="14.25" customHeight="1">
      <c r="AA863" s="144"/>
      <c r="AB863" s="145"/>
    </row>
    <row r="864" ht="14.25" customHeight="1">
      <c r="AA864" s="144"/>
      <c r="AB864" s="145"/>
    </row>
    <row r="865" ht="14.25" customHeight="1">
      <c r="AA865" s="144"/>
      <c r="AB865" s="145"/>
    </row>
    <row r="866" ht="14.25" customHeight="1">
      <c r="AA866" s="144"/>
      <c r="AB866" s="145"/>
    </row>
    <row r="867" ht="14.25" customHeight="1">
      <c r="AA867" s="144"/>
      <c r="AB867" s="145"/>
    </row>
    <row r="868" ht="14.25" customHeight="1">
      <c r="AA868" s="144"/>
      <c r="AB868" s="145"/>
    </row>
    <row r="869" ht="14.25" customHeight="1">
      <c r="AA869" s="144"/>
      <c r="AB869" s="145"/>
    </row>
    <row r="870" ht="14.25" customHeight="1">
      <c r="AA870" s="144"/>
      <c r="AB870" s="145"/>
    </row>
    <row r="871" ht="14.25" customHeight="1">
      <c r="AA871" s="144"/>
      <c r="AB871" s="145"/>
    </row>
    <row r="872" ht="14.25" customHeight="1">
      <c r="AA872" s="144"/>
      <c r="AB872" s="145"/>
    </row>
    <row r="873" ht="14.25" customHeight="1">
      <c r="AA873" s="144"/>
      <c r="AB873" s="145"/>
    </row>
    <row r="874" ht="14.25" customHeight="1">
      <c r="AA874" s="144"/>
      <c r="AB874" s="145"/>
    </row>
    <row r="875" ht="14.25" customHeight="1">
      <c r="AA875" s="144"/>
      <c r="AB875" s="145"/>
    </row>
    <row r="876" ht="14.25" customHeight="1">
      <c r="AA876" s="144"/>
      <c r="AB876" s="145"/>
    </row>
    <row r="877" ht="14.25" customHeight="1">
      <c r="AA877" s="144"/>
      <c r="AB877" s="145"/>
    </row>
    <row r="878" ht="14.25" customHeight="1">
      <c r="AA878" s="144"/>
      <c r="AB878" s="145"/>
    </row>
    <row r="879" ht="14.25" customHeight="1">
      <c r="AA879" s="144"/>
      <c r="AB879" s="145"/>
    </row>
    <row r="880" ht="14.25" customHeight="1">
      <c r="AA880" s="144"/>
      <c r="AB880" s="145"/>
    </row>
    <row r="881" ht="14.25" customHeight="1">
      <c r="AA881" s="144"/>
      <c r="AB881" s="145"/>
    </row>
    <row r="882" ht="14.25" customHeight="1">
      <c r="AA882" s="144"/>
      <c r="AB882" s="145"/>
    </row>
    <row r="883" ht="14.25" customHeight="1">
      <c r="AA883" s="144"/>
      <c r="AB883" s="145"/>
    </row>
    <row r="884" ht="14.25" customHeight="1">
      <c r="AA884" s="144"/>
      <c r="AB884" s="145"/>
    </row>
    <row r="885" ht="14.25" customHeight="1">
      <c r="AA885" s="144"/>
      <c r="AB885" s="145"/>
    </row>
    <row r="886" ht="14.25" customHeight="1">
      <c r="AA886" s="144"/>
      <c r="AB886" s="145"/>
    </row>
    <row r="887" ht="14.25" customHeight="1">
      <c r="AA887" s="144"/>
      <c r="AB887" s="145"/>
    </row>
    <row r="888" ht="14.25" customHeight="1">
      <c r="AA888" s="144"/>
      <c r="AB888" s="145"/>
    </row>
    <row r="889" ht="14.25" customHeight="1">
      <c r="AA889" s="144"/>
      <c r="AB889" s="145"/>
    </row>
    <row r="890" ht="14.25" customHeight="1">
      <c r="AA890" s="144"/>
      <c r="AB890" s="145"/>
    </row>
    <row r="891" ht="14.25" customHeight="1">
      <c r="AA891" s="144"/>
      <c r="AB891" s="145"/>
    </row>
    <row r="892" ht="14.25" customHeight="1">
      <c r="AA892" s="144"/>
      <c r="AB892" s="145"/>
    </row>
    <row r="893" ht="14.25" customHeight="1">
      <c r="AA893" s="144"/>
      <c r="AB893" s="145"/>
    </row>
    <row r="894" ht="14.25" customHeight="1">
      <c r="AA894" s="144"/>
      <c r="AB894" s="145"/>
    </row>
    <row r="895" ht="14.25" customHeight="1">
      <c r="AA895" s="144"/>
      <c r="AB895" s="145"/>
    </row>
    <row r="896" ht="14.25" customHeight="1">
      <c r="AA896" s="144"/>
      <c r="AB896" s="145"/>
    </row>
    <row r="897" ht="14.25" customHeight="1">
      <c r="AA897" s="144"/>
      <c r="AB897" s="145"/>
    </row>
    <row r="898" ht="14.25" customHeight="1">
      <c r="AA898" s="144"/>
      <c r="AB898" s="145"/>
    </row>
    <row r="899" ht="14.25" customHeight="1">
      <c r="AA899" s="144"/>
      <c r="AB899" s="145"/>
    </row>
    <row r="900" ht="14.25" customHeight="1">
      <c r="AA900" s="144"/>
      <c r="AB900" s="145"/>
    </row>
    <row r="901" ht="14.25" customHeight="1">
      <c r="AA901" s="144"/>
      <c r="AB901" s="145"/>
    </row>
    <row r="902" ht="14.25" customHeight="1">
      <c r="AA902" s="144"/>
      <c r="AB902" s="145"/>
    </row>
    <row r="903" ht="14.25" customHeight="1">
      <c r="AA903" s="144"/>
      <c r="AB903" s="145"/>
    </row>
    <row r="904" ht="14.25" customHeight="1">
      <c r="AA904" s="144"/>
      <c r="AB904" s="145"/>
    </row>
    <row r="905" ht="14.25" customHeight="1">
      <c r="AA905" s="144"/>
      <c r="AB905" s="145"/>
    </row>
    <row r="906" ht="14.25" customHeight="1">
      <c r="AA906" s="144"/>
      <c r="AB906" s="145"/>
    </row>
    <row r="907" ht="14.25" customHeight="1">
      <c r="AA907" s="144"/>
      <c r="AB907" s="145"/>
    </row>
    <row r="908" ht="14.25" customHeight="1">
      <c r="AA908" s="144"/>
      <c r="AB908" s="145"/>
    </row>
    <row r="909" ht="14.25" customHeight="1">
      <c r="AA909" s="144"/>
      <c r="AB909" s="145"/>
    </row>
    <row r="910" ht="14.25" customHeight="1">
      <c r="AA910" s="144"/>
      <c r="AB910" s="145"/>
    </row>
    <row r="911" ht="14.25" customHeight="1">
      <c r="AA911" s="144"/>
      <c r="AB911" s="145"/>
    </row>
    <row r="912" ht="14.25" customHeight="1">
      <c r="AA912" s="144"/>
      <c r="AB912" s="145"/>
    </row>
    <row r="913" ht="14.25" customHeight="1">
      <c r="AA913" s="144"/>
      <c r="AB913" s="145"/>
    </row>
    <row r="914" ht="14.25" customHeight="1">
      <c r="AA914" s="144"/>
      <c r="AB914" s="145"/>
    </row>
    <row r="915" ht="14.25" customHeight="1">
      <c r="AA915" s="144"/>
      <c r="AB915" s="145"/>
    </row>
    <row r="916" ht="14.25" customHeight="1">
      <c r="AA916" s="144"/>
      <c r="AB916" s="145"/>
    </row>
    <row r="917" ht="14.25" customHeight="1">
      <c r="AA917" s="144"/>
      <c r="AB917" s="145"/>
    </row>
    <row r="918" ht="14.25" customHeight="1">
      <c r="AA918" s="144"/>
      <c r="AB918" s="145"/>
    </row>
    <row r="919" ht="14.25" customHeight="1">
      <c r="AA919" s="144"/>
      <c r="AB919" s="145"/>
    </row>
    <row r="920" ht="14.25" customHeight="1">
      <c r="AA920" s="144"/>
      <c r="AB920" s="145"/>
    </row>
    <row r="921" ht="14.25" customHeight="1">
      <c r="AA921" s="144"/>
      <c r="AB921" s="145"/>
    </row>
    <row r="922" ht="14.25" customHeight="1">
      <c r="AA922" s="144"/>
      <c r="AB922" s="145"/>
    </row>
    <row r="923" ht="14.25" customHeight="1">
      <c r="AA923" s="144"/>
      <c r="AB923" s="145"/>
    </row>
    <row r="924" ht="14.25" customHeight="1">
      <c r="AA924" s="144"/>
      <c r="AB924" s="145"/>
    </row>
    <row r="925" ht="14.25" customHeight="1">
      <c r="AA925" s="144"/>
      <c r="AB925" s="145"/>
    </row>
    <row r="926" ht="14.25" customHeight="1">
      <c r="AA926" s="144"/>
      <c r="AB926" s="145"/>
    </row>
    <row r="927" ht="14.25" customHeight="1">
      <c r="AA927" s="144"/>
      <c r="AB927" s="145"/>
    </row>
    <row r="928" ht="14.25" customHeight="1">
      <c r="AA928" s="144"/>
      <c r="AB928" s="145"/>
    </row>
    <row r="929" ht="14.25" customHeight="1">
      <c r="AA929" s="144"/>
      <c r="AB929" s="145"/>
    </row>
    <row r="930" ht="14.25" customHeight="1">
      <c r="AA930" s="144"/>
      <c r="AB930" s="145"/>
    </row>
    <row r="931" ht="14.25" customHeight="1">
      <c r="AA931" s="144"/>
      <c r="AB931" s="145"/>
    </row>
    <row r="932" ht="14.25" customHeight="1">
      <c r="AA932" s="144"/>
      <c r="AB932" s="145"/>
    </row>
    <row r="933" ht="14.25" customHeight="1">
      <c r="AA933" s="144"/>
      <c r="AB933" s="145"/>
    </row>
    <row r="934" ht="14.25" customHeight="1">
      <c r="AA934" s="144"/>
      <c r="AB934" s="145"/>
    </row>
    <row r="935" ht="14.25" customHeight="1">
      <c r="AA935" s="144"/>
      <c r="AB935" s="145"/>
    </row>
    <row r="936" ht="14.25" customHeight="1">
      <c r="AA936" s="144"/>
      <c r="AB936" s="145"/>
    </row>
    <row r="937" ht="14.25" customHeight="1">
      <c r="AA937" s="144"/>
      <c r="AB937" s="145"/>
    </row>
    <row r="938" ht="14.25" customHeight="1">
      <c r="AA938" s="144"/>
      <c r="AB938" s="145"/>
    </row>
    <row r="939" ht="14.25" customHeight="1">
      <c r="AA939" s="144"/>
      <c r="AB939" s="145"/>
    </row>
    <row r="940" ht="14.25" customHeight="1">
      <c r="AA940" s="144"/>
      <c r="AB940" s="145"/>
    </row>
    <row r="941" ht="14.25" customHeight="1">
      <c r="AA941" s="144"/>
      <c r="AB941" s="145"/>
    </row>
    <row r="942" ht="14.25" customHeight="1">
      <c r="AA942" s="144"/>
      <c r="AB942" s="145"/>
    </row>
    <row r="943" ht="14.25" customHeight="1">
      <c r="AA943" s="144"/>
      <c r="AB943" s="145"/>
    </row>
    <row r="944" ht="14.25" customHeight="1">
      <c r="AA944" s="144"/>
      <c r="AB944" s="145"/>
    </row>
    <row r="945" ht="14.25" customHeight="1">
      <c r="AA945" s="144"/>
      <c r="AB945" s="145"/>
    </row>
    <row r="946" ht="14.25" customHeight="1">
      <c r="AA946" s="144"/>
      <c r="AB946" s="145"/>
    </row>
    <row r="947" ht="14.25" customHeight="1">
      <c r="AA947" s="144"/>
      <c r="AB947" s="145"/>
    </row>
    <row r="948" ht="14.25" customHeight="1">
      <c r="AA948" s="144"/>
      <c r="AB948" s="145"/>
    </row>
    <row r="949" ht="14.25" customHeight="1">
      <c r="AA949" s="144"/>
      <c r="AB949" s="145"/>
    </row>
    <row r="950" ht="14.25" customHeight="1">
      <c r="AA950" s="144"/>
      <c r="AB950" s="145"/>
    </row>
    <row r="951" ht="14.25" customHeight="1">
      <c r="AA951" s="144"/>
      <c r="AB951" s="145"/>
    </row>
  </sheetData>
  <autoFilter ref="$AB$1:$AB$951"/>
  <dataValidations>
    <dataValidation type="decimal" allowBlank="1" showInputMessage="1" showErrorMessage="1" prompt="입력 범위 오류 - 1~3 사이의 정수만 입력하세요." sqref="T3 T9 T11:T15 T23 T27 T31 T34 T38:T42">
      <formula1>1.0</formula1>
      <formula2>3.0</formula2>
    </dataValidation>
    <dataValidation type="decimal" allowBlank="1" showInputMessage="1" showErrorMessage="1" prompt="입력 범위 오류 - 1~5 사이의 정수만 입력하세요." sqref="T2 T4:T8 T10 T17 T20:T22 T24:T26 T28:T29 T32:T33 T36">
      <formula1>1.0</formula1>
      <formula2>5.0</formula2>
    </dataValidation>
    <dataValidation type="decimal" allowBlank="1" showInputMessage="1" showErrorMessage="1" prompt="입력 오류 - 0(해당없음) 또는 1(해당)만 입력하세요." sqref="U16:W16 U35:W35 U37:W37 U43:W43">
      <formula1>0.0</formula1>
      <formula2>1.0</formula2>
    </dataValidation>
  </dataValidations>
  <hyperlinks>
    <hyperlink r:id="rId2" ref="AA2"/>
    <hyperlink r:id="rId3" ref="AA7"/>
    <hyperlink r:id="rId4" ref="AA9"/>
    <hyperlink r:id="rId5" ref="AA10"/>
    <hyperlink r:id="rId6" ref="AA11"/>
    <hyperlink r:id="rId7" ref="AA12"/>
    <hyperlink r:id="rId8" ref="AA13"/>
    <hyperlink r:id="rId9" ref="AA14"/>
    <hyperlink r:id="rId10" ref="AA15"/>
  </hyperlinks>
  <printOptions/>
  <pageMargins bottom="1.0" footer="0.0" header="0.0" left="0.75" right="0.75" top="1.0"/>
  <pageSetup paperSize="9" orientation="portrait"/>
  <drawing r:id="rId11"/>
  <legacy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A6A6"/>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8.0"/>
    <col customWidth="1" min="3" max="3" width="9.0"/>
    <col customWidth="1" min="4" max="4" width="10.0"/>
    <col customWidth="1" min="5" max="5" width="8.0"/>
    <col customWidth="1" min="6" max="6" width="80.0"/>
    <col customWidth="1" min="7" max="26" width="8.71"/>
  </cols>
  <sheetData>
    <row r="1" ht="21.75" customHeight="1">
      <c r="A1" s="7" t="s">
        <v>8</v>
      </c>
      <c r="B1" s="7" t="s">
        <v>10</v>
      </c>
      <c r="C1" s="7" t="s">
        <v>11</v>
      </c>
      <c r="D1" s="7" t="s">
        <v>12</v>
      </c>
      <c r="E1" s="7" t="s">
        <v>13</v>
      </c>
      <c r="F1" s="7" t="s">
        <v>14</v>
      </c>
    </row>
    <row r="2" ht="15.0" customHeight="1">
      <c r="A2" s="9" t="s">
        <v>15</v>
      </c>
      <c r="B2" s="9" t="s">
        <v>19</v>
      </c>
      <c r="C2" s="11">
        <v>1.0</v>
      </c>
      <c r="D2" s="9" t="s">
        <v>32</v>
      </c>
      <c r="E2" s="11">
        <v>0.0</v>
      </c>
      <c r="F2" s="12" t="s">
        <v>36</v>
      </c>
    </row>
    <row r="3" ht="29.25" customHeight="1">
      <c r="A3" s="14" t="s">
        <v>15</v>
      </c>
      <c r="B3" s="14" t="s">
        <v>19</v>
      </c>
      <c r="C3" s="15">
        <v>2.0</v>
      </c>
      <c r="D3" s="14" t="s">
        <v>54</v>
      </c>
      <c r="E3" s="15">
        <v>25.0</v>
      </c>
      <c r="F3" s="22" t="s">
        <v>57</v>
      </c>
    </row>
    <row r="4" ht="29.25" customHeight="1">
      <c r="A4" s="9" t="s">
        <v>15</v>
      </c>
      <c r="B4" s="9" t="s">
        <v>19</v>
      </c>
      <c r="C4" s="11">
        <v>3.0</v>
      </c>
      <c r="D4" s="9" t="s">
        <v>82</v>
      </c>
      <c r="E4" s="11">
        <v>50.0</v>
      </c>
      <c r="F4" s="12" t="s">
        <v>83</v>
      </c>
    </row>
    <row r="5" ht="29.25" customHeight="1">
      <c r="A5" s="14" t="s">
        <v>15</v>
      </c>
      <c r="B5" s="14" t="s">
        <v>19</v>
      </c>
      <c r="C5" s="15">
        <v>4.0</v>
      </c>
      <c r="D5" s="14" t="s">
        <v>85</v>
      </c>
      <c r="E5" s="15">
        <v>75.0</v>
      </c>
      <c r="F5" s="14" t="s">
        <v>87</v>
      </c>
    </row>
    <row r="6" ht="29.25" customHeight="1">
      <c r="A6" s="9" t="s">
        <v>15</v>
      </c>
      <c r="B6" s="9" t="s">
        <v>19</v>
      </c>
      <c r="C6" s="11">
        <v>5.0</v>
      </c>
      <c r="D6" s="9" t="s">
        <v>90</v>
      </c>
      <c r="E6" s="11">
        <v>100.0</v>
      </c>
      <c r="F6" s="9" t="s">
        <v>91</v>
      </c>
    </row>
    <row r="7" ht="15.0" customHeight="1">
      <c r="A7" s="14" t="s">
        <v>92</v>
      </c>
      <c r="B7" s="14" t="s">
        <v>93</v>
      </c>
      <c r="C7" s="15">
        <v>1.0</v>
      </c>
      <c r="D7" s="14" t="s">
        <v>32</v>
      </c>
      <c r="E7" s="15">
        <v>0.0</v>
      </c>
      <c r="F7" s="14" t="s">
        <v>94</v>
      </c>
    </row>
    <row r="8" ht="15.0" customHeight="1">
      <c r="A8" s="9" t="s">
        <v>92</v>
      </c>
      <c r="B8" s="9" t="s">
        <v>93</v>
      </c>
      <c r="C8" s="11">
        <v>2.0</v>
      </c>
      <c r="D8" s="9" t="s">
        <v>54</v>
      </c>
      <c r="E8" s="11">
        <v>50.0</v>
      </c>
      <c r="F8" s="9" t="s">
        <v>95</v>
      </c>
    </row>
    <row r="9" ht="15.0" customHeight="1">
      <c r="A9" s="14" t="s">
        <v>92</v>
      </c>
      <c r="B9" s="14" t="s">
        <v>93</v>
      </c>
      <c r="C9" s="15">
        <v>3.0</v>
      </c>
      <c r="D9" s="14" t="s">
        <v>82</v>
      </c>
      <c r="E9" s="15">
        <v>100.0</v>
      </c>
      <c r="F9" s="14" t="s">
        <v>96</v>
      </c>
    </row>
    <row r="10" ht="15.0" customHeight="1">
      <c r="A10" s="9" t="s">
        <v>97</v>
      </c>
      <c r="B10" s="9" t="s">
        <v>98</v>
      </c>
      <c r="C10" s="11">
        <v>1.0</v>
      </c>
      <c r="D10" s="9" t="s">
        <v>32</v>
      </c>
      <c r="E10" s="11">
        <v>0.0</v>
      </c>
      <c r="F10" s="9" t="s">
        <v>99</v>
      </c>
    </row>
    <row r="11" ht="29.25" customHeight="1">
      <c r="A11" s="14" t="s">
        <v>97</v>
      </c>
      <c r="B11" s="14" t="s">
        <v>98</v>
      </c>
      <c r="C11" s="15">
        <v>2.0</v>
      </c>
      <c r="D11" s="14" t="s">
        <v>54</v>
      </c>
      <c r="E11" s="15">
        <v>25.0</v>
      </c>
      <c r="F11" s="22" t="s">
        <v>102</v>
      </c>
    </row>
    <row r="12" ht="29.25" customHeight="1">
      <c r="A12" s="9" t="s">
        <v>97</v>
      </c>
      <c r="B12" s="9" t="s">
        <v>98</v>
      </c>
      <c r="C12" s="11">
        <v>3.0</v>
      </c>
      <c r="D12" s="9" t="s">
        <v>82</v>
      </c>
      <c r="E12" s="11">
        <v>50.0</v>
      </c>
      <c r="F12" s="12" t="s">
        <v>106</v>
      </c>
    </row>
    <row r="13" ht="29.25" customHeight="1">
      <c r="A13" s="14" t="s">
        <v>97</v>
      </c>
      <c r="B13" s="14" t="s">
        <v>98</v>
      </c>
      <c r="C13" s="15">
        <v>4.0</v>
      </c>
      <c r="D13" s="14" t="s">
        <v>85</v>
      </c>
      <c r="E13" s="15">
        <v>75.0</v>
      </c>
      <c r="F13" s="22" t="s">
        <v>108</v>
      </c>
    </row>
    <row r="14" ht="29.25" customHeight="1">
      <c r="A14" s="9" t="s">
        <v>97</v>
      </c>
      <c r="B14" s="9" t="s">
        <v>98</v>
      </c>
      <c r="C14" s="11">
        <v>5.0</v>
      </c>
      <c r="D14" s="9" t="s">
        <v>90</v>
      </c>
      <c r="E14" s="11">
        <v>100.0</v>
      </c>
      <c r="F14" s="12" t="s">
        <v>111</v>
      </c>
    </row>
    <row r="15" ht="15.0" customHeight="1">
      <c r="A15" s="14" t="s">
        <v>112</v>
      </c>
      <c r="B15" s="14" t="s">
        <v>114</v>
      </c>
      <c r="C15" s="15">
        <v>1.0</v>
      </c>
      <c r="D15" s="14" t="s">
        <v>32</v>
      </c>
      <c r="E15" s="15">
        <v>0.0</v>
      </c>
      <c r="F15" s="22" t="s">
        <v>115</v>
      </c>
    </row>
    <row r="16" ht="15.0" customHeight="1">
      <c r="A16" s="9" t="s">
        <v>112</v>
      </c>
      <c r="B16" s="9" t="s">
        <v>114</v>
      </c>
      <c r="C16" s="11">
        <v>2.0</v>
      </c>
      <c r="D16" s="9" t="s">
        <v>54</v>
      </c>
      <c r="E16" s="11">
        <v>25.0</v>
      </c>
      <c r="F16" s="12" t="s">
        <v>116</v>
      </c>
    </row>
    <row r="17" ht="29.25" customHeight="1">
      <c r="A17" s="14" t="s">
        <v>112</v>
      </c>
      <c r="B17" s="14" t="s">
        <v>114</v>
      </c>
      <c r="C17" s="15">
        <v>3.0</v>
      </c>
      <c r="D17" s="14" t="s">
        <v>82</v>
      </c>
      <c r="E17" s="15">
        <v>50.0</v>
      </c>
      <c r="F17" s="14" t="s">
        <v>117</v>
      </c>
    </row>
    <row r="18" ht="29.25" customHeight="1">
      <c r="A18" s="9" t="s">
        <v>112</v>
      </c>
      <c r="B18" s="9" t="s">
        <v>114</v>
      </c>
      <c r="C18" s="11">
        <v>4.0</v>
      </c>
      <c r="D18" s="9" t="s">
        <v>85</v>
      </c>
      <c r="E18" s="11">
        <v>75.0</v>
      </c>
      <c r="F18" s="9" t="s">
        <v>118</v>
      </c>
    </row>
    <row r="19" ht="29.25" customHeight="1">
      <c r="A19" s="14" t="s">
        <v>112</v>
      </c>
      <c r="B19" s="14" t="s">
        <v>114</v>
      </c>
      <c r="C19" s="15">
        <v>5.0</v>
      </c>
      <c r="D19" s="14" t="s">
        <v>90</v>
      </c>
      <c r="E19" s="15">
        <v>100.0</v>
      </c>
      <c r="F19" s="14" t="s">
        <v>119</v>
      </c>
    </row>
    <row r="20" ht="29.25" customHeight="1">
      <c r="A20" s="9" t="s">
        <v>120</v>
      </c>
      <c r="B20" s="9" t="s">
        <v>121</v>
      </c>
      <c r="C20" s="11">
        <v>1.0</v>
      </c>
      <c r="D20" s="12" t="s">
        <v>122</v>
      </c>
      <c r="E20" s="11">
        <v>0.0</v>
      </c>
      <c r="F20" s="12" t="s">
        <v>123</v>
      </c>
    </row>
    <row r="21" ht="29.25" customHeight="1">
      <c r="A21" s="14" t="s">
        <v>120</v>
      </c>
      <c r="B21" s="14" t="s">
        <v>121</v>
      </c>
      <c r="C21" s="15">
        <v>2.0</v>
      </c>
      <c r="D21" s="22" t="s">
        <v>124</v>
      </c>
      <c r="E21" s="15">
        <v>25.0</v>
      </c>
      <c r="F21" s="22" t="s">
        <v>125</v>
      </c>
    </row>
    <row r="22" ht="29.25" customHeight="1">
      <c r="A22" s="9" t="s">
        <v>120</v>
      </c>
      <c r="B22" s="9" t="s">
        <v>121</v>
      </c>
      <c r="C22" s="11">
        <v>3.0</v>
      </c>
      <c r="D22" s="12" t="s">
        <v>126</v>
      </c>
      <c r="E22" s="11">
        <v>50.0</v>
      </c>
      <c r="F22" s="12" t="s">
        <v>127</v>
      </c>
    </row>
    <row r="23" ht="15.0" customHeight="1">
      <c r="A23" s="14" t="s">
        <v>120</v>
      </c>
      <c r="B23" s="14" t="s">
        <v>121</v>
      </c>
      <c r="C23" s="15">
        <v>4.0</v>
      </c>
      <c r="D23" s="22" t="s">
        <v>128</v>
      </c>
      <c r="E23" s="15">
        <v>75.0</v>
      </c>
      <c r="F23" s="22" t="s">
        <v>129</v>
      </c>
    </row>
    <row r="24" ht="29.25" customHeight="1">
      <c r="A24" s="9" t="s">
        <v>120</v>
      </c>
      <c r="B24" s="9" t="s">
        <v>121</v>
      </c>
      <c r="C24" s="11">
        <v>5.0</v>
      </c>
      <c r="D24" s="12" t="s">
        <v>130</v>
      </c>
      <c r="E24" s="11">
        <v>100.0</v>
      </c>
      <c r="F24" s="12" t="s">
        <v>131</v>
      </c>
    </row>
    <row r="25" ht="15.0" customHeight="1">
      <c r="A25" s="14" t="s">
        <v>132</v>
      </c>
      <c r="B25" s="22" t="s">
        <v>133</v>
      </c>
      <c r="C25" s="15">
        <v>1.0</v>
      </c>
      <c r="D25" s="14" t="s">
        <v>32</v>
      </c>
      <c r="E25" s="15">
        <v>0.0</v>
      </c>
      <c r="F25" s="22" t="s">
        <v>134</v>
      </c>
    </row>
    <row r="26" ht="15.0" customHeight="1">
      <c r="A26" s="9" t="s">
        <v>132</v>
      </c>
      <c r="B26" s="12" t="s">
        <v>133</v>
      </c>
      <c r="C26" s="11">
        <v>2.0</v>
      </c>
      <c r="D26" s="9" t="s">
        <v>54</v>
      </c>
      <c r="E26" s="11">
        <v>25.0</v>
      </c>
      <c r="F26" s="12" t="s">
        <v>135</v>
      </c>
    </row>
    <row r="27" ht="15.0" customHeight="1">
      <c r="A27" s="14" t="s">
        <v>132</v>
      </c>
      <c r="B27" s="22" t="s">
        <v>133</v>
      </c>
      <c r="C27" s="15">
        <v>3.0</v>
      </c>
      <c r="D27" s="14" t="s">
        <v>82</v>
      </c>
      <c r="E27" s="15">
        <v>50.0</v>
      </c>
      <c r="F27" s="14" t="s">
        <v>136</v>
      </c>
    </row>
    <row r="28" ht="15.0" customHeight="1">
      <c r="A28" s="9" t="s">
        <v>132</v>
      </c>
      <c r="B28" s="12" t="s">
        <v>133</v>
      </c>
      <c r="C28" s="11">
        <v>4.0</v>
      </c>
      <c r="D28" s="9" t="s">
        <v>85</v>
      </c>
      <c r="E28" s="11">
        <v>75.0</v>
      </c>
      <c r="F28" s="9" t="s">
        <v>137</v>
      </c>
    </row>
    <row r="29" ht="15.0" customHeight="1">
      <c r="A29" s="14" t="s">
        <v>132</v>
      </c>
      <c r="B29" s="22" t="s">
        <v>133</v>
      </c>
      <c r="C29" s="15">
        <v>5.0</v>
      </c>
      <c r="D29" s="14" t="s">
        <v>90</v>
      </c>
      <c r="E29" s="15">
        <v>100.0</v>
      </c>
      <c r="F29" s="14" t="s">
        <v>138</v>
      </c>
    </row>
    <row r="30" ht="29.25" customHeight="1">
      <c r="A30" s="9" t="s">
        <v>139</v>
      </c>
      <c r="B30" s="12" t="s">
        <v>140</v>
      </c>
      <c r="C30" s="11">
        <v>1.0</v>
      </c>
      <c r="D30" s="12" t="s">
        <v>122</v>
      </c>
      <c r="E30" s="11">
        <v>0.0</v>
      </c>
      <c r="F30" s="12" t="s">
        <v>141</v>
      </c>
    </row>
    <row r="31" ht="29.25" customHeight="1">
      <c r="A31" s="14" t="s">
        <v>139</v>
      </c>
      <c r="B31" s="22" t="s">
        <v>140</v>
      </c>
      <c r="C31" s="15">
        <v>2.0</v>
      </c>
      <c r="D31" s="22" t="s">
        <v>124</v>
      </c>
      <c r="E31" s="15">
        <v>25.0</v>
      </c>
      <c r="F31" s="22" t="s">
        <v>142</v>
      </c>
    </row>
    <row r="32" ht="15.0" customHeight="1">
      <c r="A32" s="9" t="s">
        <v>139</v>
      </c>
      <c r="B32" s="12" t="s">
        <v>140</v>
      </c>
      <c r="C32" s="11">
        <v>3.0</v>
      </c>
      <c r="D32" s="12" t="s">
        <v>126</v>
      </c>
      <c r="E32" s="11">
        <v>50.0</v>
      </c>
      <c r="F32" s="12" t="s">
        <v>143</v>
      </c>
    </row>
    <row r="33" ht="29.25" customHeight="1">
      <c r="A33" s="14" t="s">
        <v>139</v>
      </c>
      <c r="B33" s="22" t="s">
        <v>140</v>
      </c>
      <c r="C33" s="15">
        <v>4.0</v>
      </c>
      <c r="D33" s="22" t="s">
        <v>128</v>
      </c>
      <c r="E33" s="15">
        <v>75.0</v>
      </c>
      <c r="F33" s="22" t="s">
        <v>144</v>
      </c>
    </row>
    <row r="34" ht="29.25" customHeight="1">
      <c r="A34" s="9" t="s">
        <v>139</v>
      </c>
      <c r="B34" s="12" t="s">
        <v>140</v>
      </c>
      <c r="C34" s="11">
        <v>5.0</v>
      </c>
      <c r="D34" s="12" t="s">
        <v>130</v>
      </c>
      <c r="E34" s="11">
        <v>100.0</v>
      </c>
      <c r="F34" s="12" t="s">
        <v>145</v>
      </c>
    </row>
    <row r="35" ht="15.0" customHeight="1">
      <c r="A35" s="14" t="s">
        <v>146</v>
      </c>
      <c r="B35" s="22" t="s">
        <v>147</v>
      </c>
      <c r="C35" s="15">
        <v>1.0</v>
      </c>
      <c r="D35" s="14" t="s">
        <v>32</v>
      </c>
      <c r="E35" s="15">
        <v>0.0</v>
      </c>
      <c r="F35" s="22" t="s">
        <v>148</v>
      </c>
    </row>
    <row r="36" ht="15.0" customHeight="1">
      <c r="A36" s="9" t="s">
        <v>146</v>
      </c>
      <c r="B36" s="12" t="s">
        <v>147</v>
      </c>
      <c r="C36" s="11">
        <v>2.0</v>
      </c>
      <c r="D36" s="9" t="s">
        <v>54</v>
      </c>
      <c r="E36" s="11">
        <v>50.0</v>
      </c>
      <c r="F36" s="12" t="s">
        <v>149</v>
      </c>
    </row>
    <row r="37" ht="29.25" customHeight="1">
      <c r="A37" s="14" t="s">
        <v>146</v>
      </c>
      <c r="B37" s="22" t="s">
        <v>147</v>
      </c>
      <c r="C37" s="15">
        <v>3.0</v>
      </c>
      <c r="D37" s="14" t="s">
        <v>82</v>
      </c>
      <c r="E37" s="15">
        <v>100.0</v>
      </c>
      <c r="F37" s="22" t="s">
        <v>150</v>
      </c>
    </row>
    <row r="38" ht="15.0" customHeight="1">
      <c r="A38" s="9" t="s">
        <v>151</v>
      </c>
      <c r="B38" s="12" t="s">
        <v>152</v>
      </c>
      <c r="C38" s="11">
        <v>1.0</v>
      </c>
      <c r="D38" s="9" t="s">
        <v>32</v>
      </c>
      <c r="E38" s="11">
        <v>0.0</v>
      </c>
      <c r="F38" s="12" t="s">
        <v>153</v>
      </c>
    </row>
    <row r="39" ht="15.0" customHeight="1">
      <c r="A39" s="14" t="s">
        <v>151</v>
      </c>
      <c r="B39" s="22" t="s">
        <v>152</v>
      </c>
      <c r="C39" s="15">
        <v>2.0</v>
      </c>
      <c r="D39" s="14" t="s">
        <v>54</v>
      </c>
      <c r="E39" s="15">
        <v>50.0</v>
      </c>
      <c r="F39" s="22" t="s">
        <v>154</v>
      </c>
    </row>
    <row r="40" ht="43.5" customHeight="1">
      <c r="A40" s="9" t="s">
        <v>151</v>
      </c>
      <c r="B40" s="12" t="s">
        <v>152</v>
      </c>
      <c r="C40" s="11">
        <v>3.0</v>
      </c>
      <c r="D40" s="9" t="s">
        <v>82</v>
      </c>
      <c r="E40" s="11">
        <v>100.0</v>
      </c>
      <c r="F40" s="12" t="s">
        <v>155</v>
      </c>
    </row>
    <row r="41" ht="26.25" customHeight="1">
      <c r="A41" s="14" t="s">
        <v>157</v>
      </c>
      <c r="B41" s="22" t="s">
        <v>158</v>
      </c>
      <c r="C41" s="15">
        <v>1.0</v>
      </c>
      <c r="D41" s="14" t="s">
        <v>32</v>
      </c>
      <c r="E41" s="15">
        <v>0.0</v>
      </c>
      <c r="F41" s="22" t="s">
        <v>159</v>
      </c>
    </row>
    <row r="42" ht="26.25" customHeight="1">
      <c r="A42" s="9" t="s">
        <v>157</v>
      </c>
      <c r="B42" s="12" t="s">
        <v>158</v>
      </c>
      <c r="C42" s="11">
        <v>2.0</v>
      </c>
      <c r="D42" s="9" t="s">
        <v>54</v>
      </c>
      <c r="E42" s="11">
        <v>50.0</v>
      </c>
      <c r="F42" s="12" t="s">
        <v>161</v>
      </c>
    </row>
    <row r="43" ht="43.5" customHeight="1">
      <c r="A43" s="14" t="s">
        <v>157</v>
      </c>
      <c r="B43" s="22" t="s">
        <v>158</v>
      </c>
      <c r="C43" s="15">
        <v>3.0</v>
      </c>
      <c r="D43" s="14" t="s">
        <v>82</v>
      </c>
      <c r="E43" s="15">
        <v>100.0</v>
      </c>
      <c r="F43" s="22" t="s">
        <v>165</v>
      </c>
    </row>
    <row r="44" ht="29.25" customHeight="1">
      <c r="A44" s="9" t="s">
        <v>166</v>
      </c>
      <c r="B44" s="12" t="s">
        <v>167</v>
      </c>
      <c r="C44" s="11">
        <v>1.0</v>
      </c>
      <c r="D44" s="12" t="s">
        <v>122</v>
      </c>
      <c r="E44" s="11">
        <v>0.0</v>
      </c>
      <c r="F44" s="12" t="s">
        <v>169</v>
      </c>
    </row>
    <row r="45" ht="29.25" customHeight="1">
      <c r="A45" s="14" t="s">
        <v>166</v>
      </c>
      <c r="B45" s="22" t="s">
        <v>167</v>
      </c>
      <c r="C45" s="15">
        <v>2.0</v>
      </c>
      <c r="D45" s="22" t="s">
        <v>124</v>
      </c>
      <c r="E45" s="15">
        <v>25.0</v>
      </c>
      <c r="F45" s="22" t="s">
        <v>170</v>
      </c>
    </row>
    <row r="46" ht="15.0" customHeight="1">
      <c r="A46" s="9" t="s">
        <v>166</v>
      </c>
      <c r="B46" s="12" t="s">
        <v>167</v>
      </c>
      <c r="C46" s="11">
        <v>3.0</v>
      </c>
      <c r="D46" s="12" t="s">
        <v>126</v>
      </c>
      <c r="E46" s="11">
        <v>50.0</v>
      </c>
      <c r="F46" s="12" t="s">
        <v>171</v>
      </c>
    </row>
    <row r="47" ht="29.25" customHeight="1">
      <c r="A47" s="14" t="s">
        <v>166</v>
      </c>
      <c r="B47" s="22" t="s">
        <v>167</v>
      </c>
      <c r="C47" s="15">
        <v>4.0</v>
      </c>
      <c r="D47" s="22" t="s">
        <v>128</v>
      </c>
      <c r="E47" s="15">
        <v>75.0</v>
      </c>
      <c r="F47" s="22" t="s">
        <v>174</v>
      </c>
    </row>
    <row r="48" ht="29.25" customHeight="1">
      <c r="A48" s="9" t="s">
        <v>166</v>
      </c>
      <c r="B48" s="12" t="s">
        <v>167</v>
      </c>
      <c r="C48" s="11">
        <v>5.0</v>
      </c>
      <c r="D48" s="12" t="s">
        <v>130</v>
      </c>
      <c r="E48" s="11">
        <v>100.0</v>
      </c>
      <c r="F48" s="12" t="s">
        <v>176</v>
      </c>
    </row>
    <row r="49" ht="15.0" customHeight="1">
      <c r="A49" s="14" t="s">
        <v>177</v>
      </c>
      <c r="B49" s="22" t="s">
        <v>179</v>
      </c>
      <c r="C49" s="15">
        <v>1.0</v>
      </c>
      <c r="D49" s="14" t="s">
        <v>32</v>
      </c>
      <c r="E49" s="15">
        <v>0.0</v>
      </c>
      <c r="F49" s="22" t="s">
        <v>181</v>
      </c>
    </row>
    <row r="50" ht="15.0" customHeight="1">
      <c r="A50" s="9" t="s">
        <v>177</v>
      </c>
      <c r="B50" s="12" t="s">
        <v>179</v>
      </c>
      <c r="C50" s="11">
        <v>2.0</v>
      </c>
      <c r="D50" s="9" t="s">
        <v>54</v>
      </c>
      <c r="E50" s="11">
        <v>50.0</v>
      </c>
      <c r="F50" s="12" t="s">
        <v>184</v>
      </c>
    </row>
    <row r="51" ht="29.25" customHeight="1">
      <c r="A51" s="14" t="s">
        <v>177</v>
      </c>
      <c r="B51" s="22" t="s">
        <v>179</v>
      </c>
      <c r="C51" s="15">
        <v>3.0</v>
      </c>
      <c r="D51" s="14" t="s">
        <v>82</v>
      </c>
      <c r="E51" s="15">
        <v>100.0</v>
      </c>
      <c r="F51" s="22" t="s">
        <v>187</v>
      </c>
    </row>
    <row r="52" ht="15.0" customHeight="1">
      <c r="A52" s="9" t="s">
        <v>188</v>
      </c>
      <c r="B52" s="12" t="s">
        <v>189</v>
      </c>
      <c r="C52" s="11">
        <v>1.0</v>
      </c>
      <c r="D52" s="9" t="s">
        <v>32</v>
      </c>
      <c r="E52" s="11">
        <v>0.0</v>
      </c>
      <c r="F52" s="12" t="s">
        <v>190</v>
      </c>
    </row>
    <row r="53" ht="15.0" customHeight="1">
      <c r="A53" s="14" t="s">
        <v>188</v>
      </c>
      <c r="B53" s="22" t="s">
        <v>189</v>
      </c>
      <c r="C53" s="15">
        <v>2.0</v>
      </c>
      <c r="D53" s="14" t="s">
        <v>54</v>
      </c>
      <c r="E53" s="15">
        <v>50.0</v>
      </c>
      <c r="F53" s="22" t="s">
        <v>193</v>
      </c>
    </row>
    <row r="54" ht="43.5" customHeight="1">
      <c r="A54" s="9" t="s">
        <v>188</v>
      </c>
      <c r="B54" s="12" t="s">
        <v>189</v>
      </c>
      <c r="C54" s="11">
        <v>3.0</v>
      </c>
      <c r="D54" s="9" t="s">
        <v>82</v>
      </c>
      <c r="E54" s="11">
        <v>100.0</v>
      </c>
      <c r="F54" s="12" t="s">
        <v>195</v>
      </c>
    </row>
    <row r="55" ht="15.0" customHeight="1">
      <c r="A55" s="14" t="s">
        <v>196</v>
      </c>
      <c r="B55" s="22" t="s">
        <v>197</v>
      </c>
      <c r="C55" s="15">
        <v>1.0</v>
      </c>
      <c r="D55" s="14" t="s">
        <v>32</v>
      </c>
      <c r="E55" s="15">
        <v>0.0</v>
      </c>
      <c r="F55" s="22" t="s">
        <v>200</v>
      </c>
    </row>
    <row r="56" ht="15.0" customHeight="1">
      <c r="A56" s="9" t="s">
        <v>196</v>
      </c>
      <c r="B56" s="12" t="s">
        <v>197</v>
      </c>
      <c r="C56" s="11">
        <v>2.0</v>
      </c>
      <c r="D56" s="9" t="s">
        <v>54</v>
      </c>
      <c r="E56" s="11">
        <v>50.0</v>
      </c>
      <c r="F56" s="12" t="s">
        <v>203</v>
      </c>
    </row>
    <row r="57" ht="29.25" customHeight="1">
      <c r="A57" s="14" t="s">
        <v>196</v>
      </c>
      <c r="B57" s="22" t="s">
        <v>197</v>
      </c>
      <c r="C57" s="15">
        <v>3.0</v>
      </c>
      <c r="D57" s="14" t="s">
        <v>82</v>
      </c>
      <c r="E57" s="15">
        <v>100.0</v>
      </c>
      <c r="F57" s="22" t="s">
        <v>205</v>
      </c>
    </row>
    <row r="58" ht="15.0" customHeight="1">
      <c r="A58" s="9" t="s">
        <v>207</v>
      </c>
      <c r="B58" s="12" t="s">
        <v>208</v>
      </c>
      <c r="C58" s="11">
        <v>1.0</v>
      </c>
      <c r="D58" s="9" t="s">
        <v>32</v>
      </c>
      <c r="E58" s="11">
        <v>0.0</v>
      </c>
      <c r="F58" s="12" t="s">
        <v>210</v>
      </c>
    </row>
    <row r="59" ht="15.0" customHeight="1">
      <c r="A59" s="14" t="s">
        <v>207</v>
      </c>
      <c r="B59" s="22" t="s">
        <v>208</v>
      </c>
      <c r="C59" s="15">
        <v>2.0</v>
      </c>
      <c r="D59" s="14" t="s">
        <v>54</v>
      </c>
      <c r="E59" s="15">
        <v>50.0</v>
      </c>
      <c r="F59" s="22" t="s">
        <v>212</v>
      </c>
    </row>
    <row r="60" ht="43.5" customHeight="1">
      <c r="A60" s="9" t="s">
        <v>207</v>
      </c>
      <c r="B60" s="12" t="s">
        <v>208</v>
      </c>
      <c r="C60" s="11">
        <v>3.0</v>
      </c>
      <c r="D60" s="9" t="s">
        <v>82</v>
      </c>
      <c r="E60" s="11">
        <v>100.0</v>
      </c>
      <c r="F60" s="12" t="s">
        <v>215</v>
      </c>
    </row>
    <row r="61" ht="15.0" customHeight="1">
      <c r="A61" s="14" t="s">
        <v>216</v>
      </c>
      <c r="B61" s="22" t="s">
        <v>217</v>
      </c>
      <c r="C61" s="15">
        <v>1.0</v>
      </c>
      <c r="D61" s="14" t="s">
        <v>32</v>
      </c>
      <c r="E61" s="15">
        <v>0.0</v>
      </c>
      <c r="F61" s="22" t="s">
        <v>219</v>
      </c>
    </row>
    <row r="62" ht="15.0" customHeight="1">
      <c r="A62" s="9" t="s">
        <v>216</v>
      </c>
      <c r="B62" s="12" t="s">
        <v>217</v>
      </c>
      <c r="C62" s="11">
        <v>2.0</v>
      </c>
      <c r="D62" s="9" t="s">
        <v>54</v>
      </c>
      <c r="E62" s="11">
        <v>50.0</v>
      </c>
      <c r="F62" s="12" t="s">
        <v>221</v>
      </c>
    </row>
    <row r="63" ht="29.25" customHeight="1">
      <c r="A63" s="14" t="s">
        <v>216</v>
      </c>
      <c r="B63" s="22" t="s">
        <v>217</v>
      </c>
      <c r="C63" s="15">
        <v>3.0</v>
      </c>
      <c r="D63" s="14" t="s">
        <v>82</v>
      </c>
      <c r="E63" s="15">
        <v>100.0</v>
      </c>
      <c r="F63" s="22" t="s">
        <v>225</v>
      </c>
    </row>
    <row r="64" ht="15.0" customHeight="1">
      <c r="A64" s="9" t="s">
        <v>226</v>
      </c>
      <c r="B64" s="12" t="s">
        <v>228</v>
      </c>
      <c r="C64" s="11">
        <v>1.0</v>
      </c>
      <c r="D64" s="9" t="s">
        <v>32</v>
      </c>
      <c r="E64" s="11">
        <v>0.0</v>
      </c>
      <c r="F64" s="12" t="s">
        <v>231</v>
      </c>
    </row>
    <row r="65" ht="15.0" customHeight="1">
      <c r="A65" s="14" t="s">
        <v>226</v>
      </c>
      <c r="B65" s="22" t="s">
        <v>228</v>
      </c>
      <c r="C65" s="15">
        <v>2.0</v>
      </c>
      <c r="D65" s="14" t="s">
        <v>54</v>
      </c>
      <c r="E65" s="15">
        <v>50.0</v>
      </c>
      <c r="F65" s="22" t="s">
        <v>233</v>
      </c>
    </row>
    <row r="66" ht="43.5" customHeight="1">
      <c r="A66" s="9" t="s">
        <v>226</v>
      </c>
      <c r="B66" s="12" t="s">
        <v>228</v>
      </c>
      <c r="C66" s="11">
        <v>3.0</v>
      </c>
      <c r="D66" s="9" t="s">
        <v>82</v>
      </c>
      <c r="E66" s="11">
        <v>100.0</v>
      </c>
      <c r="F66" s="12" t="s">
        <v>237</v>
      </c>
    </row>
    <row r="67" ht="15.0" customHeight="1">
      <c r="A67" s="14" t="s">
        <v>238</v>
      </c>
      <c r="B67" s="22" t="s">
        <v>240</v>
      </c>
      <c r="C67" s="15">
        <v>1.0</v>
      </c>
      <c r="D67" s="14" t="s">
        <v>32</v>
      </c>
      <c r="E67" s="15">
        <v>0.0</v>
      </c>
      <c r="F67" s="22" t="s">
        <v>242</v>
      </c>
    </row>
    <row r="68" ht="15.0" customHeight="1">
      <c r="A68" s="9" t="s">
        <v>238</v>
      </c>
      <c r="B68" s="12" t="s">
        <v>240</v>
      </c>
      <c r="C68" s="11">
        <v>2.0</v>
      </c>
      <c r="D68" s="9" t="s">
        <v>54</v>
      </c>
      <c r="E68" s="11">
        <v>50.0</v>
      </c>
      <c r="F68" s="12" t="s">
        <v>244</v>
      </c>
    </row>
    <row r="69" ht="43.5" customHeight="1">
      <c r="A69" s="14" t="s">
        <v>238</v>
      </c>
      <c r="B69" s="22" t="s">
        <v>240</v>
      </c>
      <c r="C69" s="15">
        <v>3.0</v>
      </c>
      <c r="D69" s="14" t="s">
        <v>82</v>
      </c>
      <c r="E69" s="15">
        <v>100.0</v>
      </c>
      <c r="F69" s="22" t="s">
        <v>247</v>
      </c>
    </row>
    <row r="70" ht="15.0" customHeight="1">
      <c r="A70" s="9" t="s">
        <v>248</v>
      </c>
      <c r="B70" s="12" t="s">
        <v>249</v>
      </c>
      <c r="C70" s="11">
        <v>1.0</v>
      </c>
      <c r="D70" s="9" t="s">
        <v>32</v>
      </c>
      <c r="E70" s="11">
        <v>0.0</v>
      </c>
      <c r="F70" s="12" t="s">
        <v>250</v>
      </c>
    </row>
    <row r="71" ht="15.0" customHeight="1">
      <c r="A71" s="14" t="s">
        <v>248</v>
      </c>
      <c r="B71" s="22" t="s">
        <v>249</v>
      </c>
      <c r="C71" s="15">
        <v>2.0</v>
      </c>
      <c r="D71" s="14" t="s">
        <v>54</v>
      </c>
      <c r="E71" s="15">
        <v>50.0</v>
      </c>
      <c r="F71" s="22" t="s">
        <v>253</v>
      </c>
    </row>
    <row r="72" ht="43.5" customHeight="1">
      <c r="A72" s="9" t="s">
        <v>248</v>
      </c>
      <c r="B72" s="12" t="s">
        <v>249</v>
      </c>
      <c r="C72" s="11">
        <v>3.0</v>
      </c>
      <c r="D72" s="9" t="s">
        <v>82</v>
      </c>
      <c r="E72" s="11">
        <v>100.0</v>
      </c>
      <c r="F72" s="12" t="s">
        <v>254</v>
      </c>
    </row>
    <row r="73" ht="29.25" customHeight="1">
      <c r="A73" s="14" t="s">
        <v>256</v>
      </c>
      <c r="B73" s="22" t="s">
        <v>258</v>
      </c>
      <c r="C73" s="15">
        <v>1.0</v>
      </c>
      <c r="D73" s="14" t="s">
        <v>32</v>
      </c>
      <c r="E73" s="15">
        <v>100.0</v>
      </c>
      <c r="F73" s="22" t="s">
        <v>262</v>
      </c>
    </row>
    <row r="74" ht="29.25" customHeight="1">
      <c r="A74" s="9" t="s">
        <v>256</v>
      </c>
      <c r="B74" s="12" t="s">
        <v>258</v>
      </c>
      <c r="C74" s="11">
        <v>2.0</v>
      </c>
      <c r="D74" s="9" t="s">
        <v>54</v>
      </c>
      <c r="E74" s="11">
        <v>50.0</v>
      </c>
      <c r="F74" s="12" t="s">
        <v>265</v>
      </c>
    </row>
    <row r="75" ht="43.5" customHeight="1">
      <c r="A75" s="14" t="s">
        <v>256</v>
      </c>
      <c r="B75" s="22" t="s">
        <v>258</v>
      </c>
      <c r="C75" s="15">
        <v>3.0</v>
      </c>
      <c r="D75" s="14" t="s">
        <v>82</v>
      </c>
      <c r="E75" s="15">
        <v>0.0</v>
      </c>
      <c r="F75" s="22" t="s">
        <v>268</v>
      </c>
    </row>
    <row r="76" ht="15.0" customHeight="1">
      <c r="A76" s="9" t="s">
        <v>269</v>
      </c>
      <c r="B76" s="12" t="s">
        <v>270</v>
      </c>
      <c r="C76" s="11">
        <v>1.0</v>
      </c>
      <c r="D76" s="9" t="s">
        <v>32</v>
      </c>
      <c r="E76" s="11">
        <v>0.0</v>
      </c>
      <c r="F76" s="12" t="s">
        <v>272</v>
      </c>
    </row>
    <row r="77" ht="29.25" customHeight="1">
      <c r="A77" s="14" t="s">
        <v>269</v>
      </c>
      <c r="B77" s="22" t="s">
        <v>270</v>
      </c>
      <c r="C77" s="15">
        <v>2.0</v>
      </c>
      <c r="D77" s="14" t="s">
        <v>54</v>
      </c>
      <c r="E77" s="15">
        <v>25.0</v>
      </c>
      <c r="F77" s="22" t="s">
        <v>276</v>
      </c>
    </row>
    <row r="78" ht="29.25" customHeight="1">
      <c r="A78" s="9" t="s">
        <v>269</v>
      </c>
      <c r="B78" s="12" t="s">
        <v>270</v>
      </c>
      <c r="C78" s="11">
        <v>3.0</v>
      </c>
      <c r="D78" s="9" t="s">
        <v>82</v>
      </c>
      <c r="E78" s="11">
        <v>50.0</v>
      </c>
      <c r="F78" s="12" t="s">
        <v>279</v>
      </c>
    </row>
    <row r="79" ht="29.25" customHeight="1">
      <c r="A79" s="14" t="s">
        <v>269</v>
      </c>
      <c r="B79" s="22" t="s">
        <v>270</v>
      </c>
      <c r="C79" s="15">
        <v>4.0</v>
      </c>
      <c r="D79" s="14" t="s">
        <v>85</v>
      </c>
      <c r="E79" s="15">
        <v>75.0</v>
      </c>
      <c r="F79" s="14" t="s">
        <v>281</v>
      </c>
    </row>
    <row r="80" ht="15.0" customHeight="1">
      <c r="A80" s="9" t="s">
        <v>269</v>
      </c>
      <c r="B80" s="12" t="s">
        <v>270</v>
      </c>
      <c r="C80" s="11">
        <v>5.0</v>
      </c>
      <c r="D80" s="9" t="s">
        <v>90</v>
      </c>
      <c r="E80" s="11">
        <v>100.0</v>
      </c>
      <c r="F80" s="9" t="s">
        <v>284</v>
      </c>
    </row>
    <row r="81" ht="15.0" customHeight="1">
      <c r="A81" s="14" t="s">
        <v>285</v>
      </c>
      <c r="B81" s="22" t="s">
        <v>286</v>
      </c>
      <c r="C81" s="15">
        <v>1.0</v>
      </c>
      <c r="D81" s="14" t="s">
        <v>32</v>
      </c>
      <c r="E81" s="15">
        <v>0.0</v>
      </c>
      <c r="F81" s="22" t="s">
        <v>288</v>
      </c>
    </row>
    <row r="82" ht="15.0" customHeight="1">
      <c r="A82" s="9" t="s">
        <v>285</v>
      </c>
      <c r="B82" s="12" t="s">
        <v>286</v>
      </c>
      <c r="C82" s="11">
        <v>2.0</v>
      </c>
      <c r="D82" s="9" t="s">
        <v>54</v>
      </c>
      <c r="E82" s="11">
        <v>25.0</v>
      </c>
      <c r="F82" s="12" t="s">
        <v>292</v>
      </c>
    </row>
    <row r="83" ht="15.0" customHeight="1">
      <c r="A83" s="14" t="s">
        <v>285</v>
      </c>
      <c r="B83" s="22" t="s">
        <v>286</v>
      </c>
      <c r="C83" s="15">
        <v>3.0</v>
      </c>
      <c r="D83" s="14" t="s">
        <v>82</v>
      </c>
      <c r="E83" s="15">
        <v>50.0</v>
      </c>
      <c r="F83" s="14" t="s">
        <v>293</v>
      </c>
    </row>
    <row r="84" ht="15.0" customHeight="1">
      <c r="A84" s="9" t="s">
        <v>285</v>
      </c>
      <c r="B84" s="12" t="s">
        <v>286</v>
      </c>
      <c r="C84" s="11">
        <v>4.0</v>
      </c>
      <c r="D84" s="9" t="s">
        <v>85</v>
      </c>
      <c r="E84" s="11">
        <v>75.0</v>
      </c>
      <c r="F84" s="9" t="s">
        <v>297</v>
      </c>
    </row>
    <row r="85" ht="43.5" customHeight="1">
      <c r="A85" s="14" t="s">
        <v>285</v>
      </c>
      <c r="B85" s="22" t="s">
        <v>286</v>
      </c>
      <c r="C85" s="15">
        <v>5.0</v>
      </c>
      <c r="D85" s="14" t="s">
        <v>90</v>
      </c>
      <c r="E85" s="15">
        <v>100.0</v>
      </c>
      <c r="F85" s="14" t="s">
        <v>298</v>
      </c>
    </row>
    <row r="86" ht="15.0" customHeight="1">
      <c r="A86" s="9" t="s">
        <v>300</v>
      </c>
      <c r="B86" s="12" t="s">
        <v>302</v>
      </c>
      <c r="C86" s="11">
        <v>1.0</v>
      </c>
      <c r="D86" s="9" t="s">
        <v>32</v>
      </c>
      <c r="E86" s="11">
        <v>0.0</v>
      </c>
      <c r="F86" s="12" t="s">
        <v>304</v>
      </c>
    </row>
    <row r="87" ht="15.0" customHeight="1">
      <c r="A87" s="14" t="s">
        <v>300</v>
      </c>
      <c r="B87" s="22" t="s">
        <v>302</v>
      </c>
      <c r="C87" s="15">
        <v>2.0</v>
      </c>
      <c r="D87" s="14" t="s">
        <v>54</v>
      </c>
      <c r="E87" s="15">
        <v>25.0</v>
      </c>
      <c r="F87" s="22" t="s">
        <v>306</v>
      </c>
    </row>
    <row r="88" ht="15.0" customHeight="1">
      <c r="A88" s="9" t="s">
        <v>300</v>
      </c>
      <c r="B88" s="12" t="s">
        <v>302</v>
      </c>
      <c r="C88" s="11">
        <v>3.0</v>
      </c>
      <c r="D88" s="9" t="s">
        <v>82</v>
      </c>
      <c r="E88" s="11">
        <v>50.0</v>
      </c>
      <c r="F88" s="9" t="s">
        <v>310</v>
      </c>
    </row>
    <row r="89" ht="29.25" customHeight="1">
      <c r="A89" s="14" t="s">
        <v>300</v>
      </c>
      <c r="B89" s="22" t="s">
        <v>302</v>
      </c>
      <c r="C89" s="15">
        <v>4.0</v>
      </c>
      <c r="D89" s="14" t="s">
        <v>85</v>
      </c>
      <c r="E89" s="15">
        <v>75.0</v>
      </c>
      <c r="F89" s="14" t="s">
        <v>313</v>
      </c>
    </row>
    <row r="90" ht="15.0" customHeight="1">
      <c r="A90" s="9" t="s">
        <v>300</v>
      </c>
      <c r="B90" s="12" t="s">
        <v>302</v>
      </c>
      <c r="C90" s="11">
        <v>5.0</v>
      </c>
      <c r="D90" s="9" t="s">
        <v>90</v>
      </c>
      <c r="E90" s="11">
        <v>100.0</v>
      </c>
      <c r="F90" s="9" t="s">
        <v>316</v>
      </c>
    </row>
    <row r="91" ht="15.0" customHeight="1">
      <c r="A91" s="14" t="s">
        <v>318</v>
      </c>
      <c r="B91" s="22" t="s">
        <v>319</v>
      </c>
      <c r="C91" s="15">
        <v>1.0</v>
      </c>
      <c r="D91" s="14" t="s">
        <v>32</v>
      </c>
      <c r="E91" s="15">
        <v>0.0</v>
      </c>
      <c r="F91" s="22" t="s">
        <v>320</v>
      </c>
    </row>
    <row r="92" ht="15.0" customHeight="1">
      <c r="A92" s="9" t="s">
        <v>318</v>
      </c>
      <c r="B92" s="12" t="s">
        <v>319</v>
      </c>
      <c r="C92" s="11">
        <v>2.0</v>
      </c>
      <c r="D92" s="9" t="s">
        <v>54</v>
      </c>
      <c r="E92" s="11">
        <v>25.0</v>
      </c>
      <c r="F92" s="12" t="s">
        <v>326</v>
      </c>
    </row>
    <row r="93" ht="15.0" customHeight="1">
      <c r="A93" s="14" t="s">
        <v>318</v>
      </c>
      <c r="B93" s="22" t="s">
        <v>319</v>
      </c>
      <c r="C93" s="15">
        <v>3.0</v>
      </c>
      <c r="D93" s="14" t="s">
        <v>82</v>
      </c>
      <c r="E93" s="15">
        <v>50.0</v>
      </c>
      <c r="F93" s="22" t="s">
        <v>328</v>
      </c>
    </row>
    <row r="94" ht="15.0" customHeight="1">
      <c r="A94" s="9" t="s">
        <v>318</v>
      </c>
      <c r="B94" s="12" t="s">
        <v>319</v>
      </c>
      <c r="C94" s="11">
        <v>4.0</v>
      </c>
      <c r="D94" s="9" t="s">
        <v>85</v>
      </c>
      <c r="E94" s="11">
        <v>75.0</v>
      </c>
      <c r="F94" s="12" t="s">
        <v>332</v>
      </c>
    </row>
    <row r="95" ht="15.0" customHeight="1">
      <c r="A95" s="14" t="s">
        <v>318</v>
      </c>
      <c r="B95" s="22" t="s">
        <v>319</v>
      </c>
      <c r="C95" s="15">
        <v>5.0</v>
      </c>
      <c r="D95" s="14" t="s">
        <v>90</v>
      </c>
      <c r="E95" s="15">
        <v>100.0</v>
      </c>
      <c r="F95" s="22" t="s">
        <v>333</v>
      </c>
    </row>
    <row r="96" ht="15.0" customHeight="1">
      <c r="A96" s="9" t="s">
        <v>334</v>
      </c>
      <c r="B96" s="12" t="s">
        <v>335</v>
      </c>
      <c r="C96" s="11">
        <v>1.0</v>
      </c>
      <c r="D96" s="12" t="s">
        <v>122</v>
      </c>
      <c r="E96" s="11">
        <v>0.0</v>
      </c>
      <c r="F96" s="12" t="s">
        <v>338</v>
      </c>
    </row>
    <row r="97" ht="15.0" customHeight="1">
      <c r="A97" s="14" t="s">
        <v>334</v>
      </c>
      <c r="B97" s="22" t="s">
        <v>335</v>
      </c>
      <c r="C97" s="15">
        <v>2.0</v>
      </c>
      <c r="D97" s="22" t="s">
        <v>124</v>
      </c>
      <c r="E97" s="15">
        <v>25.0</v>
      </c>
      <c r="F97" s="22" t="s">
        <v>339</v>
      </c>
    </row>
    <row r="98" ht="15.0" customHeight="1">
      <c r="A98" s="9" t="s">
        <v>334</v>
      </c>
      <c r="B98" s="12" t="s">
        <v>335</v>
      </c>
      <c r="C98" s="11">
        <v>3.0</v>
      </c>
      <c r="D98" s="12" t="s">
        <v>126</v>
      </c>
      <c r="E98" s="11">
        <v>50.0</v>
      </c>
      <c r="F98" s="12" t="s">
        <v>342</v>
      </c>
    </row>
    <row r="99" ht="15.0" customHeight="1">
      <c r="A99" s="14" t="s">
        <v>334</v>
      </c>
      <c r="B99" s="22" t="s">
        <v>335</v>
      </c>
      <c r="C99" s="15">
        <v>4.0</v>
      </c>
      <c r="D99" s="22" t="s">
        <v>128</v>
      </c>
      <c r="E99" s="15">
        <v>75.0</v>
      </c>
      <c r="F99" s="22" t="s">
        <v>343</v>
      </c>
    </row>
    <row r="100" ht="15.0" customHeight="1">
      <c r="A100" s="9" t="s">
        <v>334</v>
      </c>
      <c r="B100" s="12" t="s">
        <v>335</v>
      </c>
      <c r="C100" s="11">
        <v>5.0</v>
      </c>
      <c r="D100" s="12" t="s">
        <v>130</v>
      </c>
      <c r="E100" s="11">
        <v>100.0</v>
      </c>
      <c r="F100" s="12" t="s">
        <v>346</v>
      </c>
    </row>
    <row r="101" ht="29.25" customHeight="1">
      <c r="A101" s="14" t="s">
        <v>348</v>
      </c>
      <c r="B101" s="22" t="s">
        <v>349</v>
      </c>
      <c r="C101" s="15">
        <v>1.0</v>
      </c>
      <c r="D101" s="22" t="s">
        <v>122</v>
      </c>
      <c r="E101" s="15">
        <v>0.0</v>
      </c>
      <c r="F101" s="22" t="s">
        <v>351</v>
      </c>
    </row>
    <row r="102" ht="29.25" customHeight="1">
      <c r="A102" s="9" t="s">
        <v>348</v>
      </c>
      <c r="B102" s="12" t="s">
        <v>349</v>
      </c>
      <c r="C102" s="11">
        <v>2.0</v>
      </c>
      <c r="D102" s="12" t="s">
        <v>124</v>
      </c>
      <c r="E102" s="11">
        <v>25.0</v>
      </c>
      <c r="F102" s="12" t="s">
        <v>353</v>
      </c>
    </row>
    <row r="103" ht="29.25" customHeight="1">
      <c r="A103" s="14" t="s">
        <v>348</v>
      </c>
      <c r="B103" s="22" t="s">
        <v>349</v>
      </c>
      <c r="C103" s="15">
        <v>3.0</v>
      </c>
      <c r="D103" s="22" t="s">
        <v>126</v>
      </c>
      <c r="E103" s="15">
        <v>50.0</v>
      </c>
      <c r="F103" s="22" t="s">
        <v>359</v>
      </c>
    </row>
    <row r="104" ht="29.25" customHeight="1">
      <c r="A104" s="9" t="s">
        <v>348</v>
      </c>
      <c r="B104" s="12" t="s">
        <v>349</v>
      </c>
      <c r="C104" s="11">
        <v>4.0</v>
      </c>
      <c r="D104" s="12" t="s">
        <v>128</v>
      </c>
      <c r="E104" s="11">
        <v>75.0</v>
      </c>
      <c r="F104" s="12" t="s">
        <v>363</v>
      </c>
    </row>
    <row r="105" ht="29.25" customHeight="1">
      <c r="A105" s="14" t="s">
        <v>348</v>
      </c>
      <c r="B105" s="22" t="s">
        <v>349</v>
      </c>
      <c r="C105" s="15">
        <v>5.0</v>
      </c>
      <c r="D105" s="22" t="s">
        <v>130</v>
      </c>
      <c r="E105" s="15">
        <v>100.0</v>
      </c>
      <c r="F105" s="22" t="s">
        <v>368</v>
      </c>
    </row>
    <row r="106" ht="29.25" customHeight="1">
      <c r="A106" s="9" t="s">
        <v>369</v>
      </c>
      <c r="B106" s="12" t="s">
        <v>371</v>
      </c>
      <c r="C106" s="11">
        <v>1.0</v>
      </c>
      <c r="D106" s="9" t="s">
        <v>32</v>
      </c>
      <c r="E106" s="11">
        <v>0.0</v>
      </c>
      <c r="F106" s="12" t="s">
        <v>373</v>
      </c>
    </row>
    <row r="107" ht="29.25" customHeight="1">
      <c r="A107" s="14" t="s">
        <v>369</v>
      </c>
      <c r="B107" s="22" t="s">
        <v>371</v>
      </c>
      <c r="C107" s="15">
        <v>2.0</v>
      </c>
      <c r="D107" s="14" t="s">
        <v>54</v>
      </c>
      <c r="E107" s="15">
        <v>25.0</v>
      </c>
      <c r="F107" s="22" t="s">
        <v>377</v>
      </c>
    </row>
    <row r="108" ht="15.0" customHeight="1">
      <c r="A108" s="9" t="s">
        <v>369</v>
      </c>
      <c r="B108" s="12" t="s">
        <v>371</v>
      </c>
      <c r="C108" s="11">
        <v>3.0</v>
      </c>
      <c r="D108" s="9" t="s">
        <v>82</v>
      </c>
      <c r="E108" s="11">
        <v>50.0</v>
      </c>
      <c r="F108" s="12" t="s">
        <v>378</v>
      </c>
    </row>
    <row r="109" ht="29.25" customHeight="1">
      <c r="A109" s="14" t="s">
        <v>369</v>
      </c>
      <c r="B109" s="22" t="s">
        <v>371</v>
      </c>
      <c r="C109" s="15">
        <v>4.0</v>
      </c>
      <c r="D109" s="14" t="s">
        <v>85</v>
      </c>
      <c r="E109" s="15">
        <v>75.0</v>
      </c>
      <c r="F109" s="22" t="s">
        <v>382</v>
      </c>
    </row>
    <row r="110" ht="29.25" customHeight="1">
      <c r="A110" s="9" t="s">
        <v>369</v>
      </c>
      <c r="B110" s="12" t="s">
        <v>371</v>
      </c>
      <c r="C110" s="11">
        <v>5.0</v>
      </c>
      <c r="D110" s="9" t="s">
        <v>90</v>
      </c>
      <c r="E110" s="11">
        <v>100.0</v>
      </c>
      <c r="F110" s="12" t="s">
        <v>384</v>
      </c>
    </row>
    <row r="111" ht="15.0" customHeight="1">
      <c r="A111" s="14" t="s">
        <v>386</v>
      </c>
      <c r="B111" s="22" t="s">
        <v>387</v>
      </c>
      <c r="C111" s="15">
        <v>1.0</v>
      </c>
      <c r="D111" s="14" t="s">
        <v>32</v>
      </c>
      <c r="E111" s="15">
        <v>0.0</v>
      </c>
      <c r="F111" s="22" t="s">
        <v>388</v>
      </c>
    </row>
    <row r="112" ht="15.0" customHeight="1">
      <c r="A112" s="9" t="s">
        <v>386</v>
      </c>
      <c r="B112" s="12" t="s">
        <v>387</v>
      </c>
      <c r="C112" s="11">
        <v>2.0</v>
      </c>
      <c r="D112" s="9" t="s">
        <v>54</v>
      </c>
      <c r="E112" s="11">
        <v>25.0</v>
      </c>
      <c r="F112" s="12" t="s">
        <v>390</v>
      </c>
    </row>
    <row r="113" ht="15.0" customHeight="1">
      <c r="A113" s="14" t="s">
        <v>386</v>
      </c>
      <c r="B113" s="22" t="s">
        <v>387</v>
      </c>
      <c r="C113" s="15">
        <v>3.0</v>
      </c>
      <c r="D113" s="14" t="s">
        <v>82</v>
      </c>
      <c r="E113" s="15">
        <v>50.0</v>
      </c>
      <c r="F113" s="22" t="s">
        <v>392</v>
      </c>
    </row>
    <row r="114" ht="15.0" customHeight="1">
      <c r="A114" s="9" t="s">
        <v>386</v>
      </c>
      <c r="B114" s="12" t="s">
        <v>387</v>
      </c>
      <c r="C114" s="11">
        <v>4.0</v>
      </c>
      <c r="D114" s="9" t="s">
        <v>85</v>
      </c>
      <c r="E114" s="11">
        <v>75.0</v>
      </c>
      <c r="F114" s="12" t="s">
        <v>394</v>
      </c>
    </row>
    <row r="115" ht="15.0" customHeight="1">
      <c r="A115" s="14" t="s">
        <v>386</v>
      </c>
      <c r="B115" s="22" t="s">
        <v>387</v>
      </c>
      <c r="C115" s="15">
        <v>5.0</v>
      </c>
      <c r="D115" s="14" t="s">
        <v>90</v>
      </c>
      <c r="E115" s="15">
        <v>100.0</v>
      </c>
      <c r="F115" s="22" t="s">
        <v>397</v>
      </c>
    </row>
    <row r="116" ht="15.0" customHeight="1">
      <c r="A116" s="9" t="s">
        <v>398</v>
      </c>
      <c r="B116" s="12" t="s">
        <v>399</v>
      </c>
      <c r="C116" s="11">
        <v>1.0</v>
      </c>
      <c r="D116" s="9" t="s">
        <v>32</v>
      </c>
      <c r="E116" s="11">
        <v>0.0</v>
      </c>
      <c r="F116" s="12" t="s">
        <v>400</v>
      </c>
    </row>
    <row r="117" ht="15.0" customHeight="1">
      <c r="A117" s="14" t="s">
        <v>398</v>
      </c>
      <c r="B117" s="22" t="s">
        <v>399</v>
      </c>
      <c r="C117" s="15">
        <v>2.0</v>
      </c>
      <c r="D117" s="14" t="s">
        <v>54</v>
      </c>
      <c r="E117" s="15">
        <v>50.0</v>
      </c>
      <c r="F117" s="22" t="s">
        <v>408</v>
      </c>
    </row>
    <row r="118" ht="29.25" customHeight="1">
      <c r="A118" s="9" t="s">
        <v>398</v>
      </c>
      <c r="B118" s="12" t="s">
        <v>399</v>
      </c>
      <c r="C118" s="11">
        <v>3.0</v>
      </c>
      <c r="D118" s="9" t="s">
        <v>82</v>
      </c>
      <c r="E118" s="11">
        <v>100.0</v>
      </c>
      <c r="F118" s="12" t="s">
        <v>411</v>
      </c>
    </row>
    <row r="119" ht="15.0" customHeight="1">
      <c r="A119" s="14" t="s">
        <v>415</v>
      </c>
      <c r="B119" s="22" t="s">
        <v>416</v>
      </c>
      <c r="C119" s="15">
        <v>1.0</v>
      </c>
      <c r="D119" s="14" t="s">
        <v>32</v>
      </c>
      <c r="E119" s="15">
        <v>0.0</v>
      </c>
      <c r="F119" s="22" t="s">
        <v>419</v>
      </c>
    </row>
    <row r="120" ht="15.0" customHeight="1">
      <c r="A120" s="9" t="s">
        <v>415</v>
      </c>
      <c r="B120" s="12" t="s">
        <v>416</v>
      </c>
      <c r="C120" s="11">
        <v>2.0</v>
      </c>
      <c r="D120" s="9" t="s">
        <v>54</v>
      </c>
      <c r="E120" s="11">
        <v>50.0</v>
      </c>
      <c r="F120" s="12" t="s">
        <v>424</v>
      </c>
    </row>
    <row r="121" ht="43.5" customHeight="1">
      <c r="A121" s="14" t="s">
        <v>415</v>
      </c>
      <c r="B121" s="22" t="s">
        <v>416</v>
      </c>
      <c r="C121" s="15">
        <v>3.0</v>
      </c>
      <c r="D121" s="14" t="s">
        <v>82</v>
      </c>
      <c r="E121" s="15">
        <v>100.0</v>
      </c>
      <c r="F121" s="22" t="s">
        <v>425</v>
      </c>
    </row>
    <row r="122" ht="15.0" customHeight="1">
      <c r="A122" s="9" t="s">
        <v>426</v>
      </c>
      <c r="B122" s="12" t="s">
        <v>428</v>
      </c>
      <c r="C122" s="11">
        <v>1.0</v>
      </c>
      <c r="D122" s="9" t="s">
        <v>32</v>
      </c>
      <c r="E122" s="11">
        <v>0.0</v>
      </c>
      <c r="F122" s="12" t="s">
        <v>430</v>
      </c>
    </row>
    <row r="123" ht="15.0" customHeight="1">
      <c r="A123" s="14" t="s">
        <v>426</v>
      </c>
      <c r="B123" s="22" t="s">
        <v>428</v>
      </c>
      <c r="C123" s="15">
        <v>2.0</v>
      </c>
      <c r="D123" s="14" t="s">
        <v>54</v>
      </c>
      <c r="E123" s="15">
        <v>50.0</v>
      </c>
      <c r="F123" s="22" t="s">
        <v>431</v>
      </c>
    </row>
    <row r="124" ht="29.25" customHeight="1">
      <c r="A124" s="9" t="s">
        <v>426</v>
      </c>
      <c r="B124" s="12" t="s">
        <v>428</v>
      </c>
      <c r="C124" s="11">
        <v>3.0</v>
      </c>
      <c r="D124" s="9" t="s">
        <v>82</v>
      </c>
      <c r="E124" s="11">
        <v>100.0</v>
      </c>
      <c r="F124" s="12" t="s">
        <v>434</v>
      </c>
    </row>
    <row r="125" ht="29.25" customHeight="1">
      <c r="A125" s="14" t="s">
        <v>435</v>
      </c>
      <c r="B125" s="22" t="s">
        <v>436</v>
      </c>
      <c r="C125" s="15">
        <v>1.0</v>
      </c>
      <c r="D125" s="14" t="s">
        <v>32</v>
      </c>
      <c r="E125" s="15">
        <v>0.0</v>
      </c>
      <c r="F125" s="22" t="s">
        <v>437</v>
      </c>
    </row>
    <row r="126" ht="15.0" customHeight="1">
      <c r="A126" s="9" t="s">
        <v>435</v>
      </c>
      <c r="B126" s="12" t="s">
        <v>436</v>
      </c>
      <c r="C126" s="11">
        <v>2.0</v>
      </c>
      <c r="D126" s="9" t="s">
        <v>54</v>
      </c>
      <c r="E126" s="11">
        <v>25.0</v>
      </c>
      <c r="F126" s="12" t="s">
        <v>438</v>
      </c>
    </row>
    <row r="127" ht="29.25" customHeight="1">
      <c r="A127" s="14" t="s">
        <v>435</v>
      </c>
      <c r="B127" s="22" t="s">
        <v>436</v>
      </c>
      <c r="C127" s="15">
        <v>3.0</v>
      </c>
      <c r="D127" s="14" t="s">
        <v>82</v>
      </c>
      <c r="E127" s="15">
        <v>50.0</v>
      </c>
      <c r="F127" s="14" t="s">
        <v>443</v>
      </c>
    </row>
    <row r="128" ht="29.25" customHeight="1">
      <c r="A128" s="9" t="s">
        <v>435</v>
      </c>
      <c r="B128" s="12" t="s">
        <v>436</v>
      </c>
      <c r="C128" s="11">
        <v>4.0</v>
      </c>
      <c r="D128" s="9" t="s">
        <v>85</v>
      </c>
      <c r="E128" s="11">
        <v>75.0</v>
      </c>
      <c r="F128" s="9" t="s">
        <v>444</v>
      </c>
    </row>
    <row r="129" ht="15.0" customHeight="1">
      <c r="A129" s="14" t="s">
        <v>435</v>
      </c>
      <c r="B129" s="22" t="s">
        <v>436</v>
      </c>
      <c r="C129" s="15">
        <v>5.0</v>
      </c>
      <c r="D129" s="14" t="s">
        <v>90</v>
      </c>
      <c r="E129" s="15">
        <v>100.0</v>
      </c>
      <c r="F129" s="14" t="s">
        <v>448</v>
      </c>
    </row>
    <row r="130" ht="29.25" customHeight="1">
      <c r="A130" s="9" t="s">
        <v>449</v>
      </c>
      <c r="B130" s="12" t="s">
        <v>450</v>
      </c>
      <c r="C130" s="11">
        <v>1.0</v>
      </c>
      <c r="D130" s="9" t="s">
        <v>32</v>
      </c>
      <c r="E130" s="11">
        <v>0.0</v>
      </c>
      <c r="F130" s="12" t="s">
        <v>451</v>
      </c>
    </row>
    <row r="131" ht="29.25" customHeight="1">
      <c r="A131" s="14" t="s">
        <v>449</v>
      </c>
      <c r="B131" s="22" t="s">
        <v>450</v>
      </c>
      <c r="C131" s="15">
        <v>2.0</v>
      </c>
      <c r="D131" s="14" t="s">
        <v>54</v>
      </c>
      <c r="E131" s="15">
        <v>25.0</v>
      </c>
      <c r="F131" s="22" t="s">
        <v>455</v>
      </c>
    </row>
    <row r="132" ht="29.25" customHeight="1">
      <c r="A132" s="9" t="s">
        <v>449</v>
      </c>
      <c r="B132" s="12" t="s">
        <v>450</v>
      </c>
      <c r="C132" s="11">
        <v>3.0</v>
      </c>
      <c r="D132" s="9" t="s">
        <v>82</v>
      </c>
      <c r="E132" s="11">
        <v>50.0</v>
      </c>
      <c r="F132" s="12" t="s">
        <v>458</v>
      </c>
    </row>
    <row r="133" ht="29.25" customHeight="1">
      <c r="A133" s="14" t="s">
        <v>449</v>
      </c>
      <c r="B133" s="22" t="s">
        <v>450</v>
      </c>
      <c r="C133" s="15">
        <v>4.0</v>
      </c>
      <c r="D133" s="14" t="s">
        <v>85</v>
      </c>
      <c r="E133" s="15">
        <v>75.0</v>
      </c>
      <c r="F133" s="22" t="s">
        <v>460</v>
      </c>
    </row>
    <row r="134" ht="29.25" customHeight="1">
      <c r="A134" s="9" t="s">
        <v>449</v>
      </c>
      <c r="B134" s="12" t="s">
        <v>450</v>
      </c>
      <c r="C134" s="11">
        <v>5.0</v>
      </c>
      <c r="D134" s="9" t="s">
        <v>90</v>
      </c>
      <c r="E134" s="11">
        <v>100.0</v>
      </c>
      <c r="F134" s="12" t="s">
        <v>466</v>
      </c>
    </row>
    <row r="135" ht="15.0" customHeight="1">
      <c r="A135" s="14" t="s">
        <v>467</v>
      </c>
      <c r="B135" s="22" t="s">
        <v>469</v>
      </c>
      <c r="C135" s="15">
        <v>1.0</v>
      </c>
      <c r="D135" s="14" t="s">
        <v>32</v>
      </c>
      <c r="E135" s="15">
        <v>0.0</v>
      </c>
      <c r="F135" s="22" t="s">
        <v>471</v>
      </c>
    </row>
    <row r="136" ht="15.0" customHeight="1">
      <c r="A136" s="9" t="s">
        <v>467</v>
      </c>
      <c r="B136" s="12" t="s">
        <v>469</v>
      </c>
      <c r="C136" s="11">
        <v>2.0</v>
      </c>
      <c r="D136" s="9" t="s">
        <v>54</v>
      </c>
      <c r="E136" s="11">
        <v>25.0</v>
      </c>
      <c r="F136" s="12" t="s">
        <v>475</v>
      </c>
    </row>
    <row r="137" ht="15.0" customHeight="1">
      <c r="A137" s="14" t="s">
        <v>467</v>
      </c>
      <c r="B137" s="22" t="s">
        <v>469</v>
      </c>
      <c r="C137" s="15">
        <v>3.0</v>
      </c>
      <c r="D137" s="14" t="s">
        <v>82</v>
      </c>
      <c r="E137" s="15">
        <v>50.0</v>
      </c>
      <c r="F137" s="22" t="s">
        <v>479</v>
      </c>
    </row>
    <row r="138" ht="15.0" customHeight="1">
      <c r="A138" s="9" t="s">
        <v>467</v>
      </c>
      <c r="B138" s="12" t="s">
        <v>469</v>
      </c>
      <c r="C138" s="11">
        <v>4.0</v>
      </c>
      <c r="D138" s="9" t="s">
        <v>85</v>
      </c>
      <c r="E138" s="11">
        <v>75.0</v>
      </c>
      <c r="F138" s="12" t="s">
        <v>484</v>
      </c>
    </row>
    <row r="139" ht="15.0" customHeight="1">
      <c r="A139" s="14" t="s">
        <v>467</v>
      </c>
      <c r="B139" s="22" t="s">
        <v>469</v>
      </c>
      <c r="C139" s="15">
        <v>5.0</v>
      </c>
      <c r="D139" s="14" t="s">
        <v>90</v>
      </c>
      <c r="E139" s="15">
        <v>100.0</v>
      </c>
      <c r="F139" s="22" t="s">
        <v>487</v>
      </c>
    </row>
    <row r="140" ht="15.0" customHeight="1">
      <c r="A140" s="9" t="s">
        <v>488</v>
      </c>
      <c r="B140" s="12" t="s">
        <v>489</v>
      </c>
      <c r="C140" s="11">
        <v>1.0</v>
      </c>
      <c r="D140" s="9" t="s">
        <v>32</v>
      </c>
      <c r="E140" s="11">
        <v>0.0</v>
      </c>
      <c r="F140" s="12" t="s">
        <v>490</v>
      </c>
    </row>
    <row r="141" ht="15.0" customHeight="1">
      <c r="A141" s="14" t="s">
        <v>488</v>
      </c>
      <c r="B141" s="22" t="s">
        <v>489</v>
      </c>
      <c r="C141" s="15">
        <v>2.0</v>
      </c>
      <c r="D141" s="14" t="s">
        <v>54</v>
      </c>
      <c r="E141" s="15">
        <v>25.0</v>
      </c>
      <c r="F141" s="22" t="s">
        <v>494</v>
      </c>
    </row>
    <row r="142" ht="15.0" customHeight="1">
      <c r="A142" s="9" t="s">
        <v>488</v>
      </c>
      <c r="B142" s="12" t="s">
        <v>489</v>
      </c>
      <c r="C142" s="11">
        <v>3.0</v>
      </c>
      <c r="D142" s="9" t="s">
        <v>82</v>
      </c>
      <c r="E142" s="11">
        <v>50.0</v>
      </c>
      <c r="F142" s="12" t="s">
        <v>497</v>
      </c>
    </row>
    <row r="143" ht="15.0" customHeight="1">
      <c r="A143" s="14" t="s">
        <v>488</v>
      </c>
      <c r="B143" s="22" t="s">
        <v>489</v>
      </c>
      <c r="C143" s="15">
        <v>4.0</v>
      </c>
      <c r="D143" s="14" t="s">
        <v>85</v>
      </c>
      <c r="E143" s="15">
        <v>75.0</v>
      </c>
      <c r="F143" s="22" t="s">
        <v>501</v>
      </c>
    </row>
    <row r="144" ht="43.5" customHeight="1">
      <c r="A144" s="9" t="s">
        <v>488</v>
      </c>
      <c r="B144" s="12" t="s">
        <v>489</v>
      </c>
      <c r="C144" s="11">
        <v>5.0</v>
      </c>
      <c r="D144" s="9" t="s">
        <v>90</v>
      </c>
      <c r="E144" s="11">
        <v>100.0</v>
      </c>
      <c r="F144" s="12" t="s">
        <v>504</v>
      </c>
    </row>
    <row r="145" ht="29.25" customHeight="1">
      <c r="A145" s="14" t="s">
        <v>508</v>
      </c>
      <c r="B145" s="22" t="s">
        <v>509</v>
      </c>
      <c r="C145" s="15">
        <v>1.0</v>
      </c>
      <c r="D145" s="22" t="s">
        <v>122</v>
      </c>
      <c r="E145" s="15">
        <v>0.0</v>
      </c>
      <c r="F145" s="22" t="s">
        <v>512</v>
      </c>
    </row>
    <row r="146" ht="29.25" customHeight="1">
      <c r="A146" s="9" t="s">
        <v>508</v>
      </c>
      <c r="B146" s="12" t="s">
        <v>509</v>
      </c>
      <c r="C146" s="11">
        <v>2.0</v>
      </c>
      <c r="D146" s="12" t="s">
        <v>124</v>
      </c>
      <c r="E146" s="11">
        <v>25.0</v>
      </c>
      <c r="F146" s="12" t="s">
        <v>516</v>
      </c>
    </row>
    <row r="147" ht="29.25" customHeight="1">
      <c r="A147" s="14" t="s">
        <v>508</v>
      </c>
      <c r="B147" s="22" t="s">
        <v>509</v>
      </c>
      <c r="C147" s="15">
        <v>3.0</v>
      </c>
      <c r="D147" s="22" t="s">
        <v>126</v>
      </c>
      <c r="E147" s="15">
        <v>50.0</v>
      </c>
      <c r="F147" s="22" t="s">
        <v>519</v>
      </c>
    </row>
    <row r="148" ht="29.25" customHeight="1">
      <c r="A148" s="9" t="s">
        <v>508</v>
      </c>
      <c r="B148" s="12" t="s">
        <v>509</v>
      </c>
      <c r="C148" s="11">
        <v>4.0</v>
      </c>
      <c r="D148" s="12" t="s">
        <v>128</v>
      </c>
      <c r="E148" s="11">
        <v>75.0</v>
      </c>
      <c r="F148" s="12" t="s">
        <v>522</v>
      </c>
    </row>
    <row r="149" ht="29.25" customHeight="1">
      <c r="A149" s="14" t="s">
        <v>508</v>
      </c>
      <c r="B149" s="22" t="s">
        <v>509</v>
      </c>
      <c r="C149" s="15">
        <v>5.0</v>
      </c>
      <c r="D149" s="22" t="s">
        <v>130</v>
      </c>
      <c r="E149" s="15">
        <v>100.0</v>
      </c>
      <c r="F149" s="22" t="s">
        <v>526</v>
      </c>
    </row>
    <row r="150" ht="15.0" customHeight="1">
      <c r="A150" s="9" t="s">
        <v>528</v>
      </c>
      <c r="B150" s="12" t="s">
        <v>530</v>
      </c>
      <c r="C150" s="11">
        <v>1.0</v>
      </c>
      <c r="D150" s="9" t="s">
        <v>32</v>
      </c>
      <c r="E150" s="11">
        <v>0.0</v>
      </c>
      <c r="F150" s="12" t="s">
        <v>531</v>
      </c>
    </row>
    <row r="151" ht="15.0" customHeight="1">
      <c r="A151" s="14" t="s">
        <v>528</v>
      </c>
      <c r="B151" s="22" t="s">
        <v>530</v>
      </c>
      <c r="C151" s="15">
        <v>2.0</v>
      </c>
      <c r="D151" s="14" t="s">
        <v>54</v>
      </c>
      <c r="E151" s="15">
        <v>50.0</v>
      </c>
      <c r="F151" s="22" t="s">
        <v>534</v>
      </c>
    </row>
    <row r="152" ht="43.5" customHeight="1">
      <c r="A152" s="9" t="s">
        <v>528</v>
      </c>
      <c r="B152" s="12" t="s">
        <v>530</v>
      </c>
      <c r="C152" s="11">
        <v>3.0</v>
      </c>
      <c r="D152" s="9" t="s">
        <v>82</v>
      </c>
      <c r="E152" s="11">
        <v>100.0</v>
      </c>
      <c r="F152" s="12" t="s">
        <v>535</v>
      </c>
    </row>
    <row r="153" ht="29.25" customHeight="1">
      <c r="A153" s="14" t="s">
        <v>537</v>
      </c>
      <c r="B153" s="22" t="s">
        <v>539</v>
      </c>
      <c r="C153" s="15">
        <v>1.0</v>
      </c>
      <c r="D153" s="14" t="s">
        <v>32</v>
      </c>
      <c r="E153" s="15">
        <v>0.0</v>
      </c>
      <c r="F153" s="22" t="s">
        <v>540</v>
      </c>
    </row>
    <row r="154" ht="15.0" customHeight="1">
      <c r="A154" s="9" t="s">
        <v>537</v>
      </c>
      <c r="B154" s="12" t="s">
        <v>539</v>
      </c>
      <c r="C154" s="11">
        <v>2.0</v>
      </c>
      <c r="D154" s="9" t="s">
        <v>54</v>
      </c>
      <c r="E154" s="11">
        <v>25.0</v>
      </c>
      <c r="F154" s="12" t="s">
        <v>543</v>
      </c>
    </row>
    <row r="155" ht="15.0" customHeight="1">
      <c r="A155" s="14" t="s">
        <v>537</v>
      </c>
      <c r="B155" s="22" t="s">
        <v>539</v>
      </c>
      <c r="C155" s="15">
        <v>3.0</v>
      </c>
      <c r="D155" s="14" t="s">
        <v>82</v>
      </c>
      <c r="E155" s="15">
        <v>50.0</v>
      </c>
      <c r="F155" s="22" t="s">
        <v>546</v>
      </c>
    </row>
    <row r="156" ht="15.0" customHeight="1">
      <c r="A156" s="9" t="s">
        <v>537</v>
      </c>
      <c r="B156" s="12" t="s">
        <v>539</v>
      </c>
      <c r="C156" s="11">
        <v>4.0</v>
      </c>
      <c r="D156" s="9" t="s">
        <v>85</v>
      </c>
      <c r="E156" s="11">
        <v>75.0</v>
      </c>
      <c r="F156" s="12" t="s">
        <v>550</v>
      </c>
    </row>
    <row r="157" ht="15.0" customHeight="1">
      <c r="A157" s="14" t="s">
        <v>537</v>
      </c>
      <c r="B157" s="22" t="s">
        <v>539</v>
      </c>
      <c r="C157" s="15">
        <v>5.0</v>
      </c>
      <c r="D157" s="14" t="s">
        <v>90</v>
      </c>
      <c r="E157" s="15">
        <v>100.0</v>
      </c>
      <c r="F157" s="22" t="s">
        <v>556</v>
      </c>
    </row>
    <row r="158" ht="15.0" customHeight="1">
      <c r="A158" s="9" t="s">
        <v>559</v>
      </c>
      <c r="B158" s="12" t="s">
        <v>561</v>
      </c>
      <c r="C158" s="11">
        <v>1.0</v>
      </c>
      <c r="D158" s="9" t="s">
        <v>32</v>
      </c>
      <c r="E158" s="11">
        <v>0.0</v>
      </c>
      <c r="F158" s="12" t="s">
        <v>564</v>
      </c>
    </row>
    <row r="159" ht="29.25" customHeight="1">
      <c r="A159" s="14" t="s">
        <v>559</v>
      </c>
      <c r="B159" s="22" t="s">
        <v>561</v>
      </c>
      <c r="C159" s="15">
        <v>2.0</v>
      </c>
      <c r="D159" s="14" t="s">
        <v>54</v>
      </c>
      <c r="E159" s="15">
        <v>25.0</v>
      </c>
      <c r="F159" s="22" t="s">
        <v>569</v>
      </c>
    </row>
    <row r="160" ht="29.25" customHeight="1">
      <c r="A160" s="9" t="s">
        <v>559</v>
      </c>
      <c r="B160" s="12" t="s">
        <v>561</v>
      </c>
      <c r="C160" s="11">
        <v>3.0</v>
      </c>
      <c r="D160" s="9" t="s">
        <v>82</v>
      </c>
      <c r="E160" s="11">
        <v>50.0</v>
      </c>
      <c r="F160" s="12" t="s">
        <v>572</v>
      </c>
    </row>
    <row r="161" ht="29.25" customHeight="1">
      <c r="A161" s="14" t="s">
        <v>559</v>
      </c>
      <c r="B161" s="22" t="s">
        <v>561</v>
      </c>
      <c r="C161" s="15">
        <v>4.0</v>
      </c>
      <c r="D161" s="14" t="s">
        <v>85</v>
      </c>
      <c r="E161" s="15">
        <v>75.0</v>
      </c>
      <c r="F161" s="22" t="s">
        <v>575</v>
      </c>
    </row>
    <row r="162" ht="29.25" customHeight="1">
      <c r="A162" s="9" t="s">
        <v>559</v>
      </c>
      <c r="B162" s="12" t="s">
        <v>561</v>
      </c>
      <c r="C162" s="11">
        <v>5.0</v>
      </c>
      <c r="D162" s="9" t="s">
        <v>90</v>
      </c>
      <c r="E162" s="11">
        <v>100.0</v>
      </c>
      <c r="F162" s="12" t="s">
        <v>580</v>
      </c>
    </row>
    <row r="163" ht="15.0" customHeight="1">
      <c r="A163" s="14" t="s">
        <v>582</v>
      </c>
      <c r="B163" s="22" t="s">
        <v>585</v>
      </c>
      <c r="C163" s="15">
        <v>1.0</v>
      </c>
      <c r="D163" s="14" t="s">
        <v>32</v>
      </c>
      <c r="E163" s="15">
        <v>0.0</v>
      </c>
      <c r="F163" s="22" t="s">
        <v>587</v>
      </c>
    </row>
    <row r="164" ht="29.25" customHeight="1">
      <c r="A164" s="9" t="s">
        <v>582</v>
      </c>
      <c r="B164" s="12" t="s">
        <v>585</v>
      </c>
      <c r="C164" s="11">
        <v>2.0</v>
      </c>
      <c r="D164" s="9" t="s">
        <v>54</v>
      </c>
      <c r="E164" s="11">
        <v>25.0</v>
      </c>
      <c r="F164" s="12" t="s">
        <v>591</v>
      </c>
    </row>
    <row r="165" ht="29.25" customHeight="1">
      <c r="A165" s="14" t="s">
        <v>582</v>
      </c>
      <c r="B165" s="22" t="s">
        <v>585</v>
      </c>
      <c r="C165" s="15">
        <v>3.0</v>
      </c>
      <c r="D165" s="14" t="s">
        <v>82</v>
      </c>
      <c r="E165" s="15">
        <v>50.0</v>
      </c>
      <c r="F165" s="22" t="s">
        <v>597</v>
      </c>
    </row>
    <row r="166" ht="29.25" customHeight="1">
      <c r="A166" s="9" t="s">
        <v>582</v>
      </c>
      <c r="B166" s="12" t="s">
        <v>585</v>
      </c>
      <c r="C166" s="11">
        <v>4.0</v>
      </c>
      <c r="D166" s="9" t="s">
        <v>85</v>
      </c>
      <c r="E166" s="11">
        <v>75.0</v>
      </c>
      <c r="F166" s="12" t="s">
        <v>602</v>
      </c>
    </row>
    <row r="167" ht="29.25" customHeight="1">
      <c r="A167" s="14" t="s">
        <v>582</v>
      </c>
      <c r="B167" s="22" t="s">
        <v>585</v>
      </c>
      <c r="C167" s="15">
        <v>5.0</v>
      </c>
      <c r="D167" s="14" t="s">
        <v>90</v>
      </c>
      <c r="E167" s="15">
        <v>100.0</v>
      </c>
      <c r="F167" s="22" t="s">
        <v>605</v>
      </c>
    </row>
    <row r="168" ht="15.0" customHeight="1">
      <c r="A168" s="9" t="s">
        <v>607</v>
      </c>
      <c r="B168" s="12" t="s">
        <v>609</v>
      </c>
      <c r="C168" s="11">
        <v>1.0</v>
      </c>
      <c r="D168" s="12" t="s">
        <v>122</v>
      </c>
      <c r="E168" s="11">
        <v>0.0</v>
      </c>
      <c r="F168" s="12" t="s">
        <v>611</v>
      </c>
    </row>
    <row r="169" ht="15.0" customHeight="1">
      <c r="A169" s="14" t="s">
        <v>607</v>
      </c>
      <c r="B169" s="22" t="s">
        <v>609</v>
      </c>
      <c r="C169" s="15">
        <v>2.0</v>
      </c>
      <c r="D169" s="22" t="s">
        <v>124</v>
      </c>
      <c r="E169" s="15">
        <v>25.0</v>
      </c>
      <c r="F169" s="22" t="s">
        <v>615</v>
      </c>
    </row>
    <row r="170" ht="15.0" customHeight="1">
      <c r="A170" s="9" t="s">
        <v>607</v>
      </c>
      <c r="B170" s="12" t="s">
        <v>609</v>
      </c>
      <c r="C170" s="11">
        <v>3.0</v>
      </c>
      <c r="D170" s="12" t="s">
        <v>126</v>
      </c>
      <c r="E170" s="11">
        <v>50.0</v>
      </c>
      <c r="F170" s="12" t="s">
        <v>619</v>
      </c>
    </row>
    <row r="171" ht="15.0" customHeight="1">
      <c r="A171" s="14" t="s">
        <v>607</v>
      </c>
      <c r="B171" s="22" t="s">
        <v>609</v>
      </c>
      <c r="C171" s="15">
        <v>4.0</v>
      </c>
      <c r="D171" s="22" t="s">
        <v>128</v>
      </c>
      <c r="E171" s="15">
        <v>75.0</v>
      </c>
      <c r="F171" s="22" t="s">
        <v>625</v>
      </c>
    </row>
    <row r="172" ht="29.25" customHeight="1">
      <c r="A172" s="9" t="s">
        <v>607</v>
      </c>
      <c r="B172" s="12" t="s">
        <v>609</v>
      </c>
      <c r="C172" s="11">
        <v>5.0</v>
      </c>
      <c r="D172" s="12" t="s">
        <v>130</v>
      </c>
      <c r="E172" s="11">
        <v>100.0</v>
      </c>
      <c r="F172" s="12" t="s">
        <v>630</v>
      </c>
    </row>
    <row r="173" ht="29.25" customHeight="1">
      <c r="A173" s="14" t="s">
        <v>631</v>
      </c>
      <c r="B173" s="22" t="s">
        <v>633</v>
      </c>
      <c r="C173" s="15">
        <v>1.0</v>
      </c>
      <c r="D173" s="22" t="s">
        <v>122</v>
      </c>
      <c r="E173" s="15">
        <v>0.0</v>
      </c>
      <c r="F173" s="22" t="s">
        <v>637</v>
      </c>
    </row>
    <row r="174" ht="15.0" customHeight="1">
      <c r="A174" s="9" t="s">
        <v>631</v>
      </c>
      <c r="B174" s="12" t="s">
        <v>633</v>
      </c>
      <c r="C174" s="11">
        <v>2.0</v>
      </c>
      <c r="D174" s="12" t="s">
        <v>124</v>
      </c>
      <c r="E174" s="11">
        <v>25.0</v>
      </c>
      <c r="F174" s="12" t="s">
        <v>642</v>
      </c>
    </row>
    <row r="175" ht="15.0" customHeight="1">
      <c r="A175" s="14" t="s">
        <v>631</v>
      </c>
      <c r="B175" s="22" t="s">
        <v>633</v>
      </c>
      <c r="C175" s="15">
        <v>3.0</v>
      </c>
      <c r="D175" s="22" t="s">
        <v>126</v>
      </c>
      <c r="E175" s="15">
        <v>50.0</v>
      </c>
      <c r="F175" s="22" t="s">
        <v>648</v>
      </c>
    </row>
    <row r="176" ht="15.0" customHeight="1">
      <c r="A176" s="9" t="s">
        <v>631</v>
      </c>
      <c r="B176" s="12" t="s">
        <v>633</v>
      </c>
      <c r="C176" s="11">
        <v>4.0</v>
      </c>
      <c r="D176" s="12" t="s">
        <v>128</v>
      </c>
      <c r="E176" s="11">
        <v>75.0</v>
      </c>
      <c r="F176" s="12" t="s">
        <v>653</v>
      </c>
    </row>
    <row r="177" ht="29.25" customHeight="1">
      <c r="A177" s="14" t="s">
        <v>631</v>
      </c>
      <c r="B177" s="22" t="s">
        <v>633</v>
      </c>
      <c r="C177" s="15">
        <v>5.0</v>
      </c>
      <c r="D177" s="22" t="s">
        <v>130</v>
      </c>
      <c r="E177" s="15">
        <v>100.0</v>
      </c>
      <c r="F177" s="22" t="s">
        <v>662</v>
      </c>
    </row>
    <row r="178" ht="15.0" customHeight="1">
      <c r="A178" s="9" t="s">
        <v>663</v>
      </c>
      <c r="B178" s="12" t="s">
        <v>665</v>
      </c>
      <c r="C178" s="11">
        <v>1.0</v>
      </c>
      <c r="D178" s="9" t="s">
        <v>32</v>
      </c>
      <c r="E178" s="11">
        <v>0.0</v>
      </c>
      <c r="F178" s="12" t="s">
        <v>668</v>
      </c>
    </row>
    <row r="179" ht="29.25" customHeight="1">
      <c r="A179" s="14" t="s">
        <v>663</v>
      </c>
      <c r="B179" s="22" t="s">
        <v>665</v>
      </c>
      <c r="C179" s="15">
        <v>2.0</v>
      </c>
      <c r="D179" s="14" t="s">
        <v>54</v>
      </c>
      <c r="E179" s="15">
        <v>25.0</v>
      </c>
      <c r="F179" s="22" t="s">
        <v>673</v>
      </c>
    </row>
    <row r="180" ht="15.0" customHeight="1">
      <c r="A180" s="9" t="s">
        <v>663</v>
      </c>
      <c r="B180" s="12" t="s">
        <v>665</v>
      </c>
      <c r="C180" s="11">
        <v>3.0</v>
      </c>
      <c r="D180" s="9" t="s">
        <v>82</v>
      </c>
      <c r="E180" s="11">
        <v>50.0</v>
      </c>
      <c r="F180" s="12" t="s">
        <v>677</v>
      </c>
    </row>
    <row r="181" ht="15.0" customHeight="1">
      <c r="A181" s="14" t="s">
        <v>663</v>
      </c>
      <c r="B181" s="22" t="s">
        <v>665</v>
      </c>
      <c r="C181" s="15">
        <v>4.0</v>
      </c>
      <c r="D181" s="14" t="s">
        <v>85</v>
      </c>
      <c r="E181" s="15">
        <v>75.0</v>
      </c>
      <c r="F181" s="22" t="s">
        <v>679</v>
      </c>
    </row>
    <row r="182" ht="15.0" customHeight="1">
      <c r="A182" s="9" t="s">
        <v>663</v>
      </c>
      <c r="B182" s="12" t="s">
        <v>665</v>
      </c>
      <c r="C182" s="11">
        <v>5.0</v>
      </c>
      <c r="D182" s="9" t="s">
        <v>90</v>
      </c>
      <c r="E182" s="11">
        <v>100.0</v>
      </c>
      <c r="F182" s="12" t="s">
        <v>684</v>
      </c>
    </row>
    <row r="183" ht="29.25" customHeight="1">
      <c r="A183" s="14" t="s">
        <v>685</v>
      </c>
      <c r="B183" s="22" t="s">
        <v>687</v>
      </c>
      <c r="C183" s="15">
        <v>1.0</v>
      </c>
      <c r="D183" s="22" t="s">
        <v>122</v>
      </c>
      <c r="E183" s="15">
        <v>0.0</v>
      </c>
      <c r="F183" s="22" t="s">
        <v>688</v>
      </c>
    </row>
    <row r="184" ht="15.0" customHeight="1">
      <c r="A184" s="9" t="s">
        <v>685</v>
      </c>
      <c r="B184" s="12" t="s">
        <v>687</v>
      </c>
      <c r="C184" s="11">
        <v>2.0</v>
      </c>
      <c r="D184" s="12" t="s">
        <v>124</v>
      </c>
      <c r="E184" s="11">
        <v>25.0</v>
      </c>
      <c r="F184" s="12" t="s">
        <v>691</v>
      </c>
    </row>
    <row r="185" ht="15.0" customHeight="1">
      <c r="A185" s="14" t="s">
        <v>685</v>
      </c>
      <c r="B185" s="22" t="s">
        <v>687</v>
      </c>
      <c r="C185" s="15">
        <v>3.0</v>
      </c>
      <c r="D185" s="22" t="s">
        <v>126</v>
      </c>
      <c r="E185" s="15">
        <v>50.0</v>
      </c>
      <c r="F185" s="22" t="s">
        <v>693</v>
      </c>
    </row>
    <row r="186" ht="15.0" customHeight="1">
      <c r="A186" s="9" t="s">
        <v>685</v>
      </c>
      <c r="B186" s="12" t="s">
        <v>687</v>
      </c>
      <c r="C186" s="11">
        <v>4.0</v>
      </c>
      <c r="D186" s="12" t="s">
        <v>128</v>
      </c>
      <c r="E186" s="11">
        <v>75.0</v>
      </c>
      <c r="F186" s="12" t="s">
        <v>698</v>
      </c>
    </row>
    <row r="187" ht="15.0" customHeight="1">
      <c r="A187" s="14" t="s">
        <v>685</v>
      </c>
      <c r="B187" s="22" t="s">
        <v>687</v>
      </c>
      <c r="C187" s="15">
        <v>5.0</v>
      </c>
      <c r="D187" s="22" t="s">
        <v>130</v>
      </c>
      <c r="E187" s="15">
        <v>100.0</v>
      </c>
      <c r="F187" s="22" t="s">
        <v>699</v>
      </c>
    </row>
    <row r="188" ht="15.0" customHeight="1">
      <c r="A188" s="9" t="s">
        <v>701</v>
      </c>
      <c r="B188" s="12" t="s">
        <v>703</v>
      </c>
      <c r="C188" s="11">
        <v>1.0</v>
      </c>
      <c r="D188" s="9" t="s">
        <v>32</v>
      </c>
      <c r="E188" s="11">
        <v>0.0</v>
      </c>
      <c r="F188" s="12" t="s">
        <v>705</v>
      </c>
    </row>
    <row r="189" ht="15.0" customHeight="1">
      <c r="A189" s="14" t="s">
        <v>701</v>
      </c>
      <c r="B189" s="22" t="s">
        <v>703</v>
      </c>
      <c r="C189" s="15">
        <v>2.0</v>
      </c>
      <c r="D189" s="14" t="s">
        <v>54</v>
      </c>
      <c r="E189" s="15">
        <v>25.0</v>
      </c>
      <c r="F189" s="14" t="s">
        <v>709</v>
      </c>
    </row>
    <row r="190" ht="15.0" customHeight="1">
      <c r="A190" s="9" t="s">
        <v>701</v>
      </c>
      <c r="B190" s="12" t="s">
        <v>703</v>
      </c>
      <c r="C190" s="11">
        <v>3.0</v>
      </c>
      <c r="D190" s="9" t="s">
        <v>82</v>
      </c>
      <c r="E190" s="11">
        <v>50.0</v>
      </c>
      <c r="F190" s="9" t="s">
        <v>712</v>
      </c>
    </row>
    <row r="191" ht="15.0" customHeight="1">
      <c r="A191" s="14" t="s">
        <v>701</v>
      </c>
      <c r="B191" s="22" t="s">
        <v>703</v>
      </c>
      <c r="C191" s="15">
        <v>4.0</v>
      </c>
      <c r="D191" s="14" t="s">
        <v>85</v>
      </c>
      <c r="E191" s="15">
        <v>75.0</v>
      </c>
      <c r="F191" s="14" t="s">
        <v>715</v>
      </c>
    </row>
    <row r="192" ht="15.0" customHeight="1">
      <c r="A192" s="9" t="s">
        <v>701</v>
      </c>
      <c r="B192" s="12" t="s">
        <v>703</v>
      </c>
      <c r="C192" s="11">
        <v>5.0</v>
      </c>
      <c r="D192" s="9" t="s">
        <v>90</v>
      </c>
      <c r="E192" s="11">
        <v>100.0</v>
      </c>
      <c r="F192" s="9" t="s">
        <v>717</v>
      </c>
    </row>
    <row r="193" ht="15.0" customHeight="1">
      <c r="A193" s="14" t="s">
        <v>209</v>
      </c>
      <c r="B193" s="22" t="s">
        <v>719</v>
      </c>
      <c r="C193" s="15">
        <v>1.0</v>
      </c>
      <c r="D193" s="14" t="s">
        <v>32</v>
      </c>
      <c r="E193" s="15">
        <v>0.0</v>
      </c>
      <c r="F193" s="22" t="s">
        <v>721</v>
      </c>
    </row>
    <row r="194" ht="15.0" customHeight="1">
      <c r="A194" s="9" t="s">
        <v>209</v>
      </c>
      <c r="B194" s="12" t="s">
        <v>719</v>
      </c>
      <c r="C194" s="11">
        <v>2.0</v>
      </c>
      <c r="D194" s="9" t="s">
        <v>54</v>
      </c>
      <c r="E194" s="11">
        <v>25.0</v>
      </c>
      <c r="F194" s="12" t="s">
        <v>723</v>
      </c>
    </row>
    <row r="195" ht="29.25" customHeight="1">
      <c r="A195" s="14" t="s">
        <v>209</v>
      </c>
      <c r="B195" s="22" t="s">
        <v>719</v>
      </c>
      <c r="C195" s="15">
        <v>3.0</v>
      </c>
      <c r="D195" s="14" t="s">
        <v>82</v>
      </c>
      <c r="E195" s="15">
        <v>50.0</v>
      </c>
      <c r="F195" s="22" t="s">
        <v>728</v>
      </c>
    </row>
    <row r="196" ht="43.5" customHeight="1">
      <c r="A196" s="9" t="s">
        <v>209</v>
      </c>
      <c r="B196" s="12" t="s">
        <v>719</v>
      </c>
      <c r="C196" s="11">
        <v>4.0</v>
      </c>
      <c r="D196" s="9" t="s">
        <v>85</v>
      </c>
      <c r="E196" s="11">
        <v>75.0</v>
      </c>
      <c r="F196" s="12" t="s">
        <v>733</v>
      </c>
    </row>
    <row r="197" ht="29.25" customHeight="1">
      <c r="A197" s="14" t="s">
        <v>209</v>
      </c>
      <c r="B197" s="22" t="s">
        <v>719</v>
      </c>
      <c r="C197" s="15">
        <v>5.0</v>
      </c>
      <c r="D197" s="14" t="s">
        <v>90</v>
      </c>
      <c r="E197" s="15">
        <v>100.0</v>
      </c>
      <c r="F197" s="22" t="s">
        <v>735</v>
      </c>
    </row>
    <row r="198" ht="15.0" customHeight="1">
      <c r="A198" s="9" t="s">
        <v>227</v>
      </c>
      <c r="B198" s="12" t="s">
        <v>736</v>
      </c>
      <c r="C198" s="11">
        <v>1.0</v>
      </c>
      <c r="D198" s="9" t="s">
        <v>32</v>
      </c>
      <c r="E198" s="11">
        <v>0.0</v>
      </c>
      <c r="F198" s="12" t="s">
        <v>737</v>
      </c>
    </row>
    <row r="199" ht="15.0" customHeight="1">
      <c r="A199" s="14" t="s">
        <v>227</v>
      </c>
      <c r="B199" s="22" t="s">
        <v>736</v>
      </c>
      <c r="C199" s="15">
        <v>2.0</v>
      </c>
      <c r="D199" s="14" t="s">
        <v>54</v>
      </c>
      <c r="E199" s="15">
        <v>25.0</v>
      </c>
      <c r="F199" s="22" t="s">
        <v>738</v>
      </c>
    </row>
    <row r="200" ht="15.0" customHeight="1">
      <c r="A200" s="9" t="s">
        <v>227</v>
      </c>
      <c r="B200" s="12" t="s">
        <v>736</v>
      </c>
      <c r="C200" s="11">
        <v>3.0</v>
      </c>
      <c r="D200" s="9" t="s">
        <v>82</v>
      </c>
      <c r="E200" s="11">
        <v>50.0</v>
      </c>
      <c r="F200" s="12" t="s">
        <v>741</v>
      </c>
    </row>
    <row r="201" ht="15.0" customHeight="1">
      <c r="A201" s="14" t="s">
        <v>227</v>
      </c>
      <c r="B201" s="22" t="s">
        <v>736</v>
      </c>
      <c r="C201" s="15">
        <v>4.0</v>
      </c>
      <c r="D201" s="14" t="s">
        <v>85</v>
      </c>
      <c r="E201" s="15">
        <v>75.0</v>
      </c>
      <c r="F201" s="22" t="s">
        <v>743</v>
      </c>
    </row>
    <row r="202" ht="29.25" customHeight="1">
      <c r="A202" s="9" t="s">
        <v>227</v>
      </c>
      <c r="B202" s="12" t="s">
        <v>736</v>
      </c>
      <c r="C202" s="11">
        <v>5.0</v>
      </c>
      <c r="D202" s="9" t="s">
        <v>90</v>
      </c>
      <c r="E202" s="11">
        <v>100.0</v>
      </c>
      <c r="F202" s="12" t="s">
        <v>746</v>
      </c>
    </row>
    <row r="203" ht="15.0" customHeight="1">
      <c r="A203" s="14" t="s">
        <v>697</v>
      </c>
      <c r="B203" s="22" t="s">
        <v>747</v>
      </c>
      <c r="C203" s="15">
        <v>1.0</v>
      </c>
      <c r="D203" s="14" t="s">
        <v>32</v>
      </c>
      <c r="E203" s="15">
        <v>0.0</v>
      </c>
      <c r="F203" s="22" t="s">
        <v>750</v>
      </c>
    </row>
    <row r="204" ht="15.0" customHeight="1">
      <c r="A204" s="9" t="s">
        <v>697</v>
      </c>
      <c r="B204" s="12" t="s">
        <v>747</v>
      </c>
      <c r="C204" s="11">
        <v>2.0</v>
      </c>
      <c r="D204" s="9" t="s">
        <v>54</v>
      </c>
      <c r="E204" s="11">
        <v>50.0</v>
      </c>
      <c r="F204" s="12" t="s">
        <v>752</v>
      </c>
    </row>
    <row r="205" ht="15.0" customHeight="1">
      <c r="A205" s="14" t="s">
        <v>697</v>
      </c>
      <c r="B205" s="22" t="s">
        <v>747</v>
      </c>
      <c r="C205" s="15">
        <v>3.0</v>
      </c>
      <c r="D205" s="14" t="s">
        <v>82</v>
      </c>
      <c r="E205" s="15">
        <v>100.0</v>
      </c>
      <c r="F205" s="22" t="s">
        <v>756</v>
      </c>
    </row>
    <row r="206" ht="15.0" customHeight="1">
      <c r="A206" s="9" t="s">
        <v>757</v>
      </c>
      <c r="B206" s="12" t="s">
        <v>758</v>
      </c>
      <c r="C206" s="11">
        <v>1.0</v>
      </c>
      <c r="D206" s="9" t="s">
        <v>32</v>
      </c>
      <c r="E206" s="11">
        <v>0.0</v>
      </c>
      <c r="F206" s="12" t="s">
        <v>760</v>
      </c>
    </row>
    <row r="207" ht="15.0" customHeight="1">
      <c r="A207" s="14" t="s">
        <v>757</v>
      </c>
      <c r="B207" s="22" t="s">
        <v>758</v>
      </c>
      <c r="C207" s="15">
        <v>2.0</v>
      </c>
      <c r="D207" s="14" t="s">
        <v>54</v>
      </c>
      <c r="E207" s="15">
        <v>25.0</v>
      </c>
      <c r="F207" s="22" t="s">
        <v>765</v>
      </c>
    </row>
    <row r="208" ht="15.0" customHeight="1">
      <c r="A208" s="9" t="s">
        <v>757</v>
      </c>
      <c r="B208" s="12" t="s">
        <v>758</v>
      </c>
      <c r="C208" s="11">
        <v>3.0</v>
      </c>
      <c r="D208" s="9" t="s">
        <v>82</v>
      </c>
      <c r="E208" s="11">
        <v>50.0</v>
      </c>
      <c r="F208" s="12" t="s">
        <v>767</v>
      </c>
    </row>
    <row r="209" ht="15.0" customHeight="1">
      <c r="A209" s="14" t="s">
        <v>757</v>
      </c>
      <c r="B209" s="22" t="s">
        <v>758</v>
      </c>
      <c r="C209" s="15">
        <v>4.0</v>
      </c>
      <c r="D209" s="14" t="s">
        <v>85</v>
      </c>
      <c r="E209" s="15">
        <v>75.0</v>
      </c>
      <c r="F209" s="22" t="s">
        <v>770</v>
      </c>
    </row>
    <row r="210" ht="15.0" customHeight="1">
      <c r="A210" s="9" t="s">
        <v>757</v>
      </c>
      <c r="B210" s="12" t="s">
        <v>758</v>
      </c>
      <c r="C210" s="11">
        <v>5.0</v>
      </c>
      <c r="D210" s="9" t="s">
        <v>90</v>
      </c>
      <c r="E210" s="11">
        <v>100.0</v>
      </c>
      <c r="F210" s="12" t="s">
        <v>773</v>
      </c>
    </row>
    <row r="211" ht="15.0" customHeight="1">
      <c r="A211" s="14" t="s">
        <v>775</v>
      </c>
      <c r="B211" s="22" t="s">
        <v>776</v>
      </c>
      <c r="C211" s="15">
        <v>1.0</v>
      </c>
      <c r="D211" s="14" t="s">
        <v>32</v>
      </c>
      <c r="E211" s="15">
        <v>0.0</v>
      </c>
      <c r="F211" s="22" t="s">
        <v>779</v>
      </c>
    </row>
    <row r="212" ht="15.0" customHeight="1">
      <c r="A212" s="9" t="s">
        <v>775</v>
      </c>
      <c r="B212" s="12" t="s">
        <v>776</v>
      </c>
      <c r="C212" s="11">
        <v>2.0</v>
      </c>
      <c r="D212" s="9" t="s">
        <v>54</v>
      </c>
      <c r="E212" s="11">
        <v>25.0</v>
      </c>
      <c r="F212" s="12" t="s">
        <v>781</v>
      </c>
    </row>
    <row r="213" ht="15.0" customHeight="1">
      <c r="A213" s="14" t="s">
        <v>775</v>
      </c>
      <c r="B213" s="22" t="s">
        <v>776</v>
      </c>
      <c r="C213" s="15">
        <v>3.0</v>
      </c>
      <c r="D213" s="14" t="s">
        <v>82</v>
      </c>
      <c r="E213" s="15">
        <v>50.0</v>
      </c>
      <c r="F213" s="22" t="s">
        <v>783</v>
      </c>
    </row>
    <row r="214" ht="15.0" customHeight="1">
      <c r="A214" s="9" t="s">
        <v>775</v>
      </c>
      <c r="B214" s="12" t="s">
        <v>776</v>
      </c>
      <c r="C214" s="11">
        <v>4.0</v>
      </c>
      <c r="D214" s="9" t="s">
        <v>85</v>
      </c>
      <c r="E214" s="11">
        <v>75.0</v>
      </c>
      <c r="F214" s="12" t="s">
        <v>786</v>
      </c>
    </row>
    <row r="215" ht="15.0" customHeight="1">
      <c r="A215" s="14" t="s">
        <v>775</v>
      </c>
      <c r="B215" s="22" t="s">
        <v>776</v>
      </c>
      <c r="C215" s="15">
        <v>5.0</v>
      </c>
      <c r="D215" s="14" t="s">
        <v>90</v>
      </c>
      <c r="E215" s="15">
        <v>100.0</v>
      </c>
      <c r="F215" s="22" t="s">
        <v>787</v>
      </c>
    </row>
    <row r="216" ht="29.25" customHeight="1">
      <c r="A216" s="9" t="s">
        <v>789</v>
      </c>
      <c r="B216" s="12" t="s">
        <v>791</v>
      </c>
      <c r="C216" s="11">
        <v>1.0</v>
      </c>
      <c r="D216" s="12" t="s">
        <v>122</v>
      </c>
      <c r="E216" s="11">
        <v>0.0</v>
      </c>
      <c r="F216" s="12" t="s">
        <v>794</v>
      </c>
    </row>
    <row r="217" ht="29.25" customHeight="1">
      <c r="A217" s="14" t="s">
        <v>789</v>
      </c>
      <c r="B217" s="22" t="s">
        <v>791</v>
      </c>
      <c r="C217" s="15">
        <v>2.0</v>
      </c>
      <c r="D217" s="22" t="s">
        <v>124</v>
      </c>
      <c r="E217" s="15">
        <v>25.0</v>
      </c>
      <c r="F217" s="22" t="s">
        <v>796</v>
      </c>
    </row>
    <row r="218" ht="15.0" customHeight="1">
      <c r="A218" s="9" t="s">
        <v>789</v>
      </c>
      <c r="B218" s="12" t="s">
        <v>791</v>
      </c>
      <c r="C218" s="11">
        <v>3.0</v>
      </c>
      <c r="D218" s="12" t="s">
        <v>126</v>
      </c>
      <c r="E218" s="11">
        <v>50.0</v>
      </c>
      <c r="F218" s="12" t="s">
        <v>799</v>
      </c>
    </row>
    <row r="219" ht="15.0" customHeight="1">
      <c r="A219" s="14" t="s">
        <v>789</v>
      </c>
      <c r="B219" s="22" t="s">
        <v>791</v>
      </c>
      <c r="C219" s="15">
        <v>4.0</v>
      </c>
      <c r="D219" s="22" t="s">
        <v>128</v>
      </c>
      <c r="E219" s="15">
        <v>75.0</v>
      </c>
      <c r="F219" s="22" t="s">
        <v>803</v>
      </c>
    </row>
    <row r="220" ht="15.0" customHeight="1">
      <c r="A220" s="9" t="s">
        <v>789</v>
      </c>
      <c r="B220" s="12" t="s">
        <v>791</v>
      </c>
      <c r="C220" s="11">
        <v>5.0</v>
      </c>
      <c r="D220" s="12" t="s">
        <v>130</v>
      </c>
      <c r="E220" s="11">
        <v>100.0</v>
      </c>
      <c r="F220" s="12" t="s">
        <v>805</v>
      </c>
    </row>
    <row r="221" ht="15.0" customHeight="1">
      <c r="A221" s="14" t="s">
        <v>806</v>
      </c>
      <c r="B221" s="22" t="s">
        <v>807</v>
      </c>
      <c r="C221" s="15">
        <v>1.0</v>
      </c>
      <c r="D221" s="14" t="s">
        <v>32</v>
      </c>
      <c r="E221" s="15">
        <v>0.0</v>
      </c>
      <c r="F221" s="22" t="s">
        <v>810</v>
      </c>
    </row>
    <row r="222" ht="15.0" customHeight="1">
      <c r="A222" s="9" t="s">
        <v>806</v>
      </c>
      <c r="B222" s="12" t="s">
        <v>807</v>
      </c>
      <c r="C222" s="11">
        <v>2.0</v>
      </c>
      <c r="D222" s="9" t="s">
        <v>54</v>
      </c>
      <c r="E222" s="11">
        <v>50.0</v>
      </c>
      <c r="F222" s="12" t="s">
        <v>811</v>
      </c>
    </row>
    <row r="223" ht="15.0" customHeight="1">
      <c r="A223" s="14" t="s">
        <v>806</v>
      </c>
      <c r="B223" s="22" t="s">
        <v>807</v>
      </c>
      <c r="C223" s="15">
        <v>3.0</v>
      </c>
      <c r="D223" s="14" t="s">
        <v>82</v>
      </c>
      <c r="E223" s="15">
        <v>100.0</v>
      </c>
      <c r="F223" s="22" t="s">
        <v>815</v>
      </c>
    </row>
    <row r="224" ht="15.0" customHeight="1">
      <c r="A224" s="9" t="s">
        <v>78</v>
      </c>
      <c r="B224" s="12" t="s">
        <v>816</v>
      </c>
      <c r="C224" s="11">
        <v>1.0</v>
      </c>
      <c r="D224" s="9" t="s">
        <v>32</v>
      </c>
      <c r="E224" s="11">
        <v>0.0</v>
      </c>
      <c r="F224" s="12" t="s">
        <v>817</v>
      </c>
    </row>
    <row r="225" ht="15.0" customHeight="1">
      <c r="A225" s="14" t="s">
        <v>78</v>
      </c>
      <c r="B225" s="22" t="s">
        <v>816</v>
      </c>
      <c r="C225" s="15">
        <v>2.0</v>
      </c>
      <c r="D225" s="14" t="s">
        <v>54</v>
      </c>
      <c r="E225" s="15">
        <v>25.0</v>
      </c>
      <c r="F225" s="22" t="s">
        <v>820</v>
      </c>
    </row>
    <row r="226" ht="15.0" customHeight="1">
      <c r="A226" s="9" t="s">
        <v>78</v>
      </c>
      <c r="B226" s="12" t="s">
        <v>816</v>
      </c>
      <c r="C226" s="11">
        <v>3.0</v>
      </c>
      <c r="D226" s="9" t="s">
        <v>82</v>
      </c>
      <c r="E226" s="11">
        <v>50.0</v>
      </c>
      <c r="F226" s="12" t="s">
        <v>824</v>
      </c>
    </row>
    <row r="227" ht="15.0" customHeight="1">
      <c r="A227" s="14" t="s">
        <v>78</v>
      </c>
      <c r="B227" s="22" t="s">
        <v>816</v>
      </c>
      <c r="C227" s="15">
        <v>4.0</v>
      </c>
      <c r="D227" s="14" t="s">
        <v>85</v>
      </c>
      <c r="E227" s="15">
        <v>75.0</v>
      </c>
      <c r="F227" s="22" t="s">
        <v>827</v>
      </c>
    </row>
    <row r="228" ht="15.0" customHeight="1">
      <c r="A228" s="9" t="s">
        <v>78</v>
      </c>
      <c r="B228" s="12" t="s">
        <v>816</v>
      </c>
      <c r="C228" s="11">
        <v>5.0</v>
      </c>
      <c r="D228" s="9" t="s">
        <v>90</v>
      </c>
      <c r="E228" s="11">
        <v>100.0</v>
      </c>
      <c r="F228" s="12" t="s">
        <v>829</v>
      </c>
    </row>
    <row r="229" ht="15.0" customHeight="1">
      <c r="A229" s="14" t="s">
        <v>175</v>
      </c>
      <c r="B229" s="22" t="s">
        <v>173</v>
      </c>
      <c r="C229" s="15">
        <v>1.0</v>
      </c>
      <c r="D229" s="22" t="s">
        <v>122</v>
      </c>
      <c r="E229" s="15">
        <v>0.0</v>
      </c>
      <c r="F229" s="22" t="s">
        <v>834</v>
      </c>
    </row>
    <row r="230" ht="15.0" customHeight="1">
      <c r="A230" s="9" t="s">
        <v>175</v>
      </c>
      <c r="B230" s="12" t="s">
        <v>173</v>
      </c>
      <c r="C230" s="11">
        <v>2.0</v>
      </c>
      <c r="D230" s="12" t="s">
        <v>124</v>
      </c>
      <c r="E230" s="11">
        <v>25.0</v>
      </c>
      <c r="F230" s="12" t="s">
        <v>835</v>
      </c>
    </row>
    <row r="231" ht="15.0" customHeight="1">
      <c r="A231" s="14" t="s">
        <v>175</v>
      </c>
      <c r="B231" s="22" t="s">
        <v>173</v>
      </c>
      <c r="C231" s="15">
        <v>3.0</v>
      </c>
      <c r="D231" s="22" t="s">
        <v>126</v>
      </c>
      <c r="E231" s="15">
        <v>50.0</v>
      </c>
      <c r="F231" s="22" t="s">
        <v>840</v>
      </c>
    </row>
    <row r="232" ht="15.0" customHeight="1">
      <c r="A232" s="9" t="s">
        <v>175</v>
      </c>
      <c r="B232" s="12" t="s">
        <v>173</v>
      </c>
      <c r="C232" s="11">
        <v>4.0</v>
      </c>
      <c r="D232" s="12" t="s">
        <v>128</v>
      </c>
      <c r="E232" s="11">
        <v>75.0</v>
      </c>
      <c r="F232" s="12" t="s">
        <v>843</v>
      </c>
    </row>
    <row r="233" ht="15.0" customHeight="1">
      <c r="A233" s="14" t="s">
        <v>175</v>
      </c>
      <c r="B233" s="22" t="s">
        <v>173</v>
      </c>
      <c r="C233" s="15">
        <v>5.0</v>
      </c>
      <c r="D233" s="22" t="s">
        <v>130</v>
      </c>
      <c r="E233" s="15">
        <v>100.0</v>
      </c>
      <c r="F233" s="22" t="s">
        <v>845</v>
      </c>
    </row>
    <row r="234" ht="15.0" customHeight="1">
      <c r="A234" s="9" t="s">
        <v>182</v>
      </c>
      <c r="B234" s="12" t="s">
        <v>847</v>
      </c>
      <c r="C234" s="11">
        <v>1.0</v>
      </c>
      <c r="D234" s="9" t="s">
        <v>32</v>
      </c>
      <c r="E234" s="11">
        <v>0.0</v>
      </c>
      <c r="F234" s="12" t="s">
        <v>850</v>
      </c>
    </row>
    <row r="235" ht="15.0" customHeight="1">
      <c r="A235" s="14" t="s">
        <v>182</v>
      </c>
      <c r="B235" s="22" t="s">
        <v>847</v>
      </c>
      <c r="C235" s="15">
        <v>2.0</v>
      </c>
      <c r="D235" s="14" t="s">
        <v>54</v>
      </c>
      <c r="E235" s="15">
        <v>50.0</v>
      </c>
      <c r="F235" s="22" t="s">
        <v>855</v>
      </c>
    </row>
    <row r="236" ht="15.0" customHeight="1">
      <c r="A236" s="9" t="s">
        <v>182</v>
      </c>
      <c r="B236" s="12" t="s">
        <v>847</v>
      </c>
      <c r="C236" s="11">
        <v>3.0</v>
      </c>
      <c r="D236" s="9" t="s">
        <v>82</v>
      </c>
      <c r="E236" s="11">
        <v>100.0</v>
      </c>
      <c r="F236" s="12" t="s">
        <v>858</v>
      </c>
    </row>
    <row r="237" ht="15.0" customHeight="1">
      <c r="A237" s="14" t="s">
        <v>201</v>
      </c>
      <c r="B237" s="22" t="s">
        <v>861</v>
      </c>
      <c r="C237" s="15">
        <v>1.0</v>
      </c>
      <c r="D237" s="22" t="s">
        <v>122</v>
      </c>
      <c r="E237" s="15">
        <v>0.0</v>
      </c>
      <c r="F237" s="22" t="s">
        <v>864</v>
      </c>
    </row>
    <row r="238" ht="15.0" customHeight="1">
      <c r="A238" s="9" t="s">
        <v>201</v>
      </c>
      <c r="B238" s="12" t="s">
        <v>861</v>
      </c>
      <c r="C238" s="11">
        <v>2.0</v>
      </c>
      <c r="D238" s="12" t="s">
        <v>124</v>
      </c>
      <c r="E238" s="11">
        <v>25.0</v>
      </c>
      <c r="F238" s="12" t="s">
        <v>868</v>
      </c>
    </row>
    <row r="239" ht="15.0" customHeight="1">
      <c r="A239" s="14" t="s">
        <v>201</v>
      </c>
      <c r="B239" s="22" t="s">
        <v>861</v>
      </c>
      <c r="C239" s="15">
        <v>3.0</v>
      </c>
      <c r="D239" s="22" t="s">
        <v>126</v>
      </c>
      <c r="E239" s="15">
        <v>50.0</v>
      </c>
      <c r="F239" s="22" t="s">
        <v>871</v>
      </c>
    </row>
    <row r="240" ht="15.0" customHeight="1">
      <c r="A240" s="9" t="s">
        <v>201</v>
      </c>
      <c r="B240" s="12" t="s">
        <v>861</v>
      </c>
      <c r="C240" s="11">
        <v>4.0</v>
      </c>
      <c r="D240" s="12" t="s">
        <v>128</v>
      </c>
      <c r="E240" s="11">
        <v>75.0</v>
      </c>
      <c r="F240" s="12" t="s">
        <v>875</v>
      </c>
    </row>
    <row r="241" ht="15.0" customHeight="1">
      <c r="A241" s="14" t="s">
        <v>201</v>
      </c>
      <c r="B241" s="22" t="s">
        <v>861</v>
      </c>
      <c r="C241" s="15">
        <v>5.0</v>
      </c>
      <c r="D241" s="22" t="s">
        <v>130</v>
      </c>
      <c r="E241" s="15">
        <v>100.0</v>
      </c>
      <c r="F241" s="22" t="s">
        <v>877</v>
      </c>
    </row>
    <row r="242" ht="15.0" customHeight="1">
      <c r="A242" s="9" t="s">
        <v>236</v>
      </c>
      <c r="B242" s="12" t="s">
        <v>880</v>
      </c>
      <c r="C242" s="11">
        <v>1.0</v>
      </c>
      <c r="D242" s="9" t="s">
        <v>32</v>
      </c>
      <c r="E242" s="11">
        <v>0.0</v>
      </c>
      <c r="F242" s="12" t="s">
        <v>881</v>
      </c>
    </row>
    <row r="243" ht="15.0" customHeight="1">
      <c r="A243" s="14" t="s">
        <v>236</v>
      </c>
      <c r="B243" s="22" t="s">
        <v>880</v>
      </c>
      <c r="C243" s="15">
        <v>2.0</v>
      </c>
      <c r="D243" s="14" t="s">
        <v>54</v>
      </c>
      <c r="E243" s="15">
        <v>25.0</v>
      </c>
      <c r="F243" s="22" t="s">
        <v>883</v>
      </c>
    </row>
    <row r="244" ht="29.25" customHeight="1">
      <c r="A244" s="9" t="s">
        <v>236</v>
      </c>
      <c r="B244" s="12" t="s">
        <v>880</v>
      </c>
      <c r="C244" s="11">
        <v>3.0</v>
      </c>
      <c r="D244" s="9" t="s">
        <v>82</v>
      </c>
      <c r="E244" s="11">
        <v>50.0</v>
      </c>
      <c r="F244" s="12" t="s">
        <v>884</v>
      </c>
    </row>
    <row r="245" ht="29.25" customHeight="1">
      <c r="A245" s="14" t="s">
        <v>236</v>
      </c>
      <c r="B245" s="22" t="s">
        <v>880</v>
      </c>
      <c r="C245" s="15">
        <v>4.0</v>
      </c>
      <c r="D245" s="14" t="s">
        <v>85</v>
      </c>
      <c r="E245" s="15">
        <v>75.0</v>
      </c>
      <c r="F245" s="22" t="s">
        <v>886</v>
      </c>
    </row>
    <row r="246" ht="15.0" customHeight="1">
      <c r="A246" s="9" t="s">
        <v>236</v>
      </c>
      <c r="B246" s="12" t="s">
        <v>880</v>
      </c>
      <c r="C246" s="11">
        <v>5.0</v>
      </c>
      <c r="D246" s="9" t="s">
        <v>90</v>
      </c>
      <c r="E246" s="11">
        <v>100.0</v>
      </c>
      <c r="F246" s="12" t="s">
        <v>888</v>
      </c>
    </row>
    <row r="247" ht="29.25" customHeight="1">
      <c r="A247" s="14" t="s">
        <v>243</v>
      </c>
      <c r="B247" s="22" t="s">
        <v>891</v>
      </c>
      <c r="C247" s="15">
        <v>1.0</v>
      </c>
      <c r="D247" s="14" t="s">
        <v>32</v>
      </c>
      <c r="E247" s="15">
        <v>0.0</v>
      </c>
      <c r="F247" s="22" t="s">
        <v>893</v>
      </c>
    </row>
    <row r="248" ht="29.25" customHeight="1">
      <c r="A248" s="9" t="s">
        <v>243</v>
      </c>
      <c r="B248" s="12" t="s">
        <v>891</v>
      </c>
      <c r="C248" s="11">
        <v>2.0</v>
      </c>
      <c r="D248" s="9" t="s">
        <v>54</v>
      </c>
      <c r="E248" s="11">
        <v>50.0</v>
      </c>
      <c r="F248" s="12" t="s">
        <v>895</v>
      </c>
    </row>
    <row r="249" ht="29.25" customHeight="1">
      <c r="A249" s="14" t="s">
        <v>243</v>
      </c>
      <c r="B249" s="22" t="s">
        <v>891</v>
      </c>
      <c r="C249" s="15">
        <v>3.0</v>
      </c>
      <c r="D249" s="14" t="s">
        <v>82</v>
      </c>
      <c r="E249" s="15">
        <v>100.0</v>
      </c>
      <c r="F249" s="22" t="s">
        <v>898</v>
      </c>
    </row>
    <row r="250" ht="29.25" customHeight="1">
      <c r="A250" s="9" t="s">
        <v>899</v>
      </c>
      <c r="B250" s="12" t="s">
        <v>900</v>
      </c>
      <c r="C250" s="11">
        <v>1.0</v>
      </c>
      <c r="D250" s="9" t="s">
        <v>32</v>
      </c>
      <c r="E250" s="11">
        <v>0.0</v>
      </c>
      <c r="F250" s="12" t="s">
        <v>902</v>
      </c>
    </row>
    <row r="251" ht="29.25" customHeight="1">
      <c r="A251" s="14" t="s">
        <v>899</v>
      </c>
      <c r="B251" s="22" t="s">
        <v>900</v>
      </c>
      <c r="C251" s="15">
        <v>2.0</v>
      </c>
      <c r="D251" s="14" t="s">
        <v>54</v>
      </c>
      <c r="E251" s="15">
        <v>25.0</v>
      </c>
      <c r="F251" s="22" t="s">
        <v>904</v>
      </c>
    </row>
    <row r="252" ht="29.25" customHeight="1">
      <c r="A252" s="9" t="s">
        <v>899</v>
      </c>
      <c r="B252" s="12" t="s">
        <v>900</v>
      </c>
      <c r="C252" s="11">
        <v>3.0</v>
      </c>
      <c r="D252" s="9" t="s">
        <v>82</v>
      </c>
      <c r="E252" s="11">
        <v>50.0</v>
      </c>
      <c r="F252" s="12" t="s">
        <v>906</v>
      </c>
    </row>
    <row r="253" ht="29.25" customHeight="1">
      <c r="A253" s="14" t="s">
        <v>899</v>
      </c>
      <c r="B253" s="22" t="s">
        <v>900</v>
      </c>
      <c r="C253" s="15">
        <v>4.0</v>
      </c>
      <c r="D253" s="14" t="s">
        <v>85</v>
      </c>
      <c r="E253" s="15">
        <v>75.0</v>
      </c>
      <c r="F253" s="22" t="s">
        <v>909</v>
      </c>
    </row>
    <row r="254" ht="29.25" customHeight="1">
      <c r="A254" s="9" t="s">
        <v>899</v>
      </c>
      <c r="B254" s="12" t="s">
        <v>900</v>
      </c>
      <c r="C254" s="11">
        <v>5.0</v>
      </c>
      <c r="D254" s="9" t="s">
        <v>90</v>
      </c>
      <c r="E254" s="11">
        <v>100.0</v>
      </c>
      <c r="F254" s="12" t="s">
        <v>911</v>
      </c>
    </row>
    <row r="255" ht="29.25" customHeight="1">
      <c r="A255" s="14" t="s">
        <v>914</v>
      </c>
      <c r="B255" s="22" t="s">
        <v>915</v>
      </c>
      <c r="C255" s="15">
        <v>1.0</v>
      </c>
      <c r="D255" s="14" t="s">
        <v>32</v>
      </c>
      <c r="E255" s="15">
        <v>0.0</v>
      </c>
      <c r="F255" s="22" t="s">
        <v>916</v>
      </c>
    </row>
    <row r="256" ht="29.25" customHeight="1">
      <c r="A256" s="9" t="s">
        <v>914</v>
      </c>
      <c r="B256" s="12" t="s">
        <v>915</v>
      </c>
      <c r="C256" s="11">
        <v>2.0</v>
      </c>
      <c r="D256" s="9" t="s">
        <v>54</v>
      </c>
      <c r="E256" s="11">
        <v>25.0</v>
      </c>
      <c r="F256" s="12" t="s">
        <v>918</v>
      </c>
    </row>
    <row r="257" ht="29.25" customHeight="1">
      <c r="A257" s="14" t="s">
        <v>914</v>
      </c>
      <c r="B257" s="22" t="s">
        <v>915</v>
      </c>
      <c r="C257" s="15">
        <v>3.0</v>
      </c>
      <c r="D257" s="14" t="s">
        <v>82</v>
      </c>
      <c r="E257" s="15">
        <v>50.0</v>
      </c>
      <c r="F257" s="22" t="s">
        <v>920</v>
      </c>
    </row>
    <row r="258" ht="29.25" customHeight="1">
      <c r="A258" s="9" t="s">
        <v>914</v>
      </c>
      <c r="B258" s="12" t="s">
        <v>915</v>
      </c>
      <c r="C258" s="11">
        <v>4.0</v>
      </c>
      <c r="D258" s="9" t="s">
        <v>85</v>
      </c>
      <c r="E258" s="11">
        <v>75.0</v>
      </c>
      <c r="F258" s="12" t="s">
        <v>926</v>
      </c>
    </row>
    <row r="259" ht="29.25" customHeight="1">
      <c r="A259" s="14" t="s">
        <v>914</v>
      </c>
      <c r="B259" s="22" t="s">
        <v>915</v>
      </c>
      <c r="C259" s="15">
        <v>5.0</v>
      </c>
      <c r="D259" s="14" t="s">
        <v>90</v>
      </c>
      <c r="E259" s="15">
        <v>100.0</v>
      </c>
      <c r="F259" s="22" t="s">
        <v>928</v>
      </c>
    </row>
    <row r="260" ht="29.25" customHeight="1">
      <c r="A260" s="9" t="s">
        <v>933</v>
      </c>
      <c r="B260" s="12" t="s">
        <v>936</v>
      </c>
      <c r="C260" s="11">
        <v>1.0</v>
      </c>
      <c r="D260" s="12" t="s">
        <v>122</v>
      </c>
      <c r="E260" s="11">
        <v>0.0</v>
      </c>
      <c r="F260" s="9" t="s">
        <v>938</v>
      </c>
    </row>
    <row r="261" ht="29.25" customHeight="1">
      <c r="A261" s="14" t="s">
        <v>933</v>
      </c>
      <c r="B261" s="22" t="s">
        <v>936</v>
      </c>
      <c r="C261" s="15">
        <v>2.0</v>
      </c>
      <c r="D261" s="22" t="s">
        <v>124</v>
      </c>
      <c r="E261" s="15">
        <v>25.0</v>
      </c>
      <c r="F261" s="14" t="s">
        <v>941</v>
      </c>
    </row>
    <row r="262" ht="29.25" customHeight="1">
      <c r="A262" s="9" t="s">
        <v>933</v>
      </c>
      <c r="B262" s="12" t="s">
        <v>936</v>
      </c>
      <c r="C262" s="11">
        <v>3.0</v>
      </c>
      <c r="D262" s="12" t="s">
        <v>126</v>
      </c>
      <c r="E262" s="11">
        <v>50.0</v>
      </c>
      <c r="F262" s="12" t="s">
        <v>946</v>
      </c>
    </row>
    <row r="263" ht="29.25" customHeight="1">
      <c r="A263" s="14" t="s">
        <v>933</v>
      </c>
      <c r="B263" s="22" t="s">
        <v>936</v>
      </c>
      <c r="C263" s="15">
        <v>4.0</v>
      </c>
      <c r="D263" s="22" t="s">
        <v>128</v>
      </c>
      <c r="E263" s="15">
        <v>75.0</v>
      </c>
      <c r="F263" s="22" t="s">
        <v>950</v>
      </c>
    </row>
    <row r="264" ht="29.25" customHeight="1">
      <c r="A264" s="9" t="s">
        <v>933</v>
      </c>
      <c r="B264" s="12" t="s">
        <v>936</v>
      </c>
      <c r="C264" s="11">
        <v>5.0</v>
      </c>
      <c r="D264" s="12" t="s">
        <v>130</v>
      </c>
      <c r="E264" s="11">
        <v>100.0</v>
      </c>
      <c r="F264" s="12" t="s">
        <v>953</v>
      </c>
    </row>
    <row r="265" ht="15.0" customHeight="1">
      <c r="A265" s="14" t="s">
        <v>956</v>
      </c>
      <c r="B265" s="22" t="s">
        <v>957</v>
      </c>
      <c r="C265" s="15">
        <v>1.0</v>
      </c>
      <c r="D265" s="14" t="s">
        <v>32</v>
      </c>
      <c r="E265" s="15">
        <v>0.0</v>
      </c>
      <c r="F265" s="22" t="s">
        <v>959</v>
      </c>
    </row>
    <row r="266" ht="15.0" customHeight="1">
      <c r="A266" s="9" t="s">
        <v>956</v>
      </c>
      <c r="B266" s="12" t="s">
        <v>957</v>
      </c>
      <c r="C266" s="11">
        <v>2.0</v>
      </c>
      <c r="D266" s="9" t="s">
        <v>54</v>
      </c>
      <c r="E266" s="11">
        <v>25.0</v>
      </c>
      <c r="F266" s="12" t="s">
        <v>960</v>
      </c>
    </row>
    <row r="267" ht="15.0" customHeight="1">
      <c r="A267" s="14" t="s">
        <v>956</v>
      </c>
      <c r="B267" s="22" t="s">
        <v>957</v>
      </c>
      <c r="C267" s="15">
        <v>3.0</v>
      </c>
      <c r="D267" s="14" t="s">
        <v>82</v>
      </c>
      <c r="E267" s="15">
        <v>50.0</v>
      </c>
      <c r="F267" s="22" t="s">
        <v>965</v>
      </c>
    </row>
    <row r="268" ht="15.0" customHeight="1">
      <c r="A268" s="9" t="s">
        <v>956</v>
      </c>
      <c r="B268" s="12" t="s">
        <v>957</v>
      </c>
      <c r="C268" s="11">
        <v>4.0</v>
      </c>
      <c r="D268" s="9" t="s">
        <v>85</v>
      </c>
      <c r="E268" s="11">
        <v>75.0</v>
      </c>
      <c r="F268" s="12" t="s">
        <v>968</v>
      </c>
    </row>
    <row r="269" ht="29.25" customHeight="1">
      <c r="A269" s="14" t="s">
        <v>956</v>
      </c>
      <c r="B269" s="22" t="s">
        <v>957</v>
      </c>
      <c r="C269" s="15">
        <v>5.0</v>
      </c>
      <c r="D269" s="14" t="s">
        <v>90</v>
      </c>
      <c r="E269" s="15">
        <v>100.0</v>
      </c>
      <c r="F269" s="22" t="s">
        <v>972</v>
      </c>
    </row>
    <row r="270" ht="15.0" customHeight="1">
      <c r="A270" s="9" t="s">
        <v>974</v>
      </c>
      <c r="B270" s="12" t="s">
        <v>975</v>
      </c>
      <c r="C270" s="11">
        <v>1.0</v>
      </c>
      <c r="D270" s="9" t="s">
        <v>32</v>
      </c>
      <c r="E270" s="11">
        <v>0.0</v>
      </c>
      <c r="F270" s="12" t="s">
        <v>978</v>
      </c>
    </row>
    <row r="271" ht="29.25" customHeight="1">
      <c r="A271" s="14" t="s">
        <v>974</v>
      </c>
      <c r="B271" s="22" t="s">
        <v>975</v>
      </c>
      <c r="C271" s="15">
        <v>2.0</v>
      </c>
      <c r="D271" s="14" t="s">
        <v>54</v>
      </c>
      <c r="E271" s="15">
        <v>25.0</v>
      </c>
      <c r="F271" s="22" t="s">
        <v>979</v>
      </c>
    </row>
    <row r="272" ht="29.25" customHeight="1">
      <c r="A272" s="9" t="s">
        <v>974</v>
      </c>
      <c r="B272" s="12" t="s">
        <v>975</v>
      </c>
      <c r="C272" s="11">
        <v>3.0</v>
      </c>
      <c r="D272" s="9" t="s">
        <v>82</v>
      </c>
      <c r="E272" s="11">
        <v>50.0</v>
      </c>
      <c r="F272" s="12" t="s">
        <v>983</v>
      </c>
    </row>
    <row r="273" ht="29.25" customHeight="1">
      <c r="A273" s="14" t="s">
        <v>974</v>
      </c>
      <c r="B273" s="22" t="s">
        <v>975</v>
      </c>
      <c r="C273" s="15">
        <v>4.0</v>
      </c>
      <c r="D273" s="14" t="s">
        <v>85</v>
      </c>
      <c r="E273" s="15">
        <v>75.0</v>
      </c>
      <c r="F273" s="22" t="s">
        <v>988</v>
      </c>
    </row>
    <row r="274" ht="29.25" customHeight="1">
      <c r="A274" s="9" t="s">
        <v>974</v>
      </c>
      <c r="B274" s="12" t="s">
        <v>975</v>
      </c>
      <c r="C274" s="11">
        <v>5.0</v>
      </c>
      <c r="D274" s="9" t="s">
        <v>90</v>
      </c>
      <c r="E274" s="11">
        <v>100.0</v>
      </c>
      <c r="F274" s="12" t="s">
        <v>992</v>
      </c>
    </row>
    <row r="275" ht="15.0" customHeight="1">
      <c r="A275" s="14" t="s">
        <v>994</v>
      </c>
      <c r="B275" s="22" t="s">
        <v>995</v>
      </c>
      <c r="C275" s="15">
        <v>1.0</v>
      </c>
      <c r="D275" s="14" t="s">
        <v>32</v>
      </c>
      <c r="E275" s="15">
        <v>0.0</v>
      </c>
      <c r="F275" s="22" t="s">
        <v>997</v>
      </c>
    </row>
    <row r="276" ht="15.0" customHeight="1">
      <c r="A276" s="9" t="s">
        <v>994</v>
      </c>
      <c r="B276" s="12" t="s">
        <v>995</v>
      </c>
      <c r="C276" s="11">
        <v>2.0</v>
      </c>
      <c r="D276" s="9" t="s">
        <v>54</v>
      </c>
      <c r="E276" s="11">
        <v>100.0</v>
      </c>
      <c r="F276" s="12" t="s">
        <v>999</v>
      </c>
    </row>
    <row r="277" ht="29.25" customHeight="1">
      <c r="A277" s="14" t="s">
        <v>1000</v>
      </c>
      <c r="B277" s="14" t="s">
        <v>1001</v>
      </c>
      <c r="C277" s="15">
        <v>1.0</v>
      </c>
      <c r="D277" s="14" t="s">
        <v>32</v>
      </c>
      <c r="E277" s="15">
        <v>0.0</v>
      </c>
      <c r="F277" s="22" t="s">
        <v>1002</v>
      </c>
    </row>
    <row r="278" ht="29.25" customHeight="1">
      <c r="A278" s="9" t="s">
        <v>1000</v>
      </c>
      <c r="B278" s="9" t="s">
        <v>1001</v>
      </c>
      <c r="C278" s="11">
        <v>2.0</v>
      </c>
      <c r="D278" s="9" t="s">
        <v>54</v>
      </c>
      <c r="E278" s="11">
        <v>50.0</v>
      </c>
      <c r="F278" s="12" t="s">
        <v>1003</v>
      </c>
    </row>
    <row r="279" ht="29.25" customHeight="1">
      <c r="A279" s="14" t="s">
        <v>1000</v>
      </c>
      <c r="B279" s="14" t="s">
        <v>1001</v>
      </c>
      <c r="C279" s="15">
        <v>3.0</v>
      </c>
      <c r="D279" s="14" t="s">
        <v>82</v>
      </c>
      <c r="E279" s="15">
        <v>100.0</v>
      </c>
      <c r="F279" s="22" t="s">
        <v>1004</v>
      </c>
    </row>
    <row r="280" ht="15.0" customHeight="1">
      <c r="A280" s="9" t="s">
        <v>1005</v>
      </c>
      <c r="B280" s="12" t="s">
        <v>1006</v>
      </c>
      <c r="C280" s="11">
        <v>1.0</v>
      </c>
      <c r="D280" s="9" t="s">
        <v>32</v>
      </c>
      <c r="E280" s="11">
        <v>0.0</v>
      </c>
      <c r="F280" s="12" t="s">
        <v>1007</v>
      </c>
    </row>
    <row r="281" ht="15.0" customHeight="1">
      <c r="A281" s="14" t="s">
        <v>1005</v>
      </c>
      <c r="B281" s="22" t="s">
        <v>1006</v>
      </c>
      <c r="C281" s="15">
        <v>2.0</v>
      </c>
      <c r="D281" s="14" t="s">
        <v>54</v>
      </c>
      <c r="E281" s="15">
        <v>25.0</v>
      </c>
      <c r="F281" s="22" t="s">
        <v>1008</v>
      </c>
    </row>
    <row r="282" ht="29.25" customHeight="1">
      <c r="A282" s="9" t="s">
        <v>1005</v>
      </c>
      <c r="B282" s="12" t="s">
        <v>1006</v>
      </c>
      <c r="C282" s="11">
        <v>3.0</v>
      </c>
      <c r="D282" s="9" t="s">
        <v>82</v>
      </c>
      <c r="E282" s="11">
        <v>50.0</v>
      </c>
      <c r="F282" s="12" t="s">
        <v>1010</v>
      </c>
    </row>
    <row r="283" ht="29.25" customHeight="1">
      <c r="A283" s="14" t="s">
        <v>1005</v>
      </c>
      <c r="B283" s="22" t="s">
        <v>1006</v>
      </c>
      <c r="C283" s="15">
        <v>4.0</v>
      </c>
      <c r="D283" s="14" t="s">
        <v>85</v>
      </c>
      <c r="E283" s="15">
        <v>75.0</v>
      </c>
      <c r="F283" s="22" t="s">
        <v>1011</v>
      </c>
    </row>
    <row r="284" ht="29.25" customHeight="1">
      <c r="A284" s="9" t="s">
        <v>1005</v>
      </c>
      <c r="B284" s="12" t="s">
        <v>1006</v>
      </c>
      <c r="C284" s="11">
        <v>5.0</v>
      </c>
      <c r="D284" s="9" t="s">
        <v>90</v>
      </c>
      <c r="E284" s="11">
        <v>100.0</v>
      </c>
      <c r="F284" s="12" t="s">
        <v>1013</v>
      </c>
    </row>
    <row r="285" ht="15.0" customHeight="1">
      <c r="A285" s="14" t="s">
        <v>1016</v>
      </c>
      <c r="B285" s="22" t="s">
        <v>1017</v>
      </c>
      <c r="C285" s="15">
        <v>1.0</v>
      </c>
      <c r="D285" s="14" t="s">
        <v>32</v>
      </c>
      <c r="E285" s="15">
        <v>0.0</v>
      </c>
      <c r="F285" s="22" t="s">
        <v>1018</v>
      </c>
    </row>
    <row r="286" ht="15.0" customHeight="1">
      <c r="A286" s="9" t="s">
        <v>1016</v>
      </c>
      <c r="B286" s="12" t="s">
        <v>1017</v>
      </c>
      <c r="C286" s="11">
        <v>2.0</v>
      </c>
      <c r="D286" s="9" t="s">
        <v>54</v>
      </c>
      <c r="E286" s="11">
        <v>25.0</v>
      </c>
      <c r="F286" s="12" t="s">
        <v>1020</v>
      </c>
    </row>
    <row r="287" ht="29.25" customHeight="1">
      <c r="A287" s="14" t="s">
        <v>1016</v>
      </c>
      <c r="B287" s="22" t="s">
        <v>1017</v>
      </c>
      <c r="C287" s="15">
        <v>3.0</v>
      </c>
      <c r="D287" s="14" t="s">
        <v>82</v>
      </c>
      <c r="E287" s="15">
        <v>50.0</v>
      </c>
      <c r="F287" s="22" t="s">
        <v>1022</v>
      </c>
    </row>
    <row r="288" ht="29.25" customHeight="1">
      <c r="A288" s="9" t="s">
        <v>1016</v>
      </c>
      <c r="B288" s="12" t="s">
        <v>1017</v>
      </c>
      <c r="C288" s="11">
        <v>4.0</v>
      </c>
      <c r="D288" s="9" t="s">
        <v>85</v>
      </c>
      <c r="E288" s="11">
        <v>75.0</v>
      </c>
      <c r="F288" s="12" t="s">
        <v>1028</v>
      </c>
    </row>
    <row r="289" ht="43.5" customHeight="1">
      <c r="A289" s="14" t="s">
        <v>1016</v>
      </c>
      <c r="B289" s="22" t="s">
        <v>1017</v>
      </c>
      <c r="C289" s="15">
        <v>5.0</v>
      </c>
      <c r="D289" s="14" t="s">
        <v>90</v>
      </c>
      <c r="E289" s="15">
        <v>100.0</v>
      </c>
      <c r="F289" s="22" t="s">
        <v>1032</v>
      </c>
    </row>
    <row r="290" ht="29.25" customHeight="1">
      <c r="A290" s="9" t="s">
        <v>194</v>
      </c>
      <c r="B290" s="12" t="s">
        <v>1034</v>
      </c>
      <c r="C290" s="11">
        <v>1.0</v>
      </c>
      <c r="D290" s="12" t="s">
        <v>122</v>
      </c>
      <c r="E290" s="11">
        <v>0.0</v>
      </c>
      <c r="F290" s="12" t="s">
        <v>1035</v>
      </c>
    </row>
    <row r="291" ht="29.25" customHeight="1">
      <c r="A291" s="14" t="s">
        <v>194</v>
      </c>
      <c r="B291" s="22" t="s">
        <v>1034</v>
      </c>
      <c r="C291" s="15">
        <v>2.0</v>
      </c>
      <c r="D291" s="22" t="s">
        <v>124</v>
      </c>
      <c r="E291" s="15">
        <v>25.0</v>
      </c>
      <c r="F291" s="22" t="s">
        <v>1038</v>
      </c>
    </row>
    <row r="292" ht="15.0" customHeight="1">
      <c r="A292" s="9" t="s">
        <v>194</v>
      </c>
      <c r="B292" s="12" t="s">
        <v>1034</v>
      </c>
      <c r="C292" s="11">
        <v>3.0</v>
      </c>
      <c r="D292" s="12" t="s">
        <v>126</v>
      </c>
      <c r="E292" s="11">
        <v>50.0</v>
      </c>
      <c r="F292" s="12" t="s">
        <v>1041</v>
      </c>
    </row>
    <row r="293" ht="29.25" customHeight="1">
      <c r="A293" s="14" t="s">
        <v>194</v>
      </c>
      <c r="B293" s="22" t="s">
        <v>1034</v>
      </c>
      <c r="C293" s="15">
        <v>4.0</v>
      </c>
      <c r="D293" s="22" t="s">
        <v>128</v>
      </c>
      <c r="E293" s="15">
        <v>75.0</v>
      </c>
      <c r="F293" s="22" t="s">
        <v>1043</v>
      </c>
    </row>
    <row r="294" ht="29.25" customHeight="1">
      <c r="A294" s="9" t="s">
        <v>194</v>
      </c>
      <c r="B294" s="12" t="s">
        <v>1034</v>
      </c>
      <c r="C294" s="11">
        <v>5.0</v>
      </c>
      <c r="D294" s="12" t="s">
        <v>130</v>
      </c>
      <c r="E294" s="11">
        <v>100.0</v>
      </c>
      <c r="F294" s="12" t="s">
        <v>1046</v>
      </c>
    </row>
    <row r="295" ht="29.25" customHeight="1">
      <c r="A295" s="22" t="s">
        <v>1047</v>
      </c>
      <c r="B295" s="22" t="s">
        <v>1048</v>
      </c>
      <c r="C295" s="15">
        <v>1.0</v>
      </c>
      <c r="D295" s="14" t="s">
        <v>32</v>
      </c>
      <c r="E295" s="15">
        <v>0.0</v>
      </c>
      <c r="F295" s="22" t="s">
        <v>1051</v>
      </c>
    </row>
    <row r="296" ht="15.0" customHeight="1">
      <c r="A296" s="12" t="s">
        <v>1047</v>
      </c>
      <c r="B296" s="12" t="s">
        <v>1048</v>
      </c>
      <c r="C296" s="11">
        <v>2.0</v>
      </c>
      <c r="D296" s="9" t="s">
        <v>54</v>
      </c>
      <c r="E296" s="11">
        <v>50.0</v>
      </c>
      <c r="F296" s="12" t="s">
        <v>1053</v>
      </c>
    </row>
    <row r="297" ht="15.0" customHeight="1">
      <c r="A297" s="22" t="s">
        <v>1047</v>
      </c>
      <c r="B297" s="22" t="s">
        <v>1048</v>
      </c>
      <c r="C297" s="15">
        <v>3.0</v>
      </c>
      <c r="D297" s="14" t="s">
        <v>82</v>
      </c>
      <c r="E297" s="15">
        <v>100.0</v>
      </c>
      <c r="F297" s="22" t="s">
        <v>1056</v>
      </c>
    </row>
    <row r="298" ht="29.25" customHeight="1">
      <c r="A298" s="12" t="s">
        <v>1057</v>
      </c>
      <c r="B298" s="12" t="s">
        <v>1058</v>
      </c>
      <c r="C298" s="11">
        <v>1.0</v>
      </c>
      <c r="D298" s="9" t="s">
        <v>32</v>
      </c>
      <c r="E298" s="11">
        <v>0.0</v>
      </c>
      <c r="F298" s="12" t="s">
        <v>1060</v>
      </c>
    </row>
    <row r="299" ht="15.0" customHeight="1">
      <c r="A299" s="22" t="s">
        <v>1057</v>
      </c>
      <c r="B299" s="22" t="s">
        <v>1058</v>
      </c>
      <c r="C299" s="15">
        <v>2.0</v>
      </c>
      <c r="D299" s="14" t="s">
        <v>54</v>
      </c>
      <c r="E299" s="15">
        <v>50.0</v>
      </c>
      <c r="F299" s="22" t="s">
        <v>1062</v>
      </c>
    </row>
    <row r="300" ht="15.0" customHeight="1">
      <c r="A300" s="12" t="s">
        <v>1057</v>
      </c>
      <c r="B300" s="12" t="s">
        <v>1058</v>
      </c>
      <c r="C300" s="11">
        <v>3.0</v>
      </c>
      <c r="D300" s="9" t="s">
        <v>82</v>
      </c>
      <c r="E300" s="11">
        <v>100.0</v>
      </c>
      <c r="F300" s="12" t="s">
        <v>1063</v>
      </c>
    </row>
    <row r="301" ht="29.25" customHeight="1">
      <c r="A301" s="22" t="s">
        <v>1064</v>
      </c>
      <c r="B301" s="22" t="s">
        <v>1065</v>
      </c>
      <c r="C301" s="15">
        <v>1.0</v>
      </c>
      <c r="D301" s="14" t="s">
        <v>32</v>
      </c>
      <c r="E301" s="15">
        <v>0.0</v>
      </c>
      <c r="F301" s="22" t="s">
        <v>1066</v>
      </c>
    </row>
    <row r="302" ht="15.0" customHeight="1">
      <c r="A302" s="12" t="s">
        <v>1064</v>
      </c>
      <c r="B302" s="12" t="s">
        <v>1065</v>
      </c>
      <c r="C302" s="11">
        <v>2.0</v>
      </c>
      <c r="D302" s="9" t="s">
        <v>54</v>
      </c>
      <c r="E302" s="11">
        <v>50.0</v>
      </c>
      <c r="F302" s="12" t="s">
        <v>1067</v>
      </c>
    </row>
    <row r="303" ht="15.0" customHeight="1">
      <c r="A303" s="22" t="s">
        <v>1064</v>
      </c>
      <c r="B303" s="22" t="s">
        <v>1065</v>
      </c>
      <c r="C303" s="15">
        <v>3.0</v>
      </c>
      <c r="D303" s="14" t="s">
        <v>82</v>
      </c>
      <c r="E303" s="15">
        <v>100.0</v>
      </c>
      <c r="F303" s="22" t="s">
        <v>1069</v>
      </c>
    </row>
    <row r="304" ht="15.0" customHeight="1">
      <c r="A304" s="12" t="s">
        <v>1070</v>
      </c>
      <c r="B304" s="12" t="s">
        <v>1071</v>
      </c>
      <c r="C304" s="11">
        <v>1.0</v>
      </c>
      <c r="D304" s="9" t="s">
        <v>32</v>
      </c>
      <c r="E304" s="11">
        <v>0.0</v>
      </c>
      <c r="F304" s="12" t="s">
        <v>1073</v>
      </c>
    </row>
    <row r="305" ht="15.0" customHeight="1">
      <c r="A305" s="22" t="s">
        <v>1070</v>
      </c>
      <c r="B305" s="22" t="s">
        <v>1071</v>
      </c>
      <c r="C305" s="15">
        <v>2.0</v>
      </c>
      <c r="D305" s="14" t="s">
        <v>54</v>
      </c>
      <c r="E305" s="15">
        <v>50.0</v>
      </c>
      <c r="F305" s="22" t="s">
        <v>1067</v>
      </c>
    </row>
    <row r="306" ht="15.0" customHeight="1">
      <c r="A306" s="12" t="s">
        <v>1070</v>
      </c>
      <c r="B306" s="12" t="s">
        <v>1071</v>
      </c>
      <c r="C306" s="11">
        <v>3.0</v>
      </c>
      <c r="D306" s="9" t="s">
        <v>82</v>
      </c>
      <c r="E306" s="11">
        <v>100.0</v>
      </c>
      <c r="F306" s="12" t="s">
        <v>1076</v>
      </c>
    </row>
    <row r="307" ht="15.0" customHeight="1">
      <c r="A307" s="22" t="s">
        <v>1077</v>
      </c>
      <c r="B307" s="22" t="s">
        <v>1078</v>
      </c>
      <c r="C307" s="15">
        <v>1.0</v>
      </c>
      <c r="D307" s="14" t="s">
        <v>32</v>
      </c>
      <c r="E307" s="15">
        <v>0.0</v>
      </c>
      <c r="F307" s="22" t="s">
        <v>1079</v>
      </c>
    </row>
    <row r="308" ht="15.0" customHeight="1">
      <c r="A308" s="12" t="s">
        <v>1077</v>
      </c>
      <c r="B308" s="12" t="s">
        <v>1078</v>
      </c>
      <c r="C308" s="11">
        <v>2.0</v>
      </c>
      <c r="D308" s="9" t="s">
        <v>54</v>
      </c>
      <c r="E308" s="11">
        <v>50.0</v>
      </c>
      <c r="F308" s="12" t="s">
        <v>1067</v>
      </c>
    </row>
    <row r="309" ht="15.0" customHeight="1">
      <c r="A309" s="22" t="s">
        <v>1077</v>
      </c>
      <c r="B309" s="22" t="s">
        <v>1078</v>
      </c>
      <c r="C309" s="15">
        <v>3.0</v>
      </c>
      <c r="D309" s="14" t="s">
        <v>82</v>
      </c>
      <c r="E309" s="15">
        <v>100.0</v>
      </c>
      <c r="F309" s="22" t="s">
        <v>1076</v>
      </c>
    </row>
    <row r="310" ht="15.0" customHeight="1">
      <c r="A310" s="9" t="s">
        <v>1083</v>
      </c>
      <c r="B310" s="12" t="s">
        <v>1084</v>
      </c>
      <c r="C310" s="11">
        <v>1.0</v>
      </c>
      <c r="D310" s="12" t="s">
        <v>122</v>
      </c>
      <c r="E310" s="11">
        <v>0.0</v>
      </c>
      <c r="F310" s="12" t="s">
        <v>1085</v>
      </c>
    </row>
    <row r="311" ht="15.0" customHeight="1">
      <c r="A311" s="14" t="s">
        <v>1083</v>
      </c>
      <c r="B311" s="22" t="s">
        <v>1084</v>
      </c>
      <c r="C311" s="15">
        <v>2.0</v>
      </c>
      <c r="D311" s="22" t="s">
        <v>124</v>
      </c>
      <c r="E311" s="15">
        <v>25.0</v>
      </c>
      <c r="F311" s="22" t="s">
        <v>1086</v>
      </c>
    </row>
    <row r="312" ht="15.0" customHeight="1">
      <c r="A312" s="9" t="s">
        <v>1083</v>
      </c>
      <c r="B312" s="12" t="s">
        <v>1084</v>
      </c>
      <c r="C312" s="11">
        <v>3.0</v>
      </c>
      <c r="D312" s="12" t="s">
        <v>126</v>
      </c>
      <c r="E312" s="11">
        <v>50.0</v>
      </c>
      <c r="F312" s="12" t="s">
        <v>1087</v>
      </c>
    </row>
    <row r="313" ht="15.0" customHeight="1">
      <c r="A313" s="14" t="s">
        <v>1083</v>
      </c>
      <c r="B313" s="22" t="s">
        <v>1084</v>
      </c>
      <c r="C313" s="15">
        <v>4.0</v>
      </c>
      <c r="D313" s="22" t="s">
        <v>128</v>
      </c>
      <c r="E313" s="15">
        <v>75.0</v>
      </c>
      <c r="F313" s="22" t="s">
        <v>1088</v>
      </c>
    </row>
    <row r="314" ht="15.0" customHeight="1">
      <c r="A314" s="9" t="s">
        <v>1083</v>
      </c>
      <c r="B314" s="12" t="s">
        <v>1084</v>
      </c>
      <c r="C314" s="11">
        <v>5.0</v>
      </c>
      <c r="D314" s="12" t="s">
        <v>130</v>
      </c>
      <c r="E314" s="11">
        <v>100.0</v>
      </c>
      <c r="F314" s="12" t="s">
        <v>1089</v>
      </c>
    </row>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22.0"/>
    <col customWidth="1" min="3" max="3" width="20.0"/>
    <col customWidth="1" min="4" max="4" width="10.0"/>
    <col customWidth="1" min="5" max="5" width="34.0"/>
    <col customWidth="1" min="6" max="6" width="10.0"/>
    <col customWidth="1" min="7" max="7" width="20.0"/>
    <col customWidth="1" min="8" max="8" width="24.0"/>
    <col customWidth="1" min="9" max="9" width="30.0"/>
    <col customWidth="1" min="10" max="10" width="18.0"/>
    <col customWidth="1" min="11" max="26" width="8.71"/>
  </cols>
  <sheetData>
    <row r="1" ht="30.0" customHeight="1">
      <c r="A1" s="7" t="s">
        <v>24</v>
      </c>
      <c r="B1" s="7" t="s">
        <v>29</v>
      </c>
      <c r="C1" s="7" t="s">
        <v>31</v>
      </c>
      <c r="D1" s="7" t="s">
        <v>34</v>
      </c>
      <c r="E1" s="7" t="s">
        <v>37</v>
      </c>
      <c r="F1" s="7" t="s">
        <v>39</v>
      </c>
      <c r="G1" s="7" t="s">
        <v>41</v>
      </c>
      <c r="H1" s="7" t="s">
        <v>43</v>
      </c>
      <c r="I1" s="7" t="s">
        <v>44</v>
      </c>
      <c r="J1" s="13" t="s">
        <v>46</v>
      </c>
    </row>
    <row r="2" ht="15.0" customHeight="1">
      <c r="A2" s="16">
        <v>1.0</v>
      </c>
      <c r="B2" s="12" t="s">
        <v>62</v>
      </c>
      <c r="C2" s="9" t="s">
        <v>63</v>
      </c>
      <c r="D2" s="20" t="s">
        <v>65</v>
      </c>
      <c r="E2" s="12" t="s">
        <v>73</v>
      </c>
      <c r="F2" s="20" t="s">
        <v>74</v>
      </c>
      <c r="G2" s="12" t="s">
        <v>77</v>
      </c>
      <c r="H2" s="9" t="s">
        <v>78</v>
      </c>
      <c r="I2" s="12" t="s">
        <v>80</v>
      </c>
      <c r="J2" s="23"/>
    </row>
    <row r="3" ht="15.0" customHeight="1">
      <c r="A3" s="26">
        <v>2.0</v>
      </c>
      <c r="B3" s="22" t="s">
        <v>62</v>
      </c>
      <c r="C3" s="14" t="s">
        <v>63</v>
      </c>
      <c r="D3" s="29" t="s">
        <v>156</v>
      </c>
      <c r="E3" s="22" t="s">
        <v>163</v>
      </c>
      <c r="F3" s="29" t="s">
        <v>74</v>
      </c>
      <c r="G3" s="22" t="s">
        <v>77</v>
      </c>
      <c r="H3" s="14" t="s">
        <v>168</v>
      </c>
      <c r="I3" s="22"/>
      <c r="J3" s="23"/>
    </row>
    <row r="4" ht="15.0" customHeight="1">
      <c r="A4" s="16">
        <v>3.0</v>
      </c>
      <c r="B4" s="12" t="s">
        <v>62</v>
      </c>
      <c r="C4" s="9" t="s">
        <v>63</v>
      </c>
      <c r="D4" s="20" t="s">
        <v>172</v>
      </c>
      <c r="E4" s="12" t="s">
        <v>173</v>
      </c>
      <c r="F4" s="20" t="s">
        <v>74</v>
      </c>
      <c r="G4" s="12" t="s">
        <v>77</v>
      </c>
      <c r="H4" s="9" t="s">
        <v>175</v>
      </c>
      <c r="I4" s="12"/>
      <c r="J4" s="23"/>
    </row>
    <row r="5" ht="15.0" customHeight="1">
      <c r="A5" s="26">
        <v>4.0</v>
      </c>
      <c r="B5" s="22" t="s">
        <v>62</v>
      </c>
      <c r="C5" s="14" t="s">
        <v>63</v>
      </c>
      <c r="D5" s="29" t="s">
        <v>178</v>
      </c>
      <c r="E5" s="22" t="s">
        <v>180</v>
      </c>
      <c r="F5" s="29" t="s">
        <v>74</v>
      </c>
      <c r="G5" s="22" t="s">
        <v>77</v>
      </c>
      <c r="H5" s="14" t="s">
        <v>182</v>
      </c>
      <c r="I5" s="22" t="s">
        <v>183</v>
      </c>
      <c r="J5" s="23"/>
    </row>
    <row r="6" ht="15.0" customHeight="1">
      <c r="A6" s="16">
        <v>5.0</v>
      </c>
      <c r="B6" s="12" t="s">
        <v>62</v>
      </c>
      <c r="C6" s="9" t="s">
        <v>63</v>
      </c>
      <c r="D6" s="20" t="s">
        <v>185</v>
      </c>
      <c r="E6" s="12" t="s">
        <v>186</v>
      </c>
      <c r="F6" s="20" t="s">
        <v>74</v>
      </c>
      <c r="G6" s="12" t="s">
        <v>77</v>
      </c>
      <c r="H6" s="9" t="s">
        <v>182</v>
      </c>
      <c r="I6" s="12"/>
      <c r="J6" s="23"/>
    </row>
    <row r="7" ht="15.0" customHeight="1">
      <c r="A7" s="26">
        <v>6.0</v>
      </c>
      <c r="B7" s="22" t="s">
        <v>62</v>
      </c>
      <c r="C7" s="14" t="s">
        <v>63</v>
      </c>
      <c r="D7" s="29" t="s">
        <v>191</v>
      </c>
      <c r="E7" s="22" t="s">
        <v>192</v>
      </c>
      <c r="F7" s="29" t="s">
        <v>74</v>
      </c>
      <c r="G7" s="22" t="s">
        <v>77</v>
      </c>
      <c r="H7" s="14" t="s">
        <v>194</v>
      </c>
      <c r="I7" s="22"/>
      <c r="J7" s="23"/>
    </row>
    <row r="8" ht="29.25" customHeight="1">
      <c r="A8" s="16">
        <v>7.0</v>
      </c>
      <c r="B8" s="12" t="s">
        <v>62</v>
      </c>
      <c r="C8" s="9" t="s">
        <v>63</v>
      </c>
      <c r="D8" s="20" t="s">
        <v>198</v>
      </c>
      <c r="E8" s="12" t="s">
        <v>199</v>
      </c>
      <c r="F8" s="20" t="s">
        <v>74</v>
      </c>
      <c r="G8" s="12" t="s">
        <v>77</v>
      </c>
      <c r="H8" s="9" t="s">
        <v>201</v>
      </c>
      <c r="I8" s="12" t="s">
        <v>202</v>
      </c>
      <c r="J8" s="23"/>
    </row>
    <row r="9" ht="15.0" customHeight="1">
      <c r="A9" s="26">
        <v>8.0</v>
      </c>
      <c r="B9" s="22" t="s">
        <v>62</v>
      </c>
      <c r="C9" s="14" t="s">
        <v>63</v>
      </c>
      <c r="D9" s="29" t="s">
        <v>204</v>
      </c>
      <c r="E9" s="22" t="s">
        <v>206</v>
      </c>
      <c r="F9" s="29" t="s">
        <v>74</v>
      </c>
      <c r="G9" s="22" t="s">
        <v>77</v>
      </c>
      <c r="H9" s="14" t="s">
        <v>209</v>
      </c>
      <c r="I9" s="22"/>
      <c r="J9" s="23"/>
    </row>
    <row r="10" ht="15.0" customHeight="1">
      <c r="A10" s="16">
        <v>9.0</v>
      </c>
      <c r="B10" s="12" t="s">
        <v>62</v>
      </c>
      <c r="C10" s="9" t="s">
        <v>63</v>
      </c>
      <c r="D10" s="20" t="s">
        <v>211</v>
      </c>
      <c r="E10" s="12" t="s">
        <v>213</v>
      </c>
      <c r="F10" s="20" t="s">
        <v>74</v>
      </c>
      <c r="G10" s="12" t="s">
        <v>77</v>
      </c>
      <c r="H10" s="9" t="s">
        <v>168</v>
      </c>
      <c r="I10" s="12" t="s">
        <v>214</v>
      </c>
      <c r="J10" s="23"/>
    </row>
    <row r="11" ht="29.25" customHeight="1">
      <c r="A11" s="26">
        <v>10.0</v>
      </c>
      <c r="B11" s="22" t="s">
        <v>62</v>
      </c>
      <c r="C11" s="14" t="s">
        <v>63</v>
      </c>
      <c r="D11" s="29" t="s">
        <v>218</v>
      </c>
      <c r="E11" s="22" t="s">
        <v>220</v>
      </c>
      <c r="F11" s="29" t="s">
        <v>74</v>
      </c>
      <c r="G11" s="22" t="s">
        <v>77</v>
      </c>
      <c r="H11" s="14" t="s">
        <v>201</v>
      </c>
      <c r="I11" s="22"/>
      <c r="J11" s="23"/>
    </row>
    <row r="12" ht="15.0" customHeight="1">
      <c r="A12" s="16">
        <v>11.0</v>
      </c>
      <c r="B12" s="12" t="s">
        <v>62</v>
      </c>
      <c r="C12" s="9" t="s">
        <v>63</v>
      </c>
      <c r="D12" s="20" t="s">
        <v>223</v>
      </c>
      <c r="E12" s="12" t="s">
        <v>224</v>
      </c>
      <c r="F12" s="20" t="s">
        <v>74</v>
      </c>
      <c r="G12" s="12" t="s">
        <v>77</v>
      </c>
      <c r="H12" s="9" t="s">
        <v>227</v>
      </c>
      <c r="I12" s="12" t="s">
        <v>230</v>
      </c>
      <c r="J12" s="23"/>
    </row>
    <row r="13" ht="15.0" customHeight="1">
      <c r="A13" s="26">
        <v>12.0</v>
      </c>
      <c r="B13" s="22" t="s">
        <v>62</v>
      </c>
      <c r="C13" s="14" t="s">
        <v>63</v>
      </c>
      <c r="D13" s="29" t="s">
        <v>232</v>
      </c>
      <c r="E13" s="22" t="s">
        <v>234</v>
      </c>
      <c r="F13" s="29" t="s">
        <v>74</v>
      </c>
      <c r="G13" s="22" t="s">
        <v>77</v>
      </c>
      <c r="H13" s="14" t="s">
        <v>236</v>
      </c>
      <c r="I13" s="22"/>
      <c r="J13" s="23"/>
    </row>
    <row r="14" ht="15.0" customHeight="1">
      <c r="A14" s="16">
        <v>13.0</v>
      </c>
      <c r="B14" s="12" t="s">
        <v>62</v>
      </c>
      <c r="C14" s="9" t="s">
        <v>63</v>
      </c>
      <c r="D14" s="20" t="s">
        <v>239</v>
      </c>
      <c r="E14" s="12" t="s">
        <v>241</v>
      </c>
      <c r="F14" s="20" t="s">
        <v>74</v>
      </c>
      <c r="G14" s="12" t="s">
        <v>77</v>
      </c>
      <c r="H14" s="9" t="s">
        <v>243</v>
      </c>
      <c r="I14" s="12"/>
      <c r="J14" s="23"/>
    </row>
    <row r="15" ht="29.25" customHeight="1">
      <c r="A15" s="26">
        <v>14.0</v>
      </c>
      <c r="B15" s="22" t="s">
        <v>62</v>
      </c>
      <c r="C15" s="14" t="s">
        <v>63</v>
      </c>
      <c r="D15" s="29" t="s">
        <v>245</v>
      </c>
      <c r="E15" s="22" t="s">
        <v>246</v>
      </c>
      <c r="F15" s="29" t="s">
        <v>74</v>
      </c>
      <c r="G15" s="22" t="s">
        <v>77</v>
      </c>
      <c r="H15" s="14" t="s">
        <v>236</v>
      </c>
      <c r="I15" s="22"/>
      <c r="J15" s="23"/>
    </row>
    <row r="16" ht="29.25" customHeight="1">
      <c r="A16" s="16">
        <v>15.0</v>
      </c>
      <c r="B16" s="12" t="s">
        <v>62</v>
      </c>
      <c r="C16" s="9" t="s">
        <v>63</v>
      </c>
      <c r="D16" s="20" t="s">
        <v>251</v>
      </c>
      <c r="E16" s="12" t="s">
        <v>252</v>
      </c>
      <c r="F16" s="20" t="s">
        <v>74</v>
      </c>
      <c r="G16" s="12" t="s">
        <v>77</v>
      </c>
      <c r="H16" s="9" t="s">
        <v>236</v>
      </c>
      <c r="I16" s="12"/>
      <c r="J16" s="23"/>
    </row>
    <row r="17" ht="15.0" customHeight="1">
      <c r="A17" s="26">
        <v>16.0</v>
      </c>
      <c r="B17" s="22" t="s">
        <v>255</v>
      </c>
      <c r="C17" s="14" t="s">
        <v>257</v>
      </c>
      <c r="D17" s="29" t="s">
        <v>259</v>
      </c>
      <c r="E17" s="22" t="s">
        <v>260</v>
      </c>
      <c r="F17" s="26" t="s">
        <v>261</v>
      </c>
      <c r="G17" s="22" t="s">
        <v>77</v>
      </c>
      <c r="H17" s="14" t="s">
        <v>263</v>
      </c>
      <c r="I17" s="14" t="s">
        <v>264</v>
      </c>
      <c r="J17" s="23"/>
    </row>
    <row r="18" ht="15.0" customHeight="1">
      <c r="A18" s="16">
        <v>17.0</v>
      </c>
      <c r="B18" s="12" t="s">
        <v>255</v>
      </c>
      <c r="C18" s="9" t="s">
        <v>257</v>
      </c>
      <c r="D18" s="20" t="s">
        <v>266</v>
      </c>
      <c r="E18" s="12" t="s">
        <v>267</v>
      </c>
      <c r="F18" s="20" t="s">
        <v>74</v>
      </c>
      <c r="G18" s="12" t="s">
        <v>77</v>
      </c>
      <c r="H18" s="9" t="s">
        <v>263</v>
      </c>
      <c r="I18" s="12"/>
      <c r="J18" s="23"/>
    </row>
    <row r="19" ht="15.0" customHeight="1">
      <c r="A19" s="26">
        <v>18.0</v>
      </c>
      <c r="B19" s="22" t="s">
        <v>255</v>
      </c>
      <c r="C19" s="14" t="s">
        <v>271</v>
      </c>
      <c r="D19" s="29" t="s">
        <v>273</v>
      </c>
      <c r="E19" s="22" t="s">
        <v>274</v>
      </c>
      <c r="F19" s="29" t="s">
        <v>74</v>
      </c>
      <c r="G19" s="22" t="s">
        <v>77</v>
      </c>
      <c r="H19" s="14" t="s">
        <v>263</v>
      </c>
      <c r="I19" s="22" t="s">
        <v>275</v>
      </c>
      <c r="J19" s="23"/>
    </row>
    <row r="20" ht="15.0" customHeight="1">
      <c r="A20" s="16">
        <v>19.0</v>
      </c>
      <c r="B20" s="12" t="s">
        <v>255</v>
      </c>
      <c r="C20" s="9" t="s">
        <v>271</v>
      </c>
      <c r="D20" s="20" t="s">
        <v>277</v>
      </c>
      <c r="E20" s="12" t="s">
        <v>278</v>
      </c>
      <c r="F20" s="20" t="s">
        <v>74</v>
      </c>
      <c r="G20" s="12" t="s">
        <v>77</v>
      </c>
      <c r="H20" s="9" t="s">
        <v>263</v>
      </c>
      <c r="I20" s="12"/>
      <c r="J20" s="23"/>
    </row>
    <row r="21" ht="15.0" customHeight="1">
      <c r="A21" s="26">
        <v>20.0</v>
      </c>
      <c r="B21" s="22" t="s">
        <v>255</v>
      </c>
      <c r="C21" s="14" t="s">
        <v>271</v>
      </c>
      <c r="D21" s="29" t="s">
        <v>282</v>
      </c>
      <c r="E21" s="22" t="s">
        <v>283</v>
      </c>
      <c r="F21" s="29" t="s">
        <v>74</v>
      </c>
      <c r="G21" s="22" t="s">
        <v>77</v>
      </c>
      <c r="H21" s="14" t="s">
        <v>263</v>
      </c>
      <c r="I21" s="22"/>
      <c r="J21" s="23"/>
    </row>
    <row r="22" ht="15.0" customHeight="1">
      <c r="A22" s="16">
        <v>21.0</v>
      </c>
      <c r="B22" s="12" t="s">
        <v>255</v>
      </c>
      <c r="C22" s="9" t="s">
        <v>271</v>
      </c>
      <c r="D22" s="20" t="s">
        <v>289</v>
      </c>
      <c r="E22" s="12" t="s">
        <v>290</v>
      </c>
      <c r="F22" s="20" t="s">
        <v>74</v>
      </c>
      <c r="G22" s="12" t="s">
        <v>77</v>
      </c>
      <c r="H22" s="9" t="s">
        <v>263</v>
      </c>
      <c r="I22" s="12"/>
      <c r="J22" s="23"/>
    </row>
    <row r="23" ht="15.0" customHeight="1">
      <c r="A23" s="26">
        <v>22.0</v>
      </c>
      <c r="B23" s="22" t="s">
        <v>255</v>
      </c>
      <c r="C23" s="14" t="s">
        <v>271</v>
      </c>
      <c r="D23" s="29" t="s">
        <v>295</v>
      </c>
      <c r="E23" s="22" t="s">
        <v>296</v>
      </c>
      <c r="F23" s="26" t="s">
        <v>261</v>
      </c>
      <c r="G23" s="22" t="s">
        <v>77</v>
      </c>
      <c r="H23" s="14" t="s">
        <v>263</v>
      </c>
      <c r="I23" s="22"/>
      <c r="J23" s="23"/>
    </row>
    <row r="24" ht="15.0" customHeight="1">
      <c r="A24" s="16">
        <v>23.0</v>
      </c>
      <c r="B24" s="12" t="s">
        <v>255</v>
      </c>
      <c r="C24" s="9" t="s">
        <v>299</v>
      </c>
      <c r="D24" s="20" t="s">
        <v>301</v>
      </c>
      <c r="E24" s="12" t="s">
        <v>303</v>
      </c>
      <c r="F24" s="20" t="s">
        <v>74</v>
      </c>
      <c r="G24" s="12" t="s">
        <v>77</v>
      </c>
      <c r="H24" s="9" t="s">
        <v>305</v>
      </c>
      <c r="I24" s="12"/>
      <c r="J24" s="23"/>
    </row>
    <row r="25" ht="15.0" customHeight="1">
      <c r="A25" s="26">
        <v>24.0</v>
      </c>
      <c r="B25" s="22" t="s">
        <v>255</v>
      </c>
      <c r="C25" s="14" t="s">
        <v>299</v>
      </c>
      <c r="D25" s="29" t="s">
        <v>307</v>
      </c>
      <c r="E25" s="22" t="s">
        <v>309</v>
      </c>
      <c r="F25" s="29" t="s">
        <v>74</v>
      </c>
      <c r="G25" s="22" t="s">
        <v>77</v>
      </c>
      <c r="H25" s="14" t="s">
        <v>305</v>
      </c>
      <c r="I25" s="22"/>
      <c r="J25" s="23"/>
    </row>
    <row r="26" ht="15.0" customHeight="1">
      <c r="A26" s="16">
        <v>25.0</v>
      </c>
      <c r="B26" s="12" t="s">
        <v>255</v>
      </c>
      <c r="C26" s="9" t="s">
        <v>299</v>
      </c>
      <c r="D26" s="20" t="s">
        <v>314</v>
      </c>
      <c r="E26" s="12" t="s">
        <v>315</v>
      </c>
      <c r="F26" s="16" t="s">
        <v>317</v>
      </c>
      <c r="G26" s="12" t="s">
        <v>77</v>
      </c>
      <c r="H26" s="9" t="s">
        <v>305</v>
      </c>
      <c r="I26" s="12"/>
      <c r="J26" s="23"/>
    </row>
    <row r="27" ht="15.0" customHeight="1">
      <c r="A27" s="26">
        <v>26.0</v>
      </c>
      <c r="B27" s="22" t="s">
        <v>255</v>
      </c>
      <c r="C27" s="14" t="s">
        <v>299</v>
      </c>
      <c r="D27" s="29" t="s">
        <v>322</v>
      </c>
      <c r="E27" s="22" t="s">
        <v>324</v>
      </c>
      <c r="F27" s="29" t="s">
        <v>325</v>
      </c>
      <c r="G27" s="22" t="s">
        <v>77</v>
      </c>
      <c r="H27" s="14" t="s">
        <v>305</v>
      </c>
      <c r="I27" s="22"/>
      <c r="J27" s="23"/>
    </row>
    <row r="28" ht="15.0" customHeight="1">
      <c r="A28" s="16">
        <v>27.0</v>
      </c>
      <c r="B28" s="12" t="s">
        <v>255</v>
      </c>
      <c r="C28" s="9" t="s">
        <v>329</v>
      </c>
      <c r="D28" s="20" t="s">
        <v>330</v>
      </c>
      <c r="E28" s="12" t="s">
        <v>331</v>
      </c>
      <c r="F28" s="20" t="s">
        <v>74</v>
      </c>
      <c r="G28" s="12" t="s">
        <v>77</v>
      </c>
      <c r="H28" s="9" t="s">
        <v>182</v>
      </c>
      <c r="I28" s="12"/>
      <c r="J28" s="23"/>
    </row>
    <row r="29" ht="15.0" customHeight="1">
      <c r="A29" s="26">
        <v>28.0</v>
      </c>
      <c r="B29" s="22" t="s">
        <v>255</v>
      </c>
      <c r="C29" s="14" t="s">
        <v>329</v>
      </c>
      <c r="D29" s="29" t="s">
        <v>336</v>
      </c>
      <c r="E29" s="22" t="s">
        <v>337</v>
      </c>
      <c r="F29" s="29" t="s">
        <v>74</v>
      </c>
      <c r="G29" s="22" t="s">
        <v>77</v>
      </c>
      <c r="H29" s="14" t="s">
        <v>182</v>
      </c>
      <c r="I29" s="22"/>
      <c r="J29" s="23"/>
    </row>
    <row r="30" ht="15.0" customHeight="1">
      <c r="A30" s="16">
        <v>29.0</v>
      </c>
      <c r="B30" s="12" t="s">
        <v>255</v>
      </c>
      <c r="C30" s="9" t="s">
        <v>329</v>
      </c>
      <c r="D30" s="20" t="s">
        <v>340</v>
      </c>
      <c r="E30" s="12" t="s">
        <v>341</v>
      </c>
      <c r="F30" s="20" t="s">
        <v>74</v>
      </c>
      <c r="G30" s="12" t="s">
        <v>77</v>
      </c>
      <c r="H30" s="9" t="s">
        <v>182</v>
      </c>
      <c r="I30" s="12"/>
      <c r="J30" s="23"/>
    </row>
    <row r="31" ht="29.25" customHeight="1">
      <c r="A31" s="26">
        <v>30.0</v>
      </c>
      <c r="B31" s="22" t="s">
        <v>255</v>
      </c>
      <c r="C31" s="14" t="s">
        <v>329</v>
      </c>
      <c r="D31" s="29" t="s">
        <v>344</v>
      </c>
      <c r="E31" s="22" t="s">
        <v>345</v>
      </c>
      <c r="F31" s="29" t="s">
        <v>74</v>
      </c>
      <c r="G31" s="22" t="s">
        <v>77</v>
      </c>
      <c r="H31" s="14" t="s">
        <v>182</v>
      </c>
      <c r="I31" s="22" t="s">
        <v>347</v>
      </c>
      <c r="J31" s="23"/>
    </row>
    <row r="32" ht="15.0" customHeight="1">
      <c r="A32" s="16">
        <v>31.0</v>
      </c>
      <c r="B32" s="12" t="s">
        <v>255</v>
      </c>
      <c r="C32" s="9" t="s">
        <v>329</v>
      </c>
      <c r="D32" s="20" t="s">
        <v>350</v>
      </c>
      <c r="E32" s="12" t="s">
        <v>352</v>
      </c>
      <c r="F32" s="20" t="s">
        <v>74</v>
      </c>
      <c r="G32" s="12" t="s">
        <v>77</v>
      </c>
      <c r="H32" s="9" t="s">
        <v>182</v>
      </c>
      <c r="I32" s="12"/>
      <c r="J32" s="23"/>
    </row>
    <row r="33" ht="29.25" customHeight="1">
      <c r="A33" s="26">
        <v>32.0</v>
      </c>
      <c r="B33" s="22" t="s">
        <v>255</v>
      </c>
      <c r="C33" s="14" t="s">
        <v>355</v>
      </c>
      <c r="D33" s="29" t="s">
        <v>356</v>
      </c>
      <c r="E33" s="22" t="s">
        <v>357</v>
      </c>
      <c r="F33" s="26" t="s">
        <v>261</v>
      </c>
      <c r="G33" s="22" t="s">
        <v>360</v>
      </c>
      <c r="H33" s="14" t="s">
        <v>182</v>
      </c>
      <c r="I33" s="22" t="s">
        <v>362</v>
      </c>
      <c r="J33" s="23"/>
    </row>
    <row r="34" ht="29.25" customHeight="1">
      <c r="A34" s="16">
        <v>33.0</v>
      </c>
      <c r="B34" s="12" t="s">
        <v>255</v>
      </c>
      <c r="C34" s="9" t="s">
        <v>355</v>
      </c>
      <c r="D34" s="20" t="s">
        <v>365</v>
      </c>
      <c r="E34" s="12" t="s">
        <v>366</v>
      </c>
      <c r="F34" s="16" t="s">
        <v>261</v>
      </c>
      <c r="G34" s="12" t="s">
        <v>360</v>
      </c>
      <c r="H34" s="9" t="s">
        <v>182</v>
      </c>
      <c r="I34" s="12"/>
      <c r="J34" s="23"/>
    </row>
    <row r="35" ht="29.25" customHeight="1">
      <c r="A35" s="26">
        <v>34.0</v>
      </c>
      <c r="B35" s="22" t="s">
        <v>255</v>
      </c>
      <c r="C35" s="14" t="s">
        <v>355</v>
      </c>
      <c r="D35" s="29" t="s">
        <v>374</v>
      </c>
      <c r="E35" s="22" t="s">
        <v>375</v>
      </c>
      <c r="F35" s="26" t="s">
        <v>261</v>
      </c>
      <c r="G35" s="22" t="s">
        <v>360</v>
      </c>
      <c r="H35" s="14" t="s">
        <v>182</v>
      </c>
      <c r="I35" s="22" t="s">
        <v>376</v>
      </c>
      <c r="J35" s="23"/>
    </row>
    <row r="36" ht="15.0" customHeight="1">
      <c r="A36" s="16">
        <v>35.0</v>
      </c>
      <c r="B36" s="12" t="s">
        <v>255</v>
      </c>
      <c r="C36" s="9" t="s">
        <v>355</v>
      </c>
      <c r="D36" s="20" t="s">
        <v>379</v>
      </c>
      <c r="E36" s="12" t="s">
        <v>380</v>
      </c>
      <c r="F36" s="20" t="s">
        <v>74</v>
      </c>
      <c r="G36" s="12" t="s">
        <v>77</v>
      </c>
      <c r="H36" s="9" t="s">
        <v>182</v>
      </c>
      <c r="I36" s="12"/>
      <c r="J36" s="23"/>
    </row>
    <row r="37" ht="29.25" customHeight="1">
      <c r="A37" s="26">
        <v>36.0</v>
      </c>
      <c r="B37" s="22" t="s">
        <v>255</v>
      </c>
      <c r="C37" s="14" t="s">
        <v>355</v>
      </c>
      <c r="D37" s="29" t="s">
        <v>383</v>
      </c>
      <c r="E37" s="22" t="s">
        <v>389</v>
      </c>
      <c r="F37" s="26" t="s">
        <v>396</v>
      </c>
      <c r="G37" s="22" t="s">
        <v>360</v>
      </c>
      <c r="H37" s="14" t="s">
        <v>182</v>
      </c>
      <c r="I37" s="22"/>
      <c r="J37" s="23"/>
    </row>
    <row r="38" ht="29.25" customHeight="1">
      <c r="A38" s="16">
        <v>37.0</v>
      </c>
      <c r="B38" s="12" t="s">
        <v>401</v>
      </c>
      <c r="C38" s="9" t="s">
        <v>403</v>
      </c>
      <c r="D38" s="20" t="s">
        <v>405</v>
      </c>
      <c r="E38" s="12" t="s">
        <v>407</v>
      </c>
      <c r="F38" s="16" t="s">
        <v>261</v>
      </c>
      <c r="G38" s="12" t="s">
        <v>77</v>
      </c>
      <c r="H38" s="9" t="s">
        <v>305</v>
      </c>
      <c r="I38" s="12"/>
      <c r="J38" s="23"/>
    </row>
    <row r="39" ht="29.25" customHeight="1">
      <c r="A39" s="26">
        <v>38.0</v>
      </c>
      <c r="B39" s="22" t="s">
        <v>401</v>
      </c>
      <c r="C39" s="14" t="s">
        <v>403</v>
      </c>
      <c r="D39" s="29" t="s">
        <v>412</v>
      </c>
      <c r="E39" s="22" t="s">
        <v>414</v>
      </c>
      <c r="F39" s="26" t="s">
        <v>396</v>
      </c>
      <c r="G39" s="22" t="s">
        <v>77</v>
      </c>
      <c r="H39" s="14" t="s">
        <v>305</v>
      </c>
      <c r="I39" s="22"/>
      <c r="J39" s="23"/>
    </row>
    <row r="40" ht="29.25" customHeight="1">
      <c r="A40" s="16">
        <v>39.0</v>
      </c>
      <c r="B40" s="12" t="s">
        <v>401</v>
      </c>
      <c r="C40" s="9" t="s">
        <v>403</v>
      </c>
      <c r="D40" s="20" t="s">
        <v>422</v>
      </c>
      <c r="E40" s="9" t="s">
        <v>423</v>
      </c>
      <c r="F40" s="20" t="s">
        <v>74</v>
      </c>
      <c r="G40" s="12" t="s">
        <v>360</v>
      </c>
      <c r="H40" s="9" t="s">
        <v>305</v>
      </c>
      <c r="I40" s="12"/>
      <c r="J40" s="23"/>
    </row>
    <row r="41" ht="29.25" customHeight="1">
      <c r="A41" s="26">
        <v>40.0</v>
      </c>
      <c r="B41" s="22" t="s">
        <v>401</v>
      </c>
      <c r="C41" s="14" t="s">
        <v>403</v>
      </c>
      <c r="D41" s="29" t="s">
        <v>427</v>
      </c>
      <c r="E41" s="22" t="s">
        <v>429</v>
      </c>
      <c r="F41" s="29" t="s">
        <v>74</v>
      </c>
      <c r="G41" s="22" t="s">
        <v>360</v>
      </c>
      <c r="H41" s="14" t="s">
        <v>305</v>
      </c>
      <c r="I41" s="22"/>
      <c r="J41" s="23"/>
    </row>
    <row r="42" ht="29.25" customHeight="1">
      <c r="A42" s="16">
        <v>41.0</v>
      </c>
      <c r="B42" s="12" t="s">
        <v>401</v>
      </c>
      <c r="C42" s="9" t="s">
        <v>403</v>
      </c>
      <c r="D42" s="20" t="s">
        <v>432</v>
      </c>
      <c r="E42" s="12" t="s">
        <v>433</v>
      </c>
      <c r="F42" s="20" t="s">
        <v>74</v>
      </c>
      <c r="G42" s="12" t="s">
        <v>360</v>
      </c>
      <c r="H42" s="9" t="s">
        <v>305</v>
      </c>
      <c r="I42" s="12"/>
      <c r="J42" s="23"/>
    </row>
    <row r="43" ht="29.25" customHeight="1">
      <c r="A43" s="26">
        <v>42.0</v>
      </c>
      <c r="B43" s="22" t="s">
        <v>401</v>
      </c>
      <c r="C43" s="14" t="s">
        <v>403</v>
      </c>
      <c r="D43" s="29" t="s">
        <v>440</v>
      </c>
      <c r="E43" s="14" t="s">
        <v>441</v>
      </c>
      <c r="F43" s="29" t="s">
        <v>74</v>
      </c>
      <c r="G43" s="22" t="s">
        <v>360</v>
      </c>
      <c r="H43" s="14" t="s">
        <v>305</v>
      </c>
      <c r="I43" s="22"/>
      <c r="J43" s="23"/>
    </row>
    <row r="44" ht="29.25" customHeight="1">
      <c r="A44" s="16">
        <v>43.0</v>
      </c>
      <c r="B44" s="12" t="s">
        <v>401</v>
      </c>
      <c r="C44" s="9" t="s">
        <v>403</v>
      </c>
      <c r="D44" s="20" t="s">
        <v>445</v>
      </c>
      <c r="E44" s="12" t="s">
        <v>446</v>
      </c>
      <c r="F44" s="20" t="s">
        <v>74</v>
      </c>
      <c r="G44" s="12" t="s">
        <v>360</v>
      </c>
      <c r="H44" s="9" t="s">
        <v>305</v>
      </c>
      <c r="I44" s="12"/>
      <c r="J44" s="23"/>
    </row>
    <row r="45" ht="29.25" customHeight="1">
      <c r="A45" s="26">
        <v>44.0</v>
      </c>
      <c r="B45" s="22" t="s">
        <v>401</v>
      </c>
      <c r="C45" s="14" t="s">
        <v>403</v>
      </c>
      <c r="D45" s="29" t="s">
        <v>452</v>
      </c>
      <c r="E45" s="22" t="s">
        <v>453</v>
      </c>
      <c r="F45" s="29" t="s">
        <v>74</v>
      </c>
      <c r="G45" s="22" t="s">
        <v>77</v>
      </c>
      <c r="H45" s="14" t="s">
        <v>305</v>
      </c>
      <c r="I45" s="22"/>
      <c r="J45" s="23"/>
    </row>
    <row r="46" ht="29.25" customHeight="1">
      <c r="A46" s="16">
        <v>45.0</v>
      </c>
      <c r="B46" s="12" t="s">
        <v>401</v>
      </c>
      <c r="C46" s="9" t="s">
        <v>403</v>
      </c>
      <c r="D46" s="20" t="s">
        <v>456</v>
      </c>
      <c r="E46" s="12" t="s">
        <v>457</v>
      </c>
      <c r="F46" s="16" t="s">
        <v>261</v>
      </c>
      <c r="G46" s="12" t="s">
        <v>77</v>
      </c>
      <c r="H46" s="9" t="s">
        <v>305</v>
      </c>
      <c r="I46" s="12"/>
      <c r="J46" s="23"/>
    </row>
    <row r="47" ht="29.25" customHeight="1">
      <c r="A47" s="26">
        <v>46.0</v>
      </c>
      <c r="B47" s="22" t="s">
        <v>401</v>
      </c>
      <c r="C47" s="14" t="s">
        <v>403</v>
      </c>
      <c r="D47" s="29" t="s">
        <v>462</v>
      </c>
      <c r="E47" s="22" t="s">
        <v>463</v>
      </c>
      <c r="F47" s="29" t="s">
        <v>464</v>
      </c>
      <c r="G47" s="22" t="s">
        <v>465</v>
      </c>
      <c r="H47" s="14" t="s">
        <v>305</v>
      </c>
      <c r="I47" s="22"/>
      <c r="J47" s="23"/>
    </row>
    <row r="48" ht="29.25" customHeight="1">
      <c r="A48" s="16">
        <v>47.0</v>
      </c>
      <c r="B48" s="12" t="s">
        <v>401</v>
      </c>
      <c r="C48" s="9" t="s">
        <v>470</v>
      </c>
      <c r="D48" s="20" t="s">
        <v>473</v>
      </c>
      <c r="E48" s="12" t="s">
        <v>474</v>
      </c>
      <c r="F48" s="20" t="s">
        <v>74</v>
      </c>
      <c r="G48" s="12" t="s">
        <v>77</v>
      </c>
      <c r="H48" s="9" t="s">
        <v>305</v>
      </c>
      <c r="I48" s="12"/>
      <c r="J48" s="23"/>
    </row>
    <row r="49" ht="29.25" customHeight="1">
      <c r="A49" s="26">
        <v>48.0</v>
      </c>
      <c r="B49" s="22" t="s">
        <v>401</v>
      </c>
      <c r="C49" s="14" t="s">
        <v>476</v>
      </c>
      <c r="D49" s="29" t="s">
        <v>477</v>
      </c>
      <c r="E49" s="22" t="s">
        <v>480</v>
      </c>
      <c r="F49" s="29" t="s">
        <v>74</v>
      </c>
      <c r="G49" s="22" t="s">
        <v>77</v>
      </c>
      <c r="H49" s="14" t="s">
        <v>305</v>
      </c>
      <c r="I49" s="22"/>
      <c r="J49" s="23"/>
    </row>
    <row r="50" ht="29.25" customHeight="1">
      <c r="A50" s="16">
        <v>49.0</v>
      </c>
      <c r="B50" s="12" t="s">
        <v>401</v>
      </c>
      <c r="C50" s="9" t="s">
        <v>476</v>
      </c>
      <c r="D50" s="20" t="s">
        <v>485</v>
      </c>
      <c r="E50" s="12" t="s">
        <v>486</v>
      </c>
      <c r="F50" s="20" t="s">
        <v>74</v>
      </c>
      <c r="G50" s="12" t="s">
        <v>77</v>
      </c>
      <c r="H50" s="9" t="s">
        <v>305</v>
      </c>
      <c r="I50" s="12"/>
      <c r="J50" s="23"/>
    </row>
    <row r="51" ht="29.25" customHeight="1">
      <c r="A51" s="26">
        <v>50.0</v>
      </c>
      <c r="B51" s="22" t="s">
        <v>401</v>
      </c>
      <c r="C51" s="14" t="s">
        <v>476</v>
      </c>
      <c r="D51" s="29" t="s">
        <v>491</v>
      </c>
      <c r="E51" s="22" t="s">
        <v>492</v>
      </c>
      <c r="F51" s="29" t="s">
        <v>74</v>
      </c>
      <c r="G51" s="22" t="s">
        <v>465</v>
      </c>
      <c r="H51" s="14" t="s">
        <v>305</v>
      </c>
      <c r="I51" s="22"/>
      <c r="J51" s="23"/>
    </row>
    <row r="52" ht="29.25" customHeight="1">
      <c r="A52" s="16">
        <v>51.0</v>
      </c>
      <c r="B52" s="12" t="s">
        <v>495</v>
      </c>
      <c r="C52" s="9" t="s">
        <v>496</v>
      </c>
      <c r="D52" s="20" t="s">
        <v>498</v>
      </c>
      <c r="E52" s="12" t="s">
        <v>499</v>
      </c>
      <c r="F52" s="20" t="s">
        <v>325</v>
      </c>
      <c r="G52" s="12" t="s">
        <v>77</v>
      </c>
      <c r="H52" s="9" t="s">
        <v>500</v>
      </c>
      <c r="I52" s="12"/>
      <c r="J52" s="23"/>
    </row>
    <row r="53" ht="15.0" customHeight="1">
      <c r="A53" s="26">
        <v>52.0</v>
      </c>
      <c r="B53" s="22" t="s">
        <v>495</v>
      </c>
      <c r="C53" s="14" t="s">
        <v>502</v>
      </c>
      <c r="D53" s="29" t="s">
        <v>503</v>
      </c>
      <c r="E53" s="22" t="s">
        <v>506</v>
      </c>
      <c r="F53" s="29" t="s">
        <v>74</v>
      </c>
      <c r="G53" s="22" t="s">
        <v>77</v>
      </c>
      <c r="H53" s="14" t="s">
        <v>194</v>
      </c>
      <c r="I53" s="22" t="s">
        <v>511</v>
      </c>
      <c r="J53" s="23"/>
    </row>
    <row r="54" ht="15.0" customHeight="1">
      <c r="A54" s="16">
        <v>53.0</v>
      </c>
      <c r="B54" s="12" t="s">
        <v>495</v>
      </c>
      <c r="C54" s="9" t="s">
        <v>502</v>
      </c>
      <c r="D54" s="20" t="s">
        <v>513</v>
      </c>
      <c r="E54" s="12" t="s">
        <v>515</v>
      </c>
      <c r="F54" s="20" t="s">
        <v>74</v>
      </c>
      <c r="G54" s="12" t="s">
        <v>77</v>
      </c>
      <c r="H54" s="9" t="s">
        <v>194</v>
      </c>
      <c r="I54" s="12"/>
      <c r="J54" s="23"/>
    </row>
    <row r="55" ht="15.0" customHeight="1">
      <c r="A55" s="26">
        <v>54.0</v>
      </c>
      <c r="B55" s="22" t="s">
        <v>495</v>
      </c>
      <c r="C55" s="14" t="s">
        <v>502</v>
      </c>
      <c r="D55" s="29" t="s">
        <v>520</v>
      </c>
      <c r="E55" s="22" t="s">
        <v>521</v>
      </c>
      <c r="F55" s="29" t="s">
        <v>74</v>
      </c>
      <c r="G55" s="22" t="s">
        <v>77</v>
      </c>
      <c r="H55" s="14" t="s">
        <v>194</v>
      </c>
      <c r="I55" s="22"/>
      <c r="J55" s="23"/>
    </row>
    <row r="56" ht="15.0" customHeight="1">
      <c r="A56" s="16">
        <v>55.0</v>
      </c>
      <c r="B56" s="12" t="s">
        <v>495</v>
      </c>
      <c r="C56" s="9" t="s">
        <v>523</v>
      </c>
      <c r="D56" s="20" t="s">
        <v>524</v>
      </c>
      <c r="E56" s="12" t="s">
        <v>525</v>
      </c>
      <c r="F56" s="20" t="s">
        <v>74</v>
      </c>
      <c r="G56" s="12" t="s">
        <v>77</v>
      </c>
      <c r="H56" s="9" t="s">
        <v>527</v>
      </c>
      <c r="I56" s="12" t="s">
        <v>529</v>
      </c>
      <c r="J56" s="23"/>
    </row>
    <row r="57" ht="29.25" customHeight="1">
      <c r="A57" s="26">
        <v>56.0</v>
      </c>
      <c r="B57" s="22" t="s">
        <v>495</v>
      </c>
      <c r="C57" s="14" t="s">
        <v>523</v>
      </c>
      <c r="D57" s="29" t="s">
        <v>532</v>
      </c>
      <c r="E57" s="22" t="s">
        <v>533</v>
      </c>
      <c r="F57" s="29" t="s">
        <v>74</v>
      </c>
      <c r="G57" s="22" t="s">
        <v>360</v>
      </c>
      <c r="H57" s="14" t="s">
        <v>527</v>
      </c>
      <c r="I57" s="22"/>
      <c r="J57" s="23"/>
    </row>
    <row r="58" ht="15.0" customHeight="1">
      <c r="A58" s="16">
        <v>57.0</v>
      </c>
      <c r="B58" s="12" t="s">
        <v>495</v>
      </c>
      <c r="C58" s="9" t="s">
        <v>523</v>
      </c>
      <c r="D58" s="20" t="s">
        <v>536</v>
      </c>
      <c r="E58" s="12" t="s">
        <v>538</v>
      </c>
      <c r="F58" s="20" t="s">
        <v>74</v>
      </c>
      <c r="G58" s="12" t="s">
        <v>77</v>
      </c>
      <c r="H58" s="9" t="s">
        <v>527</v>
      </c>
      <c r="I58" s="12"/>
      <c r="J58" s="23"/>
    </row>
    <row r="59" ht="15.0" customHeight="1">
      <c r="A59" s="26">
        <v>58.0</v>
      </c>
      <c r="B59" s="22" t="s">
        <v>495</v>
      </c>
      <c r="C59" s="14" t="s">
        <v>523</v>
      </c>
      <c r="D59" s="29" t="s">
        <v>542</v>
      </c>
      <c r="E59" s="22" t="s">
        <v>544</v>
      </c>
      <c r="F59" s="29" t="s">
        <v>74</v>
      </c>
      <c r="G59" s="22" t="s">
        <v>77</v>
      </c>
      <c r="H59" s="14" t="s">
        <v>527</v>
      </c>
      <c r="I59" s="22"/>
      <c r="J59" s="23"/>
    </row>
    <row r="60" ht="29.25" customHeight="1">
      <c r="A60" s="16">
        <v>59.0</v>
      </c>
      <c r="B60" s="12" t="s">
        <v>547</v>
      </c>
      <c r="C60" s="9" t="s">
        <v>549</v>
      </c>
      <c r="D60" s="20" t="s">
        <v>552</v>
      </c>
      <c r="E60" s="12" t="s">
        <v>553</v>
      </c>
      <c r="F60" s="16" t="s">
        <v>261</v>
      </c>
      <c r="G60" s="12" t="s">
        <v>360</v>
      </c>
      <c r="H60" s="9" t="s">
        <v>555</v>
      </c>
      <c r="I60" s="12" t="s">
        <v>558</v>
      </c>
      <c r="J60" s="23"/>
    </row>
    <row r="61" ht="29.25" customHeight="1">
      <c r="A61" s="26">
        <v>60.0</v>
      </c>
      <c r="B61" s="22" t="s">
        <v>547</v>
      </c>
      <c r="C61" s="14" t="s">
        <v>549</v>
      </c>
      <c r="D61" s="29" t="s">
        <v>565</v>
      </c>
      <c r="E61" s="22" t="s">
        <v>566</v>
      </c>
      <c r="F61" s="26" t="s">
        <v>261</v>
      </c>
      <c r="G61" s="22" t="s">
        <v>360</v>
      </c>
      <c r="H61" s="14" t="s">
        <v>555</v>
      </c>
      <c r="I61" s="22"/>
      <c r="J61" s="23"/>
    </row>
    <row r="62" ht="15.0" customHeight="1">
      <c r="A62" s="16">
        <v>61.0</v>
      </c>
      <c r="B62" s="12" t="s">
        <v>547</v>
      </c>
      <c r="C62" s="9" t="s">
        <v>549</v>
      </c>
      <c r="D62" s="20" t="s">
        <v>571</v>
      </c>
      <c r="E62" s="12" t="s">
        <v>573</v>
      </c>
      <c r="F62" s="16" t="s">
        <v>396</v>
      </c>
      <c r="G62" s="12" t="s">
        <v>77</v>
      </c>
      <c r="H62" s="9" t="s">
        <v>555</v>
      </c>
      <c r="I62" s="12" t="s">
        <v>574</v>
      </c>
      <c r="J62" s="23"/>
    </row>
    <row r="63" ht="29.25" customHeight="1">
      <c r="A63" s="26">
        <v>62.0</v>
      </c>
      <c r="B63" s="22" t="s">
        <v>547</v>
      </c>
      <c r="C63" s="14" t="s">
        <v>549</v>
      </c>
      <c r="D63" s="29" t="s">
        <v>578</v>
      </c>
      <c r="E63" s="14" t="s">
        <v>581</v>
      </c>
      <c r="F63" s="29" t="s">
        <v>74</v>
      </c>
      <c r="G63" s="22" t="s">
        <v>360</v>
      </c>
      <c r="H63" s="14" t="s">
        <v>555</v>
      </c>
      <c r="I63" s="22"/>
      <c r="J63" s="23"/>
    </row>
    <row r="64" ht="15.0" customHeight="1">
      <c r="A64" s="16">
        <v>63.0</v>
      </c>
      <c r="B64" s="12" t="s">
        <v>547</v>
      </c>
      <c r="C64" s="9" t="s">
        <v>549</v>
      </c>
      <c r="D64" s="20" t="s">
        <v>589</v>
      </c>
      <c r="E64" s="12" t="s">
        <v>590</v>
      </c>
      <c r="F64" s="20" t="s">
        <v>74</v>
      </c>
      <c r="G64" s="12" t="s">
        <v>77</v>
      </c>
      <c r="H64" s="9" t="s">
        <v>555</v>
      </c>
      <c r="I64" s="12" t="s">
        <v>594</v>
      </c>
      <c r="J64" s="23"/>
    </row>
    <row r="65" ht="15.0" customHeight="1">
      <c r="A65" s="26">
        <v>64.0</v>
      </c>
      <c r="B65" s="22" t="s">
        <v>547</v>
      </c>
      <c r="C65" s="14" t="s">
        <v>549</v>
      </c>
      <c r="D65" s="29" t="s">
        <v>598</v>
      </c>
      <c r="E65" s="22" t="s">
        <v>599</v>
      </c>
      <c r="F65" s="29" t="s">
        <v>74</v>
      </c>
      <c r="G65" s="22" t="s">
        <v>77</v>
      </c>
      <c r="H65" s="14" t="s">
        <v>555</v>
      </c>
      <c r="I65" s="22"/>
      <c r="J65" s="23"/>
    </row>
    <row r="66" ht="15.0" customHeight="1">
      <c r="A66" s="16">
        <v>65.0</v>
      </c>
      <c r="B66" s="12" t="s">
        <v>547</v>
      </c>
      <c r="C66" s="9" t="s">
        <v>549</v>
      </c>
      <c r="D66" s="20" t="s">
        <v>614</v>
      </c>
      <c r="E66" s="12" t="s">
        <v>616</v>
      </c>
      <c r="F66" s="20" t="s">
        <v>74</v>
      </c>
      <c r="G66" s="12" t="s">
        <v>77</v>
      </c>
      <c r="H66" s="9" t="s">
        <v>555</v>
      </c>
      <c r="I66" s="12"/>
      <c r="J66" s="23"/>
    </row>
    <row r="67" ht="15.0" customHeight="1">
      <c r="A67" s="26">
        <v>66.0</v>
      </c>
      <c r="B67" s="22" t="s">
        <v>547</v>
      </c>
      <c r="C67" s="14" t="s">
        <v>621</v>
      </c>
      <c r="D67" s="29" t="s">
        <v>622</v>
      </c>
      <c r="E67" s="22" t="s">
        <v>624</v>
      </c>
      <c r="F67" s="29" t="s">
        <v>74</v>
      </c>
      <c r="G67" s="22" t="s">
        <v>77</v>
      </c>
      <c r="H67" s="14" t="s">
        <v>227</v>
      </c>
      <c r="I67" s="22" t="s">
        <v>628</v>
      </c>
      <c r="J67" s="23"/>
    </row>
    <row r="68" ht="29.25" customHeight="1">
      <c r="A68" s="16">
        <v>67.0</v>
      </c>
      <c r="B68" s="12" t="s">
        <v>547</v>
      </c>
      <c r="C68" s="9" t="s">
        <v>621</v>
      </c>
      <c r="D68" s="20" t="s">
        <v>634</v>
      </c>
      <c r="E68" s="12" t="s">
        <v>636</v>
      </c>
      <c r="F68" s="20" t="s">
        <v>74</v>
      </c>
      <c r="G68" s="12" t="s">
        <v>77</v>
      </c>
      <c r="H68" s="9" t="s">
        <v>227</v>
      </c>
      <c r="I68" s="12" t="s">
        <v>639</v>
      </c>
      <c r="J68" s="23"/>
    </row>
    <row r="69" ht="29.25" customHeight="1">
      <c r="A69" s="26">
        <v>68.0</v>
      </c>
      <c r="B69" s="22" t="s">
        <v>547</v>
      </c>
      <c r="C69" s="14" t="s">
        <v>643</v>
      </c>
      <c r="D69" s="29" t="s">
        <v>645</v>
      </c>
      <c r="E69" s="22" t="s">
        <v>647</v>
      </c>
      <c r="F69" s="29" t="s">
        <v>74</v>
      </c>
      <c r="G69" s="22" t="s">
        <v>360</v>
      </c>
      <c r="H69" s="14" t="s">
        <v>650</v>
      </c>
      <c r="I69" s="22"/>
      <c r="J69" s="23"/>
    </row>
    <row r="70" ht="15.0" customHeight="1">
      <c r="A70" s="16">
        <v>69.0</v>
      </c>
      <c r="B70" s="12" t="s">
        <v>547</v>
      </c>
      <c r="C70" s="9" t="s">
        <v>643</v>
      </c>
      <c r="D70" s="20" t="s">
        <v>655</v>
      </c>
      <c r="E70" s="12" t="s">
        <v>657</v>
      </c>
      <c r="F70" s="16" t="s">
        <v>261</v>
      </c>
      <c r="G70" s="12" t="s">
        <v>77</v>
      </c>
      <c r="H70" s="9" t="s">
        <v>650</v>
      </c>
      <c r="I70" s="12"/>
      <c r="J70" s="23"/>
    </row>
    <row r="71" ht="15.0" customHeight="1">
      <c r="A71" s="26">
        <v>70.0</v>
      </c>
      <c r="B71" s="22" t="s">
        <v>547</v>
      </c>
      <c r="C71" s="14" t="s">
        <v>643</v>
      </c>
      <c r="D71" s="29" t="s">
        <v>667</v>
      </c>
      <c r="E71" s="22" t="s">
        <v>669</v>
      </c>
      <c r="F71" s="29" t="s">
        <v>74</v>
      </c>
      <c r="G71" s="22" t="s">
        <v>77</v>
      </c>
      <c r="H71" s="14" t="s">
        <v>650</v>
      </c>
      <c r="I71" s="22"/>
      <c r="J71" s="23"/>
    </row>
    <row r="72" ht="15.0" customHeight="1">
      <c r="A72" s="16">
        <v>71.0</v>
      </c>
      <c r="B72" s="12" t="s">
        <v>547</v>
      </c>
      <c r="C72" s="9" t="s">
        <v>643</v>
      </c>
      <c r="D72" s="20" t="s">
        <v>674</v>
      </c>
      <c r="E72" s="12" t="s">
        <v>675</v>
      </c>
      <c r="F72" s="20" t="s">
        <v>74</v>
      </c>
      <c r="G72" s="12" t="s">
        <v>77</v>
      </c>
      <c r="H72" s="9" t="s">
        <v>650</v>
      </c>
      <c r="I72" s="12" t="s">
        <v>678</v>
      </c>
      <c r="J72" s="23"/>
    </row>
    <row r="73" ht="29.25" customHeight="1">
      <c r="A73" s="26">
        <v>72.0</v>
      </c>
      <c r="B73" s="22" t="s">
        <v>547</v>
      </c>
      <c r="C73" s="14" t="s">
        <v>681</v>
      </c>
      <c r="D73" s="29" t="s">
        <v>682</v>
      </c>
      <c r="E73" s="22" t="s">
        <v>683</v>
      </c>
      <c r="F73" s="29" t="s">
        <v>74</v>
      </c>
      <c r="G73" s="22" t="s">
        <v>77</v>
      </c>
      <c r="H73" s="14" t="s">
        <v>201</v>
      </c>
      <c r="I73" s="22" t="s">
        <v>686</v>
      </c>
      <c r="J73" s="23"/>
    </row>
    <row r="74" ht="29.25" customHeight="1">
      <c r="A74" s="16">
        <v>73.0</v>
      </c>
      <c r="B74" s="12" t="s">
        <v>547</v>
      </c>
      <c r="C74" s="9" t="s">
        <v>681</v>
      </c>
      <c r="D74" s="20" t="s">
        <v>689</v>
      </c>
      <c r="E74" s="12" t="s">
        <v>690</v>
      </c>
      <c r="F74" s="20" t="s">
        <v>74</v>
      </c>
      <c r="G74" s="12" t="s">
        <v>465</v>
      </c>
      <c r="H74" s="9" t="s">
        <v>201</v>
      </c>
      <c r="I74" s="12"/>
      <c r="J74" s="23"/>
    </row>
    <row r="75" ht="29.25" customHeight="1">
      <c r="A75" s="26">
        <v>74.0</v>
      </c>
      <c r="B75" s="22" t="s">
        <v>692</v>
      </c>
      <c r="C75" s="14" t="s">
        <v>694</v>
      </c>
      <c r="D75" s="29" t="s">
        <v>695</v>
      </c>
      <c r="E75" s="22" t="s">
        <v>696</v>
      </c>
      <c r="F75" s="29" t="s">
        <v>74</v>
      </c>
      <c r="G75" s="22" t="s">
        <v>77</v>
      </c>
      <c r="H75" s="14" t="s">
        <v>697</v>
      </c>
      <c r="I75" s="22"/>
      <c r="J75" s="23"/>
    </row>
    <row r="76" ht="26.25" customHeight="1">
      <c r="A76" s="16">
        <v>75.0</v>
      </c>
      <c r="B76" s="12" t="s">
        <v>692</v>
      </c>
      <c r="C76" s="9" t="s">
        <v>694</v>
      </c>
      <c r="D76" s="20" t="s">
        <v>700</v>
      </c>
      <c r="E76" s="12" t="s">
        <v>702</v>
      </c>
      <c r="F76" s="16" t="s">
        <v>261</v>
      </c>
      <c r="G76" s="12" t="s">
        <v>77</v>
      </c>
      <c r="H76" s="9" t="s">
        <v>697</v>
      </c>
      <c r="I76" s="12"/>
      <c r="J76" s="23"/>
    </row>
    <row r="77" ht="15.0" customHeight="1">
      <c r="A77" s="26">
        <v>76.0</v>
      </c>
      <c r="B77" s="22" t="s">
        <v>692</v>
      </c>
      <c r="C77" s="14" t="s">
        <v>708</v>
      </c>
      <c r="D77" s="29" t="s">
        <v>710</v>
      </c>
      <c r="E77" s="22" t="s">
        <v>711</v>
      </c>
      <c r="F77" s="26" t="s">
        <v>317</v>
      </c>
      <c r="G77" s="22" t="s">
        <v>77</v>
      </c>
      <c r="H77" s="14" t="s">
        <v>697</v>
      </c>
      <c r="I77" s="22"/>
      <c r="J77" s="23"/>
    </row>
    <row r="78" ht="15.0" customHeight="1">
      <c r="A78" s="16">
        <v>77.0</v>
      </c>
      <c r="B78" s="12" t="s">
        <v>692</v>
      </c>
      <c r="C78" s="9" t="s">
        <v>713</v>
      </c>
      <c r="D78" s="20" t="s">
        <v>714</v>
      </c>
      <c r="E78" s="12" t="s">
        <v>716</v>
      </c>
      <c r="F78" s="20" t="s">
        <v>74</v>
      </c>
      <c r="G78" s="12" t="s">
        <v>77</v>
      </c>
      <c r="H78" s="9" t="s">
        <v>697</v>
      </c>
      <c r="I78" s="12"/>
      <c r="J78" s="23"/>
    </row>
    <row r="79" ht="29.25" customHeight="1">
      <c r="A79" s="26">
        <v>78.0</v>
      </c>
      <c r="B79" s="22" t="s">
        <v>692</v>
      </c>
      <c r="C79" s="14" t="s">
        <v>713</v>
      </c>
      <c r="D79" s="29" t="s">
        <v>720</v>
      </c>
      <c r="E79" s="22" t="s">
        <v>722</v>
      </c>
      <c r="F79" s="29" t="s">
        <v>74</v>
      </c>
      <c r="G79" s="22" t="s">
        <v>360</v>
      </c>
      <c r="H79" s="14" t="s">
        <v>697</v>
      </c>
      <c r="I79" s="22"/>
      <c r="J79" s="23"/>
    </row>
    <row r="80" ht="29.25" customHeight="1">
      <c r="A80" s="16">
        <v>79.0</v>
      </c>
      <c r="B80" s="12" t="s">
        <v>692</v>
      </c>
      <c r="C80" s="9" t="s">
        <v>713</v>
      </c>
      <c r="D80" s="20" t="s">
        <v>726</v>
      </c>
      <c r="E80" s="12" t="s">
        <v>727</v>
      </c>
      <c r="F80" s="20" t="s">
        <v>464</v>
      </c>
      <c r="G80" s="12" t="s">
        <v>77</v>
      </c>
      <c r="H80" s="9" t="s">
        <v>697</v>
      </c>
      <c r="I80" s="12"/>
      <c r="J80" s="23"/>
    </row>
    <row r="81" ht="29.25" customHeight="1">
      <c r="A81" s="26">
        <v>80.0</v>
      </c>
      <c r="B81" s="22" t="s">
        <v>729</v>
      </c>
      <c r="C81" s="14" t="s">
        <v>730</v>
      </c>
      <c r="D81" s="29" t="s">
        <v>731</v>
      </c>
      <c r="E81" s="22" t="s">
        <v>732</v>
      </c>
      <c r="F81" s="29" t="s">
        <v>74</v>
      </c>
      <c r="G81" s="22" t="s">
        <v>77</v>
      </c>
      <c r="H81" s="14" t="s">
        <v>734</v>
      </c>
      <c r="I81" s="22"/>
      <c r="J81" s="23"/>
    </row>
    <row r="82" ht="26.25" customHeight="1">
      <c r="A82" s="16">
        <v>81.0</v>
      </c>
      <c r="B82" s="12" t="s">
        <v>729</v>
      </c>
      <c r="C82" s="9" t="s">
        <v>730</v>
      </c>
      <c r="D82" s="20" t="s">
        <v>739</v>
      </c>
      <c r="E82" s="12" t="s">
        <v>740</v>
      </c>
      <c r="F82" s="20" t="s">
        <v>74</v>
      </c>
      <c r="G82" s="12" t="s">
        <v>77</v>
      </c>
      <c r="H82" s="9" t="s">
        <v>734</v>
      </c>
      <c r="I82" s="12"/>
      <c r="J82" s="23"/>
    </row>
    <row r="83" ht="15.0" customHeight="1">
      <c r="A83" s="26">
        <v>82.0</v>
      </c>
      <c r="B83" s="22" t="s">
        <v>729</v>
      </c>
      <c r="C83" s="14" t="s">
        <v>742</v>
      </c>
      <c r="D83" s="29" t="s">
        <v>744</v>
      </c>
      <c r="E83" s="22" t="s">
        <v>745</v>
      </c>
      <c r="F83" s="29" t="s">
        <v>74</v>
      </c>
      <c r="G83" s="22" t="s">
        <v>77</v>
      </c>
      <c r="H83" s="14" t="s">
        <v>734</v>
      </c>
      <c r="I83" s="22"/>
      <c r="J83" s="23"/>
    </row>
    <row r="84" ht="15.0" customHeight="1">
      <c r="A84" s="16">
        <v>83.0</v>
      </c>
      <c r="B84" s="12" t="s">
        <v>729</v>
      </c>
      <c r="C84" s="9" t="s">
        <v>742</v>
      </c>
      <c r="D84" s="20" t="s">
        <v>748</v>
      </c>
      <c r="E84" s="12" t="s">
        <v>749</v>
      </c>
      <c r="F84" s="20" t="s">
        <v>74</v>
      </c>
      <c r="G84" s="12" t="s">
        <v>77</v>
      </c>
      <c r="H84" s="9" t="s">
        <v>734</v>
      </c>
      <c r="I84" s="12"/>
      <c r="J84" s="23"/>
    </row>
    <row r="85" ht="15.0" customHeight="1">
      <c r="A85" s="26">
        <v>84.0</v>
      </c>
      <c r="B85" s="22" t="s">
        <v>729</v>
      </c>
      <c r="C85" s="14" t="s">
        <v>742</v>
      </c>
      <c r="D85" s="29" t="s">
        <v>753</v>
      </c>
      <c r="E85" s="22" t="s">
        <v>755</v>
      </c>
      <c r="F85" s="29" t="s">
        <v>74</v>
      </c>
      <c r="G85" s="22" t="s">
        <v>77</v>
      </c>
      <c r="H85" s="14" t="s">
        <v>734</v>
      </c>
      <c r="I85" s="22"/>
      <c r="J85" s="23"/>
    </row>
    <row r="86" ht="15.0" customHeight="1">
      <c r="A86" s="16">
        <v>85.0</v>
      </c>
      <c r="B86" s="12" t="s">
        <v>759</v>
      </c>
      <c r="C86" s="9" t="s">
        <v>761</v>
      </c>
      <c r="D86" s="20" t="s">
        <v>762</v>
      </c>
      <c r="E86" s="12" t="s">
        <v>763</v>
      </c>
      <c r="F86" s="20" t="s">
        <v>74</v>
      </c>
      <c r="G86" s="12" t="s">
        <v>77</v>
      </c>
      <c r="H86" s="9" t="s">
        <v>766</v>
      </c>
      <c r="I86" s="12"/>
      <c r="J86" s="23"/>
    </row>
    <row r="87" ht="15.0" customHeight="1">
      <c r="A87" s="26">
        <v>86.0</v>
      </c>
      <c r="B87" s="22" t="s">
        <v>759</v>
      </c>
      <c r="C87" s="14" t="s">
        <v>761</v>
      </c>
      <c r="D87" s="29" t="s">
        <v>768</v>
      </c>
      <c r="E87" s="22" t="s">
        <v>769</v>
      </c>
      <c r="F87" s="29" t="s">
        <v>74</v>
      </c>
      <c r="G87" s="22" t="s">
        <v>77</v>
      </c>
      <c r="H87" s="14" t="s">
        <v>766</v>
      </c>
      <c r="I87" s="22"/>
      <c r="J87" s="23"/>
    </row>
    <row r="88" ht="29.25" customHeight="1">
      <c r="A88" s="16">
        <v>87.0</v>
      </c>
      <c r="B88" s="12" t="s">
        <v>759</v>
      </c>
      <c r="C88" s="9" t="s">
        <v>761</v>
      </c>
      <c r="D88" s="20" t="s">
        <v>772</v>
      </c>
      <c r="E88" s="12" t="s">
        <v>774</v>
      </c>
      <c r="F88" s="16" t="s">
        <v>261</v>
      </c>
      <c r="G88" s="12" t="s">
        <v>360</v>
      </c>
      <c r="H88" s="9" t="s">
        <v>766</v>
      </c>
      <c r="I88" s="12" t="s">
        <v>778</v>
      </c>
      <c r="J88" s="23"/>
    </row>
    <row r="89" ht="15.0" customHeight="1">
      <c r="A89" s="26">
        <v>88.0</v>
      </c>
      <c r="B89" s="22" t="s">
        <v>759</v>
      </c>
      <c r="C89" s="14" t="s">
        <v>761</v>
      </c>
      <c r="D89" s="29" t="s">
        <v>780</v>
      </c>
      <c r="E89" s="22" t="s">
        <v>782</v>
      </c>
      <c r="F89" s="26" t="s">
        <v>261</v>
      </c>
      <c r="G89" s="22" t="s">
        <v>77</v>
      </c>
      <c r="H89" s="14" t="s">
        <v>766</v>
      </c>
      <c r="I89" s="22"/>
      <c r="J89" s="23"/>
    </row>
    <row r="90" ht="29.25" customHeight="1">
      <c r="A90" s="16">
        <v>89.0</v>
      </c>
      <c r="B90" s="12" t="s">
        <v>759</v>
      </c>
      <c r="C90" s="9" t="s">
        <v>761</v>
      </c>
      <c r="D90" s="20" t="s">
        <v>784</v>
      </c>
      <c r="E90" s="12" t="s">
        <v>785</v>
      </c>
      <c r="F90" s="16" t="s">
        <v>261</v>
      </c>
      <c r="G90" s="12" t="s">
        <v>360</v>
      </c>
      <c r="H90" s="9" t="s">
        <v>766</v>
      </c>
      <c r="I90" s="12"/>
      <c r="J90" s="23"/>
    </row>
    <row r="91" ht="15.0" customHeight="1">
      <c r="A91" s="26">
        <v>90.0</v>
      </c>
      <c r="B91" s="22" t="s">
        <v>759</v>
      </c>
      <c r="C91" s="14" t="s">
        <v>761</v>
      </c>
      <c r="D91" s="29" t="s">
        <v>788</v>
      </c>
      <c r="E91" s="22" t="s">
        <v>790</v>
      </c>
      <c r="F91" s="29" t="s">
        <v>74</v>
      </c>
      <c r="G91" s="22" t="s">
        <v>77</v>
      </c>
      <c r="H91" s="14" t="s">
        <v>766</v>
      </c>
      <c r="I91" s="22"/>
      <c r="J91" s="23"/>
    </row>
    <row r="92" ht="15.0" customHeight="1">
      <c r="A92" s="16">
        <v>91.0</v>
      </c>
      <c r="B92" s="12" t="s">
        <v>759</v>
      </c>
      <c r="C92" s="9" t="s">
        <v>761</v>
      </c>
      <c r="D92" s="20" t="s">
        <v>795</v>
      </c>
      <c r="E92" s="12" t="s">
        <v>797</v>
      </c>
      <c r="F92" s="20" t="s">
        <v>74</v>
      </c>
      <c r="G92" s="12" t="s">
        <v>77</v>
      </c>
      <c r="H92" s="9" t="s">
        <v>766</v>
      </c>
      <c r="I92" s="12"/>
      <c r="J92" s="23"/>
    </row>
    <row r="93" ht="29.25" customHeight="1">
      <c r="A93" s="26">
        <v>92.0</v>
      </c>
      <c r="B93" s="22" t="s">
        <v>759</v>
      </c>
      <c r="C93" s="14" t="s">
        <v>761</v>
      </c>
      <c r="D93" s="29" t="s">
        <v>802</v>
      </c>
      <c r="E93" s="22" t="s">
        <v>804</v>
      </c>
      <c r="F93" s="29" t="s">
        <v>74</v>
      </c>
      <c r="G93" s="22" t="s">
        <v>360</v>
      </c>
      <c r="H93" s="14" t="s">
        <v>766</v>
      </c>
      <c r="I93" s="22"/>
      <c r="J93" s="23"/>
    </row>
    <row r="94" ht="15.0" customHeight="1">
      <c r="A94" s="16">
        <v>93.0</v>
      </c>
      <c r="B94" s="12" t="s">
        <v>759</v>
      </c>
      <c r="C94" s="9" t="s">
        <v>761</v>
      </c>
      <c r="D94" s="20" t="s">
        <v>808</v>
      </c>
      <c r="E94" s="12" t="s">
        <v>809</v>
      </c>
      <c r="F94" s="20" t="s">
        <v>74</v>
      </c>
      <c r="G94" s="12" t="s">
        <v>77</v>
      </c>
      <c r="H94" s="9" t="s">
        <v>766</v>
      </c>
      <c r="I94" s="12"/>
      <c r="J94" s="23"/>
    </row>
    <row r="95" ht="15.0" customHeight="1">
      <c r="A95" s="26">
        <v>94.0</v>
      </c>
      <c r="B95" s="22" t="s">
        <v>759</v>
      </c>
      <c r="C95" s="14" t="s">
        <v>812</v>
      </c>
      <c r="D95" s="29" t="s">
        <v>813</v>
      </c>
      <c r="E95" s="22" t="s">
        <v>814</v>
      </c>
      <c r="F95" s="29" t="s">
        <v>74</v>
      </c>
      <c r="G95" s="22" t="s">
        <v>77</v>
      </c>
      <c r="H95" s="14" t="s">
        <v>806</v>
      </c>
      <c r="I95" s="22"/>
      <c r="J95" s="23"/>
    </row>
    <row r="96" ht="15.0" customHeight="1">
      <c r="A96" s="16">
        <v>95.0</v>
      </c>
      <c r="B96" s="12" t="s">
        <v>759</v>
      </c>
      <c r="C96" s="9" t="s">
        <v>812</v>
      </c>
      <c r="D96" s="20" t="s">
        <v>818</v>
      </c>
      <c r="E96" s="12" t="s">
        <v>819</v>
      </c>
      <c r="F96" s="16" t="s">
        <v>261</v>
      </c>
      <c r="G96" s="12" t="s">
        <v>77</v>
      </c>
      <c r="H96" s="9" t="s">
        <v>806</v>
      </c>
      <c r="I96" s="12" t="s">
        <v>822</v>
      </c>
      <c r="J96" s="23"/>
    </row>
    <row r="97" ht="15.0" customHeight="1">
      <c r="A97" s="26">
        <v>96.0</v>
      </c>
      <c r="B97" s="22" t="s">
        <v>759</v>
      </c>
      <c r="C97" s="14" t="s">
        <v>812</v>
      </c>
      <c r="D97" s="29" t="s">
        <v>825</v>
      </c>
      <c r="E97" s="22" t="s">
        <v>826</v>
      </c>
      <c r="F97" s="29" t="s">
        <v>74</v>
      </c>
      <c r="G97" s="22" t="s">
        <v>77</v>
      </c>
      <c r="H97" s="14" t="s">
        <v>806</v>
      </c>
      <c r="I97" s="22"/>
      <c r="J97" s="23"/>
    </row>
    <row r="98" ht="15.0" customHeight="1">
      <c r="A98" s="16">
        <v>97.0</v>
      </c>
      <c r="B98" s="12" t="s">
        <v>828</v>
      </c>
      <c r="C98" s="9" t="s">
        <v>831</v>
      </c>
      <c r="D98" s="20" t="s">
        <v>832</v>
      </c>
      <c r="E98" s="12" t="s">
        <v>833</v>
      </c>
      <c r="F98" s="20" t="s">
        <v>74</v>
      </c>
      <c r="G98" s="12" t="s">
        <v>77</v>
      </c>
      <c r="H98" s="9" t="s">
        <v>789</v>
      </c>
      <c r="I98" s="12"/>
      <c r="J98" s="23"/>
    </row>
    <row r="99" ht="29.25" customHeight="1">
      <c r="A99" s="26">
        <v>98.0</v>
      </c>
      <c r="B99" s="22" t="s">
        <v>828</v>
      </c>
      <c r="C99" s="14" t="s">
        <v>831</v>
      </c>
      <c r="D99" s="29" t="s">
        <v>837</v>
      </c>
      <c r="E99" s="22" t="s">
        <v>838</v>
      </c>
      <c r="F99" s="29" t="s">
        <v>74</v>
      </c>
      <c r="G99" s="22" t="s">
        <v>77</v>
      </c>
      <c r="H99" s="14" t="s">
        <v>789</v>
      </c>
      <c r="I99" s="22"/>
      <c r="J99" s="23"/>
    </row>
    <row r="100" ht="15.0" customHeight="1">
      <c r="A100" s="16">
        <v>99.0</v>
      </c>
      <c r="B100" s="12" t="s">
        <v>828</v>
      </c>
      <c r="C100" s="9" t="s">
        <v>841</v>
      </c>
      <c r="D100" s="20" t="s">
        <v>842</v>
      </c>
      <c r="E100" s="12" t="s">
        <v>844</v>
      </c>
      <c r="F100" s="20" t="s">
        <v>74</v>
      </c>
      <c r="G100" s="12" t="s">
        <v>77</v>
      </c>
      <c r="H100" s="9" t="s">
        <v>789</v>
      </c>
      <c r="I100" s="12"/>
      <c r="J100" s="23"/>
    </row>
    <row r="101" ht="15.0" customHeight="1">
      <c r="A101" s="26">
        <v>100.0</v>
      </c>
      <c r="B101" s="22" t="s">
        <v>828</v>
      </c>
      <c r="C101" s="14" t="s">
        <v>841</v>
      </c>
      <c r="D101" s="29" t="s">
        <v>848</v>
      </c>
      <c r="E101" s="22" t="s">
        <v>851</v>
      </c>
      <c r="F101" s="29" t="s">
        <v>74</v>
      </c>
      <c r="G101" s="22" t="s">
        <v>77</v>
      </c>
      <c r="H101" s="14" t="s">
        <v>789</v>
      </c>
      <c r="I101" s="22"/>
      <c r="J101" s="23"/>
    </row>
    <row r="102" ht="15.0" customHeight="1">
      <c r="A102" s="16">
        <v>101.0</v>
      </c>
      <c r="B102" s="12" t="s">
        <v>828</v>
      </c>
      <c r="C102" s="9" t="s">
        <v>841</v>
      </c>
      <c r="D102" s="20" t="s">
        <v>856</v>
      </c>
      <c r="E102" s="12" t="s">
        <v>857</v>
      </c>
      <c r="F102" s="16" t="s">
        <v>317</v>
      </c>
      <c r="G102" s="12" t="s">
        <v>77</v>
      </c>
      <c r="H102" s="9" t="s">
        <v>789</v>
      </c>
      <c r="I102" s="12" t="s">
        <v>860</v>
      </c>
      <c r="J102" s="23"/>
    </row>
    <row r="103" ht="15.0" customHeight="1">
      <c r="A103" s="26">
        <v>102.0</v>
      </c>
      <c r="B103" s="22" t="s">
        <v>862</v>
      </c>
      <c r="C103" s="14" t="s">
        <v>863</v>
      </c>
      <c r="D103" s="29" t="s">
        <v>865</v>
      </c>
      <c r="E103" s="22" t="s">
        <v>866</v>
      </c>
      <c r="F103" s="29" t="s">
        <v>74</v>
      </c>
      <c r="G103" s="22" t="s">
        <v>77</v>
      </c>
      <c r="H103" s="14" t="s">
        <v>867</v>
      </c>
      <c r="I103" s="22" t="s">
        <v>869</v>
      </c>
      <c r="J103" s="23"/>
    </row>
    <row r="104" ht="15.0" customHeight="1">
      <c r="A104" s="16">
        <v>103.0</v>
      </c>
      <c r="B104" s="12" t="s">
        <v>862</v>
      </c>
      <c r="C104" s="9" t="s">
        <v>863</v>
      </c>
      <c r="D104" s="20" t="s">
        <v>873</v>
      </c>
      <c r="E104" s="12" t="s">
        <v>874</v>
      </c>
      <c r="F104" s="20" t="s">
        <v>74</v>
      </c>
      <c r="G104" s="12" t="s">
        <v>77</v>
      </c>
      <c r="H104" s="9" t="s">
        <v>867</v>
      </c>
      <c r="I104" s="12" t="s">
        <v>876</v>
      </c>
      <c r="J104" s="23"/>
    </row>
    <row r="105" ht="15.0" customHeight="1">
      <c r="A105" s="26">
        <v>104.0</v>
      </c>
      <c r="B105" s="22" t="s">
        <v>862</v>
      </c>
      <c r="C105" s="14" t="s">
        <v>863</v>
      </c>
      <c r="D105" s="29" t="s">
        <v>878</v>
      </c>
      <c r="E105" s="22" t="s">
        <v>879</v>
      </c>
      <c r="F105" s="29" t="s">
        <v>74</v>
      </c>
      <c r="G105" s="22" t="s">
        <v>77</v>
      </c>
      <c r="H105" s="14" t="s">
        <v>867</v>
      </c>
      <c r="I105" s="22"/>
      <c r="J105" s="23"/>
    </row>
    <row r="106" ht="15.0" customHeight="1">
      <c r="A106" s="16">
        <v>105.0</v>
      </c>
      <c r="B106" s="12" t="s">
        <v>862</v>
      </c>
      <c r="C106" s="9" t="s">
        <v>863</v>
      </c>
      <c r="D106" s="20" t="s">
        <v>882</v>
      </c>
      <c r="E106" s="12" t="s">
        <v>885</v>
      </c>
      <c r="F106" s="20" t="s">
        <v>74</v>
      </c>
      <c r="G106" s="12" t="s">
        <v>77</v>
      </c>
      <c r="H106" s="9" t="s">
        <v>867</v>
      </c>
      <c r="I106" s="12"/>
      <c r="J106" s="23"/>
    </row>
    <row r="107" ht="15.0" customHeight="1">
      <c r="A107" s="26">
        <v>106.0</v>
      </c>
      <c r="B107" s="22" t="s">
        <v>862</v>
      </c>
      <c r="C107" s="14" t="s">
        <v>863</v>
      </c>
      <c r="D107" s="29" t="s">
        <v>890</v>
      </c>
      <c r="E107" s="22" t="s">
        <v>892</v>
      </c>
      <c r="F107" s="29" t="s">
        <v>74</v>
      </c>
      <c r="G107" s="22" t="s">
        <v>77</v>
      </c>
      <c r="H107" s="14" t="s">
        <v>867</v>
      </c>
      <c r="I107" s="22"/>
      <c r="J107" s="23"/>
    </row>
    <row r="108" ht="15.0" customHeight="1">
      <c r="A108" s="16">
        <v>107.0</v>
      </c>
      <c r="B108" s="12" t="s">
        <v>862</v>
      </c>
      <c r="C108" s="9" t="s">
        <v>863</v>
      </c>
      <c r="D108" s="20" t="s">
        <v>896</v>
      </c>
      <c r="E108" s="12" t="s">
        <v>897</v>
      </c>
      <c r="F108" s="20" t="s">
        <v>74</v>
      </c>
      <c r="G108" s="12" t="s">
        <v>77</v>
      </c>
      <c r="H108" s="9" t="s">
        <v>867</v>
      </c>
      <c r="I108" s="12"/>
      <c r="J108" s="23"/>
    </row>
    <row r="109" ht="15.0" customHeight="1">
      <c r="A109" s="26">
        <v>108.0</v>
      </c>
      <c r="B109" s="22" t="s">
        <v>862</v>
      </c>
      <c r="C109" s="14" t="s">
        <v>863</v>
      </c>
      <c r="D109" s="29" t="s">
        <v>901</v>
      </c>
      <c r="E109" s="22" t="s">
        <v>903</v>
      </c>
      <c r="F109" s="29" t="s">
        <v>74</v>
      </c>
      <c r="G109" s="22" t="s">
        <v>77</v>
      </c>
      <c r="H109" s="14" t="s">
        <v>867</v>
      </c>
      <c r="I109" s="22" t="s">
        <v>905</v>
      </c>
      <c r="J109" s="23"/>
    </row>
    <row r="110" ht="15.0" customHeight="1">
      <c r="A110" s="16">
        <v>109.0</v>
      </c>
      <c r="B110" s="12" t="s">
        <v>862</v>
      </c>
      <c r="C110" s="9" t="s">
        <v>863</v>
      </c>
      <c r="D110" s="20" t="s">
        <v>907</v>
      </c>
      <c r="E110" s="12" t="s">
        <v>908</v>
      </c>
      <c r="F110" s="20" t="s">
        <v>74</v>
      </c>
      <c r="G110" s="12" t="s">
        <v>77</v>
      </c>
      <c r="H110" s="9" t="s">
        <v>867</v>
      </c>
      <c r="I110" s="12" t="s">
        <v>910</v>
      </c>
      <c r="J110" s="23"/>
    </row>
    <row r="111" ht="15.0" customHeight="1">
      <c r="A111" s="26">
        <v>110.0</v>
      </c>
      <c r="B111" s="22" t="s">
        <v>862</v>
      </c>
      <c r="C111" s="14" t="s">
        <v>863</v>
      </c>
      <c r="D111" s="29" t="s">
        <v>912</v>
      </c>
      <c r="E111" s="22" t="s">
        <v>913</v>
      </c>
      <c r="F111" s="29" t="s">
        <v>74</v>
      </c>
      <c r="G111" s="22" t="s">
        <v>77</v>
      </c>
      <c r="H111" s="14" t="s">
        <v>867</v>
      </c>
      <c r="I111" s="22"/>
      <c r="J111" s="23"/>
    </row>
    <row r="112" ht="15.0" customHeight="1">
      <c r="A112" s="16">
        <v>111.0</v>
      </c>
      <c r="B112" s="12" t="s">
        <v>862</v>
      </c>
      <c r="C112" s="9" t="s">
        <v>863</v>
      </c>
      <c r="D112" s="20" t="s">
        <v>917</v>
      </c>
      <c r="E112" s="12" t="s">
        <v>919</v>
      </c>
      <c r="F112" s="20" t="s">
        <v>74</v>
      </c>
      <c r="G112" s="12" t="s">
        <v>77</v>
      </c>
      <c r="H112" s="9" t="s">
        <v>867</v>
      </c>
      <c r="I112" s="12"/>
      <c r="J112" s="23"/>
    </row>
    <row r="113" ht="15.0" customHeight="1">
      <c r="A113" s="26">
        <v>112.0</v>
      </c>
      <c r="B113" s="22" t="s">
        <v>862</v>
      </c>
      <c r="C113" s="14" t="s">
        <v>863</v>
      </c>
      <c r="D113" s="29" t="s">
        <v>923</v>
      </c>
      <c r="E113" s="22" t="s">
        <v>924</v>
      </c>
      <c r="F113" s="26" t="s">
        <v>261</v>
      </c>
      <c r="G113" s="22" t="s">
        <v>77</v>
      </c>
      <c r="H113" s="14" t="s">
        <v>867</v>
      </c>
      <c r="I113" s="22"/>
      <c r="J113" s="23"/>
    </row>
    <row r="114" ht="15.0" customHeight="1">
      <c r="A114" s="16">
        <v>113.0</v>
      </c>
      <c r="B114" s="12" t="s">
        <v>862</v>
      </c>
      <c r="C114" s="9" t="s">
        <v>929</v>
      </c>
      <c r="D114" s="20" t="s">
        <v>930</v>
      </c>
      <c r="E114" s="12" t="s">
        <v>932</v>
      </c>
      <c r="F114" s="20" t="s">
        <v>74</v>
      </c>
      <c r="G114" s="12" t="s">
        <v>77</v>
      </c>
      <c r="H114" s="9" t="s">
        <v>867</v>
      </c>
      <c r="I114" s="12"/>
      <c r="J114" s="23"/>
    </row>
    <row r="115" ht="15.0" customHeight="1">
      <c r="A115" s="26">
        <v>114.0</v>
      </c>
      <c r="B115" s="22" t="s">
        <v>862</v>
      </c>
      <c r="C115" s="14" t="s">
        <v>929</v>
      </c>
      <c r="D115" s="29" t="s">
        <v>939</v>
      </c>
      <c r="E115" s="22" t="s">
        <v>940</v>
      </c>
      <c r="F115" s="29" t="s">
        <v>74</v>
      </c>
      <c r="G115" s="22" t="s">
        <v>77</v>
      </c>
      <c r="H115" s="14" t="s">
        <v>867</v>
      </c>
      <c r="I115" s="22"/>
      <c r="J115" s="23"/>
    </row>
    <row r="116" ht="15.0" customHeight="1">
      <c r="A116" s="16">
        <v>115.0</v>
      </c>
      <c r="B116" s="12" t="s">
        <v>862</v>
      </c>
      <c r="C116" s="9" t="s">
        <v>929</v>
      </c>
      <c r="D116" s="20" t="s">
        <v>947</v>
      </c>
      <c r="E116" s="12" t="s">
        <v>948</v>
      </c>
      <c r="F116" s="16" t="s">
        <v>261</v>
      </c>
      <c r="G116" s="12" t="s">
        <v>77</v>
      </c>
      <c r="H116" s="9" t="s">
        <v>867</v>
      </c>
      <c r="I116" s="12" t="s">
        <v>949</v>
      </c>
      <c r="J116" s="23"/>
    </row>
    <row r="117" ht="26.25" customHeight="1">
      <c r="A117" s="26">
        <v>116.0</v>
      </c>
      <c r="B117" s="22" t="s">
        <v>951</v>
      </c>
      <c r="C117" s="14" t="s">
        <v>952</v>
      </c>
      <c r="D117" s="29" t="s">
        <v>954</v>
      </c>
      <c r="E117" s="22" t="s">
        <v>955</v>
      </c>
      <c r="F117" s="29" t="s">
        <v>74</v>
      </c>
      <c r="G117" s="22" t="s">
        <v>77</v>
      </c>
      <c r="H117" s="14" t="s">
        <v>958</v>
      </c>
      <c r="I117" s="22"/>
      <c r="J117" s="23"/>
    </row>
    <row r="118" ht="26.25" customHeight="1">
      <c r="A118" s="16">
        <v>117.0</v>
      </c>
      <c r="B118" s="12" t="s">
        <v>951</v>
      </c>
      <c r="C118" s="9" t="s">
        <v>952</v>
      </c>
      <c r="D118" s="20" t="s">
        <v>961</v>
      </c>
      <c r="E118" s="12" t="s">
        <v>962</v>
      </c>
      <c r="F118" s="20" t="s">
        <v>74</v>
      </c>
      <c r="G118" s="12" t="s">
        <v>77</v>
      </c>
      <c r="H118" s="9" t="s">
        <v>958</v>
      </c>
      <c r="I118" s="12" t="s">
        <v>964</v>
      </c>
      <c r="J118" s="23"/>
    </row>
    <row r="119" ht="29.25" customHeight="1">
      <c r="A119" s="26">
        <v>118.0</v>
      </c>
      <c r="B119" s="22" t="s">
        <v>951</v>
      </c>
      <c r="C119" s="14" t="s">
        <v>966</v>
      </c>
      <c r="D119" s="29" t="s">
        <v>967</v>
      </c>
      <c r="E119" s="22" t="s">
        <v>969</v>
      </c>
      <c r="F119" s="29" t="s">
        <v>74</v>
      </c>
      <c r="G119" s="22" t="s">
        <v>77</v>
      </c>
      <c r="H119" s="14" t="s">
        <v>958</v>
      </c>
      <c r="I119" s="22" t="s">
        <v>971</v>
      </c>
      <c r="J119" s="23"/>
    </row>
    <row r="120" ht="15.0" customHeight="1">
      <c r="A120" s="16">
        <v>119.0</v>
      </c>
      <c r="B120" s="12" t="s">
        <v>951</v>
      </c>
      <c r="C120" s="9" t="s">
        <v>966</v>
      </c>
      <c r="D120" s="20" t="s">
        <v>976</v>
      </c>
      <c r="E120" s="12" t="s">
        <v>977</v>
      </c>
      <c r="F120" s="20" t="s">
        <v>74</v>
      </c>
      <c r="G120" s="12" t="s">
        <v>77</v>
      </c>
      <c r="H120" s="9" t="s">
        <v>958</v>
      </c>
      <c r="I120" s="12"/>
      <c r="J120" s="23"/>
    </row>
    <row r="121" ht="15.0" customHeight="1">
      <c r="A121" s="26">
        <v>120.0</v>
      </c>
      <c r="B121" s="22" t="s">
        <v>951</v>
      </c>
      <c r="C121" s="14" t="s">
        <v>966</v>
      </c>
      <c r="D121" s="29" t="s">
        <v>980</v>
      </c>
      <c r="E121" s="22" t="s">
        <v>981</v>
      </c>
      <c r="F121" s="29" t="s">
        <v>74</v>
      </c>
      <c r="G121" s="22" t="s">
        <v>77</v>
      </c>
      <c r="H121" s="14" t="s">
        <v>958</v>
      </c>
      <c r="I121" s="22"/>
      <c r="J121" s="23"/>
    </row>
    <row r="122" ht="29.25" customHeight="1">
      <c r="A122" s="16">
        <v>121.0</v>
      </c>
      <c r="B122" s="12" t="s">
        <v>984</v>
      </c>
      <c r="C122" s="9" t="s">
        <v>985</v>
      </c>
      <c r="D122" s="20" t="s">
        <v>986</v>
      </c>
      <c r="E122" s="12" t="s">
        <v>987</v>
      </c>
      <c r="F122" s="20" t="s">
        <v>74</v>
      </c>
      <c r="G122" s="12" t="s">
        <v>465</v>
      </c>
      <c r="H122" s="97" t="s">
        <v>991</v>
      </c>
      <c r="I122" s="12" t="s">
        <v>1009</v>
      </c>
      <c r="J122" s="23"/>
    </row>
    <row r="123" ht="29.25" customHeight="1">
      <c r="A123" s="26">
        <v>122.0</v>
      </c>
      <c r="B123" s="22" t="s">
        <v>984</v>
      </c>
      <c r="C123" s="14" t="s">
        <v>985</v>
      </c>
      <c r="D123" s="29" t="s">
        <v>1014</v>
      </c>
      <c r="E123" s="22" t="s">
        <v>1015</v>
      </c>
      <c r="F123" s="29" t="s">
        <v>74</v>
      </c>
      <c r="G123" s="22" t="s">
        <v>465</v>
      </c>
      <c r="H123" s="97" t="s">
        <v>991</v>
      </c>
      <c r="I123" s="22"/>
      <c r="J123" s="23"/>
    </row>
    <row r="124" ht="29.25" customHeight="1">
      <c r="A124" s="16">
        <v>123.0</v>
      </c>
      <c r="B124" s="12" t="s">
        <v>984</v>
      </c>
      <c r="C124" s="9" t="s">
        <v>985</v>
      </c>
      <c r="D124" s="20" t="s">
        <v>1019</v>
      </c>
      <c r="E124" s="12" t="s">
        <v>1021</v>
      </c>
      <c r="F124" s="20" t="s">
        <v>74</v>
      </c>
      <c r="G124" s="12" t="s">
        <v>465</v>
      </c>
      <c r="H124" s="97" t="s">
        <v>991</v>
      </c>
      <c r="I124" s="12"/>
      <c r="J124" s="23"/>
    </row>
    <row r="125" ht="29.25" customHeight="1">
      <c r="A125" s="26">
        <v>124.0</v>
      </c>
      <c r="B125" s="22" t="s">
        <v>1023</v>
      </c>
      <c r="C125" s="22" t="s">
        <v>1024</v>
      </c>
      <c r="D125" s="29" t="s">
        <v>1025</v>
      </c>
      <c r="E125" s="22" t="s">
        <v>1026</v>
      </c>
      <c r="F125" s="29" t="s">
        <v>74</v>
      </c>
      <c r="G125" s="22" t="s">
        <v>1027</v>
      </c>
      <c r="H125" s="14" t="s">
        <v>15</v>
      </c>
      <c r="I125" s="22" t="s">
        <v>1029</v>
      </c>
      <c r="J125" s="23"/>
    </row>
    <row r="126" ht="29.25" customHeight="1">
      <c r="A126" s="16">
        <v>125.0</v>
      </c>
      <c r="B126" s="12" t="s">
        <v>1023</v>
      </c>
      <c r="C126" s="12" t="s">
        <v>1024</v>
      </c>
      <c r="D126" s="20" t="s">
        <v>1030</v>
      </c>
      <c r="E126" s="12" t="s">
        <v>1031</v>
      </c>
      <c r="F126" s="16" t="s">
        <v>18</v>
      </c>
      <c r="G126" s="12" t="s">
        <v>1027</v>
      </c>
      <c r="H126" s="9" t="s">
        <v>15</v>
      </c>
      <c r="I126" s="9" t="s">
        <v>1033</v>
      </c>
      <c r="J126" s="23"/>
    </row>
    <row r="127" ht="29.25" customHeight="1">
      <c r="A127" s="26">
        <v>126.0</v>
      </c>
      <c r="B127" s="22" t="s">
        <v>1023</v>
      </c>
      <c r="C127" s="22" t="s">
        <v>1024</v>
      </c>
      <c r="D127" s="29" t="s">
        <v>1036</v>
      </c>
      <c r="E127" s="22" t="s">
        <v>1037</v>
      </c>
      <c r="F127" s="26" t="s">
        <v>261</v>
      </c>
      <c r="G127" s="22" t="s">
        <v>1027</v>
      </c>
      <c r="H127" s="14" t="s">
        <v>15</v>
      </c>
      <c r="I127" s="22" t="s">
        <v>1039</v>
      </c>
      <c r="J127" s="23"/>
    </row>
    <row r="128" ht="29.25" customHeight="1">
      <c r="A128" s="16">
        <v>127.0</v>
      </c>
      <c r="B128" s="12" t="s">
        <v>1023</v>
      </c>
      <c r="C128" s="12" t="s">
        <v>1024</v>
      </c>
      <c r="D128" s="20" t="s">
        <v>1040</v>
      </c>
      <c r="E128" s="9" t="s">
        <v>1042</v>
      </c>
      <c r="F128" s="20" t="s">
        <v>74</v>
      </c>
      <c r="G128" s="12" t="s">
        <v>1027</v>
      </c>
      <c r="H128" s="9" t="s">
        <v>112</v>
      </c>
      <c r="I128" s="12"/>
      <c r="J128" s="23"/>
    </row>
    <row r="129" ht="29.25" customHeight="1">
      <c r="A129" s="26">
        <v>128.0</v>
      </c>
      <c r="B129" s="22" t="s">
        <v>1023</v>
      </c>
      <c r="C129" s="22" t="s">
        <v>1024</v>
      </c>
      <c r="D129" s="29" t="s">
        <v>1044</v>
      </c>
      <c r="E129" s="22" t="s">
        <v>1045</v>
      </c>
      <c r="F129" s="29" t="s">
        <v>74</v>
      </c>
      <c r="G129" s="22" t="s">
        <v>1027</v>
      </c>
      <c r="H129" s="14" t="s">
        <v>120</v>
      </c>
      <c r="I129" s="22"/>
      <c r="J129" s="23"/>
    </row>
    <row r="130" ht="29.25" customHeight="1">
      <c r="A130" s="16">
        <v>129.0</v>
      </c>
      <c r="B130" s="12" t="s">
        <v>1023</v>
      </c>
      <c r="C130" s="12" t="s">
        <v>1024</v>
      </c>
      <c r="D130" s="20" t="s">
        <v>1049</v>
      </c>
      <c r="E130" s="9" t="s">
        <v>1050</v>
      </c>
      <c r="F130" s="20" t="s">
        <v>74</v>
      </c>
      <c r="G130" s="12" t="s">
        <v>1027</v>
      </c>
      <c r="H130" s="9" t="s">
        <v>1052</v>
      </c>
      <c r="I130" s="12"/>
      <c r="J130" s="23"/>
    </row>
    <row r="131" ht="14.25" customHeight="1"/>
    <row r="132" ht="15.0" customHeight="1">
      <c r="A132" s="28" t="s">
        <v>1054</v>
      </c>
    </row>
    <row r="133" ht="15.0" customHeight="1">
      <c r="A133" s="100" t="s">
        <v>1055</v>
      </c>
    </row>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4.43" defaultRowHeight="15.0"/>
  <cols>
    <col customWidth="1" min="1" max="1" width="3.0"/>
    <col customWidth="1" min="2" max="2" width="6.0"/>
    <col customWidth="1" min="3" max="3" width="26.0"/>
    <col customWidth="1" min="4" max="4" width="32.0"/>
    <col customWidth="1" min="5" max="5" width="12.0"/>
    <col customWidth="1" min="6" max="6" width="46.0"/>
    <col customWidth="1" min="7" max="7" width="42.0"/>
    <col customWidth="1" min="8" max="26" width="8.71"/>
  </cols>
  <sheetData>
    <row r="1" ht="14.25" customHeight="1"/>
    <row r="2" ht="23.25" customHeight="1">
      <c r="B2" s="40" t="s">
        <v>354</v>
      </c>
    </row>
    <row r="3" ht="16.5" customHeight="1">
      <c r="B3" s="2" t="s">
        <v>361</v>
      </c>
    </row>
    <row r="4" ht="14.25" customHeight="1">
      <c r="B4" s="41" t="s">
        <v>364</v>
      </c>
    </row>
    <row r="5" ht="18.75" customHeight="1">
      <c r="B5" s="3" t="s">
        <v>370</v>
      </c>
    </row>
    <row r="6" ht="19.5" customHeight="1">
      <c r="B6" s="43" t="s">
        <v>17</v>
      </c>
      <c r="C6" s="43" t="s">
        <v>395</v>
      </c>
      <c r="D6" s="43" t="s">
        <v>113</v>
      </c>
      <c r="E6" s="48" t="s">
        <v>402</v>
      </c>
      <c r="F6" s="43" t="s">
        <v>413</v>
      </c>
      <c r="G6" s="43" t="s">
        <v>417</v>
      </c>
    </row>
    <row r="7" ht="15.0" customHeight="1">
      <c r="B7" s="49" t="s">
        <v>88</v>
      </c>
      <c r="C7" s="15">
        <v>1.0</v>
      </c>
      <c r="D7" s="15">
        <v>4.0</v>
      </c>
      <c r="E7" s="15">
        <v>0.0</v>
      </c>
      <c r="F7" s="15">
        <f t="shared" ref="F7:F10" si="1">C7+D7+E7</f>
        <v>5</v>
      </c>
      <c r="G7" s="51">
        <f t="shared" ref="G7:G11" si="2">IFERROR(C7/F7,0)</f>
        <v>0.2</v>
      </c>
    </row>
    <row r="8" ht="15.0" customHeight="1">
      <c r="B8" s="53" t="s">
        <v>459</v>
      </c>
      <c r="C8" s="15">
        <v>5.0</v>
      </c>
      <c r="D8" s="15">
        <v>12.0</v>
      </c>
      <c r="E8" s="15">
        <v>15.0</v>
      </c>
      <c r="F8" s="15">
        <f t="shared" si="1"/>
        <v>32</v>
      </c>
      <c r="G8" s="51">
        <f t="shared" si="2"/>
        <v>0.15625</v>
      </c>
    </row>
    <row r="9" ht="15.0" customHeight="1">
      <c r="B9" s="54" t="s">
        <v>478</v>
      </c>
      <c r="C9" s="15">
        <v>0.0</v>
      </c>
      <c r="D9" s="15">
        <v>5.0</v>
      </c>
      <c r="E9" s="15">
        <v>29.0</v>
      </c>
      <c r="F9" s="15">
        <f t="shared" si="1"/>
        <v>34</v>
      </c>
      <c r="G9" s="51">
        <f t="shared" si="2"/>
        <v>0</v>
      </c>
    </row>
    <row r="10" ht="15.0" customHeight="1">
      <c r="B10" s="55" t="s">
        <v>493</v>
      </c>
      <c r="C10" s="15">
        <v>2.0</v>
      </c>
      <c r="D10" s="15">
        <v>10.0</v>
      </c>
      <c r="E10" s="15">
        <v>8.0</v>
      </c>
      <c r="F10" s="15">
        <f t="shared" si="1"/>
        <v>20</v>
      </c>
      <c r="G10" s="51">
        <f t="shared" si="2"/>
        <v>0.1</v>
      </c>
    </row>
    <row r="11" ht="15.0" customHeight="1">
      <c r="B11" s="56" t="s">
        <v>507</v>
      </c>
      <c r="C11" s="56">
        <f t="shared" ref="C11:F11" si="3">SUM(C7:C10)</f>
        <v>8</v>
      </c>
      <c r="D11" s="56">
        <f t="shared" si="3"/>
        <v>31</v>
      </c>
      <c r="E11" s="56">
        <f t="shared" si="3"/>
        <v>52</v>
      </c>
      <c r="F11" s="56">
        <f t="shared" si="3"/>
        <v>91</v>
      </c>
      <c r="G11" s="58">
        <f t="shared" si="2"/>
        <v>0.08791208791</v>
      </c>
    </row>
    <row r="12" ht="14.25" customHeight="1"/>
    <row r="13" ht="14.25" customHeight="1"/>
    <row r="14" ht="18.75" customHeight="1">
      <c r="B14" s="3" t="s">
        <v>541</v>
      </c>
    </row>
    <row r="15" ht="15.0" customHeight="1">
      <c r="B15" s="28" t="s">
        <v>545</v>
      </c>
    </row>
    <row r="16" ht="14.25" customHeight="1"/>
    <row r="17" ht="21.75" customHeight="1">
      <c r="B17" s="13" t="s">
        <v>548</v>
      </c>
      <c r="C17" s="13" t="s">
        <v>551</v>
      </c>
      <c r="D17" s="13" t="s">
        <v>554</v>
      </c>
      <c r="E17" s="7" t="s">
        <v>557</v>
      </c>
      <c r="F17" s="13" t="s">
        <v>560</v>
      </c>
      <c r="G17" s="7" t="s">
        <v>562</v>
      </c>
    </row>
    <row r="18" ht="43.5" customHeight="1">
      <c r="B18" s="62">
        <v>1.0</v>
      </c>
      <c r="C18" s="22" t="s">
        <v>576</v>
      </c>
      <c r="D18" s="14" t="s">
        <v>577</v>
      </c>
      <c r="E18" s="26" t="s">
        <v>583</v>
      </c>
      <c r="F18" s="22" t="s">
        <v>586</v>
      </c>
      <c r="G18" s="22" t="s">
        <v>588</v>
      </c>
    </row>
    <row r="19" ht="43.5" customHeight="1">
      <c r="B19" s="62">
        <v>2.0</v>
      </c>
      <c r="C19" s="12" t="s">
        <v>592</v>
      </c>
      <c r="D19" s="9" t="s">
        <v>596</v>
      </c>
      <c r="E19" s="16" t="s">
        <v>600</v>
      </c>
      <c r="F19" s="12" t="s">
        <v>601</v>
      </c>
      <c r="G19" s="12" t="s">
        <v>603</v>
      </c>
    </row>
    <row r="20" ht="43.5" customHeight="1">
      <c r="B20" s="62">
        <v>3.0</v>
      </c>
      <c r="C20" s="22" t="s">
        <v>604</v>
      </c>
      <c r="D20" s="14" t="s">
        <v>606</v>
      </c>
      <c r="E20" s="26" t="s">
        <v>608</v>
      </c>
      <c r="F20" s="22" t="s">
        <v>610</v>
      </c>
      <c r="G20" s="22" t="s">
        <v>612</v>
      </c>
    </row>
    <row r="21" ht="43.5" customHeight="1">
      <c r="B21" s="62">
        <v>4.0</v>
      </c>
      <c r="C21" s="12" t="s">
        <v>613</v>
      </c>
      <c r="D21" s="9" t="s">
        <v>617</v>
      </c>
      <c r="E21" s="16" t="s">
        <v>608</v>
      </c>
      <c r="F21" s="9" t="s">
        <v>618</v>
      </c>
      <c r="G21" s="12" t="s">
        <v>620</v>
      </c>
    </row>
    <row r="22" ht="43.5" customHeight="1">
      <c r="B22" s="62">
        <v>5.0</v>
      </c>
      <c r="C22" s="14" t="s">
        <v>623</v>
      </c>
      <c r="D22" s="14" t="s">
        <v>626</v>
      </c>
      <c r="E22" s="26" t="s">
        <v>583</v>
      </c>
      <c r="F22" s="14" t="s">
        <v>627</v>
      </c>
      <c r="G22" s="14" t="s">
        <v>629</v>
      </c>
    </row>
    <row r="23" ht="43.5" customHeight="1">
      <c r="B23" s="62">
        <v>6.0</v>
      </c>
      <c r="C23" s="12" t="s">
        <v>632</v>
      </c>
      <c r="D23" s="9" t="s">
        <v>635</v>
      </c>
      <c r="E23" s="16" t="s">
        <v>583</v>
      </c>
      <c r="F23" s="9" t="s">
        <v>638</v>
      </c>
      <c r="G23" s="9" t="s">
        <v>640</v>
      </c>
    </row>
    <row r="24" ht="43.5" customHeight="1">
      <c r="B24" s="62">
        <v>7.0</v>
      </c>
      <c r="C24" s="22" t="s">
        <v>644</v>
      </c>
      <c r="D24" s="14" t="s">
        <v>646</v>
      </c>
      <c r="E24" s="26" t="s">
        <v>583</v>
      </c>
      <c r="F24" s="14" t="s">
        <v>649</v>
      </c>
      <c r="G24" s="14" t="s">
        <v>652</v>
      </c>
    </row>
    <row r="25" ht="43.5" customHeight="1">
      <c r="B25" s="62">
        <v>8.0</v>
      </c>
      <c r="C25" s="12" t="s">
        <v>654</v>
      </c>
      <c r="D25" s="9" t="s">
        <v>656</v>
      </c>
      <c r="E25" s="16" t="s">
        <v>658</v>
      </c>
      <c r="F25" s="12" t="s">
        <v>660</v>
      </c>
      <c r="G25" s="12" t="s">
        <v>661</v>
      </c>
    </row>
    <row r="26" ht="43.5" customHeight="1">
      <c r="B26" s="62">
        <v>9.0</v>
      </c>
      <c r="C26" s="22" t="s">
        <v>664</v>
      </c>
      <c r="D26" s="22" t="s">
        <v>666</v>
      </c>
      <c r="E26" s="26" t="s">
        <v>608</v>
      </c>
      <c r="F26" s="22" t="s">
        <v>670</v>
      </c>
      <c r="G26" s="22" t="s">
        <v>671</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showGridLines="0" workbookViewId="0"/>
  </sheetViews>
  <sheetFormatPr customHeight="1" defaultColWidth="14.43" defaultRowHeight="15.0"/>
  <cols>
    <col customWidth="1" min="1" max="1" width="3.0"/>
    <col customWidth="1" min="2" max="2" width="26.0"/>
    <col customWidth="1" min="3" max="7" width="16.0"/>
    <col customWidth="1" min="8" max="26" width="8.71"/>
  </cols>
  <sheetData>
    <row r="1" ht="14.25" customHeight="1"/>
    <row r="2" ht="23.25" customHeight="1">
      <c r="B2" s="40" t="s">
        <v>925</v>
      </c>
    </row>
    <row r="3" ht="16.5" customHeight="1">
      <c r="B3" s="2" t="s">
        <v>927</v>
      </c>
    </row>
    <row r="4" ht="14.25" customHeight="1"/>
    <row r="5" ht="18.75" customHeight="1">
      <c r="B5" s="3" t="s">
        <v>934</v>
      </c>
    </row>
    <row r="6" ht="15.0" customHeight="1">
      <c r="B6" s="18" t="s">
        <v>937</v>
      </c>
      <c r="C6" s="94">
        <v>91.0</v>
      </c>
    </row>
    <row r="7" ht="15.0" customHeight="1">
      <c r="B7" s="18" t="s">
        <v>945</v>
      </c>
      <c r="C7" s="94">
        <f>COUNT('01_ESG통합진단마스터'!X2:X43)</f>
        <v>36</v>
      </c>
    </row>
    <row r="8" ht="15.0" customHeight="1">
      <c r="B8" s="18" t="s">
        <v>963</v>
      </c>
      <c r="C8" s="95">
        <f>C7/C6</f>
        <v>0.3956043956</v>
      </c>
    </row>
    <row r="9" ht="14.25" customHeight="1"/>
    <row r="10" ht="18.75" customHeight="1">
      <c r="B10" s="3" t="s">
        <v>982</v>
      </c>
    </row>
    <row r="11" ht="25.5" customHeight="1">
      <c r="B11" s="7" t="s">
        <v>17</v>
      </c>
      <c r="C11" s="7" t="s">
        <v>989</v>
      </c>
      <c r="D11" s="7" t="s">
        <v>990</v>
      </c>
      <c r="E11" s="7" t="s">
        <v>993</v>
      </c>
      <c r="F11" s="7" t="s">
        <v>996</v>
      </c>
      <c r="G11" s="13" t="s">
        <v>998</v>
      </c>
    </row>
    <row r="12" ht="15.0" customHeight="1">
      <c r="B12" s="49" t="s">
        <v>88</v>
      </c>
      <c r="C12" s="15">
        <f>COUNTIF('01_ESG통합진단마스터'!$D$2:$D$43,B12)</f>
        <v>5</v>
      </c>
      <c r="D12" s="15">
        <f>SUMPRODUCT(('01_ESG통합진단마스터'!$D$2:$D$43=B12)*ISNUMBER('01_ESG통합진단마스터'!$X$2:$X$43))</f>
        <v>5</v>
      </c>
      <c r="E12" s="98">
        <f>IFERROR(AVERAGEIFS('01_ESG통합진단마스터'!$X$2:$X$43,'01_ESG통합진단마스터'!$D$2:$D$43,B12),"미입력")</f>
        <v>20</v>
      </c>
      <c r="F12" s="15">
        <f>COUNTIFS('01_ESG통합진단마스터'!$D$2:$D$43,B12,'01_ESG통합진단마스터'!$P$2:$P$43,"완전대응")</f>
        <v>1</v>
      </c>
      <c r="G12" s="15">
        <f>COUNTIFS('01_ESG통합진단마스터'!$D$2:$D$43,B12,'01_ESG통합진단마스터'!$P$2:$P$43,"GAP(대응지표 없음)")</f>
        <v>0</v>
      </c>
    </row>
    <row r="13" ht="15.0" customHeight="1">
      <c r="B13" s="53" t="s">
        <v>459</v>
      </c>
      <c r="C13" s="15">
        <f>COUNTIF('01_ESG통합진단마스터'!$D$2:$D$43,B13)</f>
        <v>17</v>
      </c>
      <c r="D13" s="15">
        <f>SUMPRODUCT(('01_ESG통합진단마스터'!$D$2:$D$43=B13)*ISNUMBER('01_ESG통합진단마스터'!$X$2:$X$43))</f>
        <v>12</v>
      </c>
      <c r="E13" s="98">
        <f>IFERROR(AVERAGEIFS('01_ESG통합진단마스터'!$X$2:$X$43,'01_ESG통합진단마스터'!$D$2:$D$43,B13),"미입력")</f>
        <v>33.33333333</v>
      </c>
      <c r="F13" s="15">
        <f>COUNTIFS('01_ESG통합진단마스터'!$D$2:$D$43,B13,'01_ESG통합진단마스터'!$P$2:$P$43,"완전대응")</f>
        <v>4</v>
      </c>
      <c r="G13" s="15">
        <f>COUNTIFS('01_ESG통합진단마스터'!$D$2:$D$43,B13,'01_ESG통합진단마스터'!$P$2:$P$43,"GAP(대응지표 없음)")</f>
        <v>9</v>
      </c>
    </row>
    <row r="14" ht="15.0" customHeight="1">
      <c r="B14" s="54" t="s">
        <v>478</v>
      </c>
      <c r="C14" s="15">
        <f>COUNTIF('01_ESG통합진단마스터'!$D$2:$D$43,B14)</f>
        <v>0</v>
      </c>
      <c r="D14" s="15">
        <f>SUMPRODUCT(('01_ESG통합진단마스터'!$D$2:$D$43=B14)*ISNUMBER('01_ESG통합진단마스터'!$X$2:$X$43))</f>
        <v>0</v>
      </c>
      <c r="E14" s="98" t="str">
        <f>IFERROR(AVERAGEIFS('01_ESG통합진단마스터'!$X$2:$X$43,'01_ESG통합진단마스터'!$D$2:$D$43,B14),"미입력")</f>
        <v>미입력</v>
      </c>
      <c r="F14" s="15">
        <f>COUNTIFS('01_ESG통합진단마스터'!$D$2:$D$43,B14,'01_ESG통합진단마스터'!$P$2:$P$43,"완전대응")</f>
        <v>0</v>
      </c>
      <c r="G14" s="15">
        <f>COUNTIFS('01_ESG통합진단마스터'!$D$2:$D$43,B14,'01_ESG통합진단마스터'!$P$2:$P$43,"GAP(대응지표 없음)")</f>
        <v>0</v>
      </c>
    </row>
    <row r="15" ht="15.0" customHeight="1">
      <c r="B15" s="55" t="s">
        <v>493</v>
      </c>
      <c r="C15" s="15">
        <f>COUNTIF('01_ESG통합진단마스터'!$D$2:$D$43,B15)</f>
        <v>20</v>
      </c>
      <c r="D15" s="15">
        <f>SUMPRODUCT(('01_ESG통합진단마스터'!$D$2:$D$43=B15)*ISNUMBER('01_ESG통합진단마스터'!$X$2:$X$43))</f>
        <v>19</v>
      </c>
      <c r="E15" s="98">
        <f>IFERROR(AVERAGEIFS('01_ESG통합진단마스터'!$X$2:$X$43,'01_ESG통합진단마스터'!$D$2:$D$43,B15),"미입력")</f>
        <v>43.94736842</v>
      </c>
      <c r="F15" s="15">
        <f>COUNTIFS('01_ESG통합진단마스터'!$D$2:$D$43,B15,'01_ESG통합진단마스터'!$P$2:$P$43,"완전대응")</f>
        <v>2</v>
      </c>
      <c r="G15" s="15">
        <f>COUNTIFS('01_ESG통합진단마스터'!$D$2:$D$43,B15,'01_ESG통합진단마스터'!$P$2:$P$43,"GAP(대응지표 없음)")</f>
        <v>8</v>
      </c>
    </row>
    <row r="16" ht="15.0" customHeight="1">
      <c r="B16" s="56" t="s">
        <v>1125</v>
      </c>
      <c r="C16" s="56">
        <f t="shared" ref="C16:D16" si="1">SUM(C12:C15)</f>
        <v>42</v>
      </c>
      <c r="D16" s="56">
        <f t="shared" si="1"/>
        <v>36</v>
      </c>
      <c r="E16" s="103">
        <f>IFERROR(AVERAGE('01_ESG통합진단마스터'!$X$2:$X$43),"미입력")</f>
        <v>37.08333333</v>
      </c>
      <c r="F16" s="56">
        <f t="shared" ref="F16:G16" si="2">SUM(F12:F15)</f>
        <v>7</v>
      </c>
      <c r="G16" s="56">
        <f t="shared" si="2"/>
        <v>17</v>
      </c>
    </row>
    <row r="17" ht="14.25" customHeight="1"/>
    <row r="18" ht="14.25" customHeight="1"/>
    <row r="19" ht="18.75" customHeight="1">
      <c r="B19" s="3" t="s">
        <v>1136</v>
      </c>
    </row>
    <row r="20" ht="15.0" customHeight="1">
      <c r="B20" s="7" t="s">
        <v>16</v>
      </c>
      <c r="C20" s="7" t="s">
        <v>989</v>
      </c>
      <c r="D20" s="7" t="s">
        <v>990</v>
      </c>
      <c r="E20" s="7" t="s">
        <v>1139</v>
      </c>
    </row>
    <row r="21" ht="15.0" customHeight="1">
      <c r="B21" s="104" t="s">
        <v>86</v>
      </c>
      <c r="C21" s="104">
        <f>COUNTIF('01_ESG통합진단마스터'!$C$2:$C$43,B21)</f>
        <v>34</v>
      </c>
      <c r="D21" s="104">
        <f>SUMPRODUCT(('01_ESG통합진단마스터'!$C$2:$C$43=B21)*ISNUMBER('01_ESG통합진단마스터'!$X$2:$X$43))</f>
        <v>34</v>
      </c>
      <c r="E21" s="98">
        <f>IFERROR(AVERAGEIFS('01_ESG통합진단마스터'!$X$2:$X$43,'01_ESG통합진단마스터'!$C$2:$C$43,B21),"미입력")</f>
        <v>36.32352941</v>
      </c>
    </row>
    <row r="22" ht="15.0" customHeight="1">
      <c r="B22" s="104" t="s">
        <v>1154</v>
      </c>
      <c r="C22" s="104">
        <f>COUNTIF('01_ESG통합진단마스터'!$C$2:$C$43,B22)</f>
        <v>2</v>
      </c>
      <c r="D22" s="104">
        <f>SUMPRODUCT(('01_ESG통합진단마스터'!$C$2:$C$43=B22)*ISNUMBER('01_ESG통합진단마스터'!$X$2:$X$43))</f>
        <v>2</v>
      </c>
      <c r="E22" s="98">
        <f>IFERROR(AVERAGEIFS('01_ESG통합진단마스터'!$X$2:$X$43,'01_ESG통합진단마스터'!$C$2:$C$43,B22),"미입력")</f>
        <v>50</v>
      </c>
    </row>
    <row r="23" ht="15.0" customHeight="1">
      <c r="B23" s="104" t="s">
        <v>1168</v>
      </c>
      <c r="C23" s="104">
        <f>COUNTIF('01_ESG통합진단마스터'!$C$2:$C$43,B23)</f>
        <v>6</v>
      </c>
      <c r="D23" s="104">
        <f>SUMPRODUCT(('01_ESG통합진단마스터'!$C$2:$C$43=B23)*ISNUMBER('01_ESG통합진단마스터'!$X$2:$X$43))</f>
        <v>0</v>
      </c>
      <c r="E23" s="98" t="str">
        <f>IFERROR(AVERAGEIFS('01_ESG통합진단마스터'!$X$2:$X$43,'01_ESG통합진단마스터'!$C$2:$C$43,B23),"미입력")</f>
        <v>미입력</v>
      </c>
    </row>
    <row r="24" ht="14.25" customHeight="1"/>
    <row r="25" ht="14.25" customHeight="1"/>
    <row r="26" ht="18.75" customHeight="1">
      <c r="B26" s="3" t="s">
        <v>1175</v>
      </c>
    </row>
    <row r="27" ht="15.0" customHeight="1">
      <c r="B27" s="28" t="s">
        <v>1178</v>
      </c>
    </row>
    <row r="28" ht="15.0" customHeight="1">
      <c r="B28" s="28" t="s">
        <v>1181</v>
      </c>
    </row>
    <row r="29" ht="14.25" customHeight="1"/>
    <row r="30" ht="18.75" customHeight="1"/>
    <row r="31" ht="27.75" customHeight="1"/>
    <row r="32" ht="14.25" customHeight="1"/>
    <row r="33" ht="29.25" customHeight="1"/>
    <row r="34" ht="15.0" customHeight="1"/>
    <row r="35" ht="15.0" customHeight="1"/>
    <row r="36" ht="15.0" customHeight="1"/>
    <row r="37" ht="15.0" customHeight="1"/>
    <row r="38" ht="14.25" customHeight="1"/>
    <row r="39" ht="18.75" customHeight="1"/>
    <row r="40" ht="27.75" customHeight="1"/>
    <row r="41" ht="14.25" customHeight="1"/>
    <row r="42" ht="15.0" customHeight="1"/>
    <row r="43" ht="15.0" customHeight="1"/>
    <row r="44" ht="15.0" customHeight="1"/>
    <row r="45" ht="15.0"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2026-08-27T07:35:46Z</dcterms:created>
  <dc:creator>openpyxl</dc:creator>
</cp:coreProperties>
</file>